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7fb2ce947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8f56d593bacb42c3"/>
    <x:sheet xmlns:r="http://schemas.openxmlformats.org/officeDocument/2006/relationships" name="Inventory" sheetId="2" r:id="R43587a3a5d744e6c"/>
    <x:sheet xmlns:r="http://schemas.openxmlformats.org/officeDocument/2006/relationships" name="Lines" sheetId="3" r:id="R1c5c4f1c20fe4355"/>
    <x:sheet xmlns:r="http://schemas.openxmlformats.org/officeDocument/2006/relationships" name="Orders" sheetId="4" r:id="R67eb00074b794f22"/>
    <x:sheet xmlns:r="http://schemas.openxmlformats.org/officeDocument/2006/relationships" name="Traffic" sheetId="5" r:id="R89838f00759748a9"/>
    <x:sheet xmlns:r="http://schemas.openxmlformats.org/officeDocument/2006/relationships" name="Products" sheetId="6" r:id="R707bf96d3b25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&quot;$&quot;#,##0.00;[Red](&quot;$&quot;#,##0.00);&quot;$&quot;0.00"/>
    <x:numFmt numFmtId="202" formatCode="0.0"/>
    <x:numFmt numFmtId="203" formatCode="#,##0"/>
    <x:numFmt numFmtId="204" formatCode="0.00%"/>
    <x:numFmt numFmtId="205" formatCode="0.0%"/>
    <x:numFmt numFmtId="206" formatCode="mmm d, yyyy"/>
  </x:numFmts>
  <x:fonts count="7">
    <x:font>
      <x:sz val="11"/>
      <x:name val="Carlito"/>
    </x:font>
    <x:font>
      <x:sz val="10"/>
      <x:color rgb="FF26372E"/>
      <x:name val="Arial"/>
    </x:font>
    <x:font>
      <x:b/>
      <x:sz val="14"/>
      <x:color rgb="FF274F3E"/>
      <x:name val="Arial"/>
    </x:font>
    <x:font>
      <x:b/>
      <x:sz val="10"/>
      <x:color rgb="FFFFFFFF"/>
      <x:name val="Arial"/>
    </x:font>
    <x:font>
      <x:sz val="10"/>
      <x:color rgb="FF245A86"/>
      <x:name val="Arial"/>
    </x:font>
    <x:font>
      <x:i/>
      <x:sz val="10"/>
      <x:color rgb="FF7B8277"/>
      <x:name val="Arial"/>
    </x:font>
    <x:font>
      <x:b/>
      <x:sz val="10"/>
      <x:color rgb="FF2637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F3E"/>
      </x:patternFill>
    </x:fill>
    <x:fill>
      <x:patternFill patternType="solid">
        <x:fgColor rgb="FFFFF1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CE3D2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A74438"/>
      </x:font>
      <x:fill>
        <x:patternFill patternType="solid">
          <x:bgColor rgb="FFFAEAE5"/>
        </x:patternFill>
      </x:fill>
    </x:dxf>
    <x:dxf>
      <x:font>
        <x:color rgb="FF9A6A30"/>
      </x:font>
      <x:fill>
        <x:patternFill patternType="solid">
          <x:bgColor rgb="FFFFF1D6"/>
        </x:patternFill>
      </x:fill>
    </x:dxf>
    <x:dxf>
      <x:font>
        <x:color rgb="FFA74438"/>
      </x:font>
      <x:fill>
        <x:patternFill patternType="solid">
          <x:bgColor rgb="FFFAE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c17ef98cc48aa" /><Relationship Type="http://schemas.openxmlformats.org/officeDocument/2006/relationships/theme" Target="/xl/theme/theme1.xml" Id="R705a3189c74f4201" /><Relationship Type="http://schemas.openxmlformats.org/officeDocument/2006/relationships/sharedStrings" Target="/xl/sharedStrings.xml" Id="R6e43a8c3c22d4962" /><Relationship Type="http://schemas.openxmlformats.org/officeDocument/2006/relationships/worksheet" Target="/xl/worksheets/sheet1.xml" Id="R8f56d593bacb42c3" /><Relationship Type="http://schemas.openxmlformats.org/officeDocument/2006/relationships/worksheet" Target="/xl/worksheets/sheet2.xml" Id="R43587a3a5d744e6c" /><Relationship Type="http://schemas.openxmlformats.org/officeDocument/2006/relationships/worksheet" Target="/xl/worksheets/sheet3.xml" Id="R1c5c4f1c20fe4355" /><Relationship Type="http://schemas.openxmlformats.org/officeDocument/2006/relationships/worksheet" Target="/xl/worksheets/sheet4.xml" Id="R67eb00074b794f22" /><Relationship Type="http://schemas.openxmlformats.org/officeDocument/2006/relationships/worksheet" Target="/xl/worksheets/sheet5.xml" Id="R89838f00759748a9" /><Relationship Type="http://schemas.openxmlformats.org/officeDocument/2006/relationships/worksheet" Target="/xl/worksheets/sheet6.xml" Id="R707bf96d3b2545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eb5f950a0b4fea" /><Relationship Type="http://schemas.openxmlformats.org/officeDocument/2006/relationships/chart" Target="/xl/drawings/charts/chart2.xml" Id="R39201fd61cbe4e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sales by channel (CAD)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sales</c:v>
          </c:tx>
          <c:spPr>
            <a:solidFill xmlns:a="http://schemas.openxmlformats.org/drawingml/2006/main">
              <a:srgbClr val="274F3E"/>
            </a:solidFill>
          </c:spPr>
          <c:invertIfNegative val="0"/>
          <c:cat>
            <c:strRef>
              <c:f>'Review'!$A$20:$A$23</c:f>
              <c:strCache>
                <c:ptCount val="0"/>
              </c:strCache>
            </c:strRef>
          </c:cat>
          <c:val>
            <c:numRef>
              <c:f>'Review'!$B$20:$B$23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net sales (CAD)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sales</c:v>
          </c:tx>
          <c:spPr>
            <a:ln xmlns:a="http://schemas.openxmlformats.org/drawingml/2006/main" w="19050">
              <a:solidFill>
                <a:srgbClr val="274F3E"/>
              </a:solidFill>
              <a:prstDash val="solid"/>
            </a:ln>
          </c:spPr>
          <c:marker>
            <c:symbol val="none"/>
          </c:marker>
          <c:cat>
            <c:strRef>
              <c:f>'Review'!$H$62:$H$91</c:f>
              <c:strCache>
                <c:ptCount val="0"/>
              </c:strCache>
            </c:strRef>
          </c:cat>
          <c:val>
            <c:numRef>
              <c:f>'Review'!$I$62:$I$91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eb5f950a0b4fea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201fd61cbe4e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InventoryPlan" displayName="InventoryPlan" ref="A6:J22" headerRowCount="1" totalsRowCount="0" totalsRowShown="0">
  <x:tableColumns count="10">
    <x:tableColumn id="1" name="SKU"/>
    <x:tableColumn id="2" name="Product"/>
    <x:tableColumn id="3" name="Status"/>
    <x:tableColumn id="4" name="Available"/>
    <x:tableColumn id="5" name="Lead days"/>
    <x:tableColumn id="6" name="Units / 7d"/>
    <x:tableColumn id="7" name="Daily demand"/>
    <x:tableColumn id="8" name="Days cover"/>
    <x:tableColumn id="9" name="Suggested order"/>
    <x:tableColumn id="10" name="Ac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SalesLines" displayName="SalesLines" ref="A6:R1545" headerRowCount="1" totalsRowCount="0" totalsRowShown="0">
  <x:tableColumns count="18">
    <x:tableColumn id="1" name="Date"/>
    <x:tableColumn id="2" name="Order ID"/>
    <x:tableColumn id="3" name="Channel"/>
    <x:tableColumn id="4" name="SKU"/>
    <x:tableColumn id="5" name="Product"/>
    <x:tableColumn id="6" name="Category"/>
    <x:tableColumn id="7" name="Quantity"/>
    <x:tableColumn id="8" name="Returned"/>
    <x:tableColumn id="9" name="Unit price"/>
    <x:tableColumn id="10" name="Discount"/>
    <x:tableColumn id="11" name="Unit cost"/>
    <x:tableColumn id="12" name="Gross sales"/>
    <x:tableColumn id="13" name="Refund"/>
    <x:tableColumn id="14" name="Net sales"/>
    <x:tableColumn id="15" name="COGS"/>
    <x:tableColumn id="16" name="Gross profit"/>
    <x:tableColumn id="17" name="Week of"/>
    <x:tableColumn id="18" name="Report perio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OrderTotals" displayName="OrderTotals" ref="A6:L1051" headerRowCount="1" totalsRowCount="0" totalsRowShown="0">
  <x:tableColumns count="12">
    <x:tableColumn id="1" name="Date"/>
    <x:tableColumn id="2" name="Order ID"/>
    <x:tableColumn id="3" name="Channel"/>
    <x:tableColumn id="4" name="Customer ID"/>
    <x:tableColumn id="5" name="Gross sales"/>
    <x:tableColumn id="6" name="Discounts"/>
    <x:tableColumn id="7" name="Refunds"/>
    <x:tableColumn id="8" name="Net sales"/>
    <x:tableColumn id="9" name="COGS"/>
    <x:tableColumn id="10" name="Gross profit"/>
    <x:tableColumn id="11" name="Units"/>
    <x:tableColumn id="12" name="Returne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SessionTraffic" displayName="SessionTraffic" ref="A6:F246" headerRowCount="1" totalsRowCount="0" totalsRowShown="0">
  <x:tableColumns count="6">
    <x:tableColumn id="1" name="Date"/>
    <x:tableColumn id="2" name="Channel"/>
    <x:tableColumn id="3" name="Sessions"/>
    <x:tableColumn id="4" name="Cart sessions"/>
    <x:tableColumn id="5" name="Checkout sessions"/>
    <x:tableColumn id="6" name="Purchasing session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4" name="ProductMaster" displayName="ProductMaster" ref="A6:I22" headerRowCount="1" totalsRowCount="0" totalsRowShown="0">
  <x:tableColumns count="9">
    <x:tableColumn id="1" name="SKU"/>
    <x:tableColumn id="2" name="Product"/>
    <x:tableColumn id="3" name="Category"/>
    <x:tableColumn id="4" name="Approved price"/>
    <x:tableColumn id="5" name="Lead days"/>
    <x:tableColumn id="6" name="Available"/>
    <x:tableColumn id="7" name="Status"/>
    <x:tableColumn id="8" name="Selling price"/>
    <x:tableColumn id="9" name="Compare-at pri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014652ad1540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aaf8a7fa90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4c94f6399540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7ce12306443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a46921c3c043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28ddc001c4255" /></Relationships>
</file>

<file path=xl/worksheets/sheet1.xml><?xml version="1.0" encoding="utf-8"?>
<x:worksheet xmlns:x="http://schemas.openxmlformats.org/spreadsheetml/2006/main">
  <x:sheetPr>
    <x:tabColor rgb="FF274F3E"/>
  </x:sheetPr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0" customHeight="1">
      <x:c r="A2" s="3" t="str">
        <x:v>Retail operations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0" customHeight="1">
      <x:c r="A4" s="2" t="str">
        <x:v>Period start</x:v>
      </x:c>
      <x:c r="B4" s="17" t="n">
        <x:v>46292</x:v>
      </x:c>
      <x:c r="C4" s="2" t="str">
        <x:v>Period end</x:v>
      </x:c>
      <x:c r="D4" s="17" t="n">
        <x:v>46321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0" customHeight="1">
      <x:c r="A7" s="8" t="str">
        <x:v>Metric</x:v>
      </x:c>
      <x:c r="B7" s="8" t="str">
        <x:v>Selected period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5" customHeight="1">
      <x:c r="A8" s="2" t="str">
        <x:v>Net merchandise sales</x:v>
      </x:c>
      <x:c r="B8" s="21" t="n">
        <x:f>SUMIFS(SalesLines[Net sales],SalesLines[Date],"&gt;="&amp;$B$4,SalesLines[Date],"&lt;="&amp;$D$4)</x:f>
        <x:v>36246.60000000002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2" t="str">
        <x:v>Paid orders</x:v>
      </x:c>
      <x:c r="B9" s="22" t="n">
        <x:f>COUNTIFS(OrderTotals[Date],"&gt;="&amp;$B$4,OrderTotals[Date],"&lt;="&amp;$D$4)</x:f>
        <x:v>538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" t="str">
        <x:v>Net average order value</x:v>
      </x:c>
      <x:c r="B10" s="21" t="n">
        <x:f>IF(B9=0,"n.a.",B8/B9)</x:f>
        <x:v>67.37286245353164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5" customHeight="1">
      <x:c r="A11" s="2" t="str">
        <x:v>Sessions</x:v>
      </x:c>
      <x:c r="B11" s="22" t="n">
        <x:f>SUMIFS(SessionTraffic[Sessions],SessionTraffic[Date],"&gt;="&amp;$B$4,SessionTraffic[Date],"&lt;="&amp;$D$4)</x:f>
        <x:v>22555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2" t="str">
        <x:v>Purchasing sessions</x:v>
      </x:c>
      <x:c r="B12" s="22" t="n">
        <x:f>SUMIFS(SessionTraffic[Purchasing sessions],SessionTraffic[Date],"&gt;="&amp;$B$4,SessionTraffic[Date],"&lt;="&amp;$D$4)</x:f>
        <x:v>538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5" customHeight="1">
      <x:c r="A13" s="2" t="str">
        <x:v>Session conversion</x:v>
      </x:c>
      <x:c r="B13" s="23" t="n">
        <x:f>IF(B11=0,"n.a.",B12/B11)</x:f>
        <x:v>0.023852804256262468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2" t="str">
        <x:v>Gross profit</x:v>
      </x:c>
      <x:c r="B14" s="21" t="n">
        <x:f>SUMIFS(SalesLines[Gross profit],SalesLines[Date],"&gt;="&amp;$B$4,SalesLines[Date],"&lt;="&amp;$D$4)</x:f>
        <x:v>22199.60000000008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2" t="str">
        <x:v>Gross margin</x:v>
      </x:c>
      <x:c r="B15" s="24" t="n">
        <x:f>IF(B8=0,"n.a.",B14/B8)</x:f>
        <x:v>0.6124602031638848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0" customHeight="1">
      <x:c r="A17" s="2" t="str">
        <x:v>Sales less SQL control</x:v>
      </x:c>
      <x:c r="B17" s="10" t="n">
        <x:f>ROUND(B8-SUMIFS(OrderTotals[Net sales],OrderTotals[Date],"&gt;="&amp;$B$4,OrderTotals[Date],"&lt;="&amp;$D$4),2)</x:f>
        <x:v>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0" customHeight="1">
      <x:c r="A19" s="8" t="str">
        <x:v>Channel</x:v>
      </x:c>
      <x:c r="B19" s="8" t="str">
        <x:v>Net sales</x:v>
      </x:c>
      <x:c r="C19" s="8" t="str">
        <x:v>Paid orders</x:v>
      </x:c>
      <x:c r="D19" s="8" t="str">
        <x:v>Sessions</x:v>
      </x:c>
      <x:c r="E19" s="8" t="str">
        <x:v>Purchasing</x:v>
      </x:c>
      <x:c r="F19" s="8" t="str">
        <x:v>Conversion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0" customHeight="1">
      <x:c r="A20" s="2" t="str">
        <x:v>Organic Search</x:v>
      </x:c>
      <x:c r="B20" s="10" t="n">
        <x:f>SUMIFS(SalesLines[Net sales],SalesLines[Channel],$A20,SalesLines[Date],"&gt;="&amp;$B$4,SalesLines[Date],"&lt;="&amp;$D$4)</x:f>
        <x:v>14061.400000000027</x:v>
      </x:c>
      <x:c r="C20" s="18" t="n">
        <x:f>COUNTIFS(OrderTotals[Channel],$A20,OrderTotals[Date],"&gt;="&amp;$B$4,OrderTotals[Date],"&lt;="&amp;$D$4)</x:f>
        <x:v>196</x:v>
      </x:c>
      <x:c r="D20" s="18" t="n">
        <x:f>SUMIFS(SessionTraffic[Sessions],SessionTraffic[Channel],$A20,SessionTraffic[Date],"&gt;="&amp;$B$4,SessionTraffic[Date],"&lt;="&amp;$D$4)</x:f>
        <x:v>6797</x:v>
      </x:c>
      <x:c r="E20" s="18" t="n">
        <x:f>SUMIFS(SessionTraffic[Purchasing sessions],SessionTraffic[Channel],$A20,SessionTraffic[Date],"&gt;="&amp;$B$4,SessionTraffic[Date],"&lt;="&amp;$D$4)</x:f>
        <x:v>196</x:v>
      </x:c>
      <x:c r="F20" s="19" t="n">
        <x:f>IF(D20=0,"n.a.",E20/D20)</x:f>
        <x:v>0.028836251287332648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0" customHeight="1">
      <x:c r="A21" s="2" t="str">
        <x:v>Email</x:v>
      </x:c>
      <x:c r="B21" s="10" t="n">
        <x:f>SUMIFS(SalesLines[Net sales],SalesLines[Channel],$A21,SalesLines[Date],"&gt;="&amp;$B$4,SalesLines[Date],"&lt;="&amp;$D$4)</x:f>
        <x:v>8687.899999999992</x:v>
      </x:c>
      <x:c r="C21" s="18" t="n">
        <x:f>COUNTIFS(OrderTotals[Channel],$A21,OrderTotals[Date],"&gt;="&amp;$B$4,OrderTotals[Date],"&lt;="&amp;$D$4)</x:f>
        <x:v>134</x:v>
      </x:c>
      <x:c r="D21" s="18" t="n">
        <x:f>SUMIFS(SessionTraffic[Sessions],SessionTraffic[Channel],$A21,SessionTraffic[Date],"&gt;="&amp;$B$4,SessionTraffic[Date],"&lt;="&amp;$D$4)</x:f>
        <x:v>3571</x:v>
      </x:c>
      <x:c r="E21" s="18" t="n">
        <x:f>SUMIFS(SessionTraffic[Purchasing sessions],SessionTraffic[Channel],$A21,SessionTraffic[Date],"&gt;="&amp;$B$4,SessionTraffic[Date],"&lt;="&amp;$D$4)</x:f>
        <x:v>134</x:v>
      </x:c>
      <x:c r="F21" s="19" t="n">
        <x:f>IF(D21=0,"n.a.",E21/D21)</x:f>
        <x:v>0.037524502940352845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0" customHeight="1">
      <x:c r="A22" s="2" t="str">
        <x:v>Paid Social</x:v>
      </x:c>
      <x:c r="B22" s="10" t="n">
        <x:f>SUMIFS(SalesLines[Net sales],SalesLines[Channel],$A22,SalesLines[Date],"&gt;="&amp;$B$4,SalesLines[Date],"&lt;="&amp;$D$4)</x:f>
        <x:v>8594.809999999987</x:v>
      </x:c>
      <x:c r="C22" s="18" t="n">
        <x:f>COUNTIFS(OrderTotals[Channel],$A22,OrderTotals[Date],"&gt;="&amp;$B$4,OrderTotals[Date],"&lt;="&amp;$D$4)</x:f>
        <x:v>128</x:v>
      </x:c>
      <x:c r="D22" s="18" t="n">
        <x:f>SUMIFS(SessionTraffic[Sessions],SessionTraffic[Channel],$A22,SessionTraffic[Date],"&gt;="&amp;$B$4,SessionTraffic[Date],"&lt;="&amp;$D$4)</x:f>
        <x:v>8064</x:v>
      </x:c>
      <x:c r="E22" s="18" t="n">
        <x:f>SUMIFS(SessionTraffic[Purchasing sessions],SessionTraffic[Channel],$A22,SessionTraffic[Date],"&gt;="&amp;$B$4,SessionTraffic[Date],"&lt;="&amp;$D$4)</x:f>
        <x:v>128</x:v>
      </x:c>
      <x:c r="F22" s="19" t="n">
        <x:f>IF(D22=0,"n.a.",E22/D22)</x:f>
        <x:v>0.015873015873015872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0" customHeight="1">
      <x:c r="A23" s="2" t="str">
        <x:v>Direct</x:v>
      </x:c>
      <x:c r="B23" s="10" t="n">
        <x:f>SUMIFS(SalesLines[Net sales],SalesLines[Channel],$A23,SalesLines[Date],"&gt;="&amp;$B$4,SalesLines[Date],"&lt;="&amp;$D$4)</x:f>
        <x:v>4902.489999999993</x:v>
      </x:c>
      <x:c r="C23" s="18" t="n">
        <x:f>COUNTIFS(OrderTotals[Channel],$A23,OrderTotals[Date],"&gt;="&amp;$B$4,OrderTotals[Date],"&lt;="&amp;$D$4)</x:f>
        <x:v>80</x:v>
      </x:c>
      <x:c r="D23" s="18" t="n">
        <x:f>SUMIFS(SessionTraffic[Sessions],SessionTraffic[Channel],$A23,SessionTraffic[Date],"&gt;="&amp;$B$4,SessionTraffic[Date],"&lt;="&amp;$D$4)</x:f>
        <x:v>4123</x:v>
      </x:c>
      <x:c r="E23" s="18" t="n">
        <x:f>SUMIFS(SessionTraffic[Purchasing sessions],SessionTraffic[Channel],$A23,SessionTraffic[Date],"&gt;="&amp;$B$4,SessionTraffic[Date],"&lt;="&amp;$D$4)</x:f>
        <x:v>80</x:v>
      </x:c>
      <x:c r="F23" s="19" t="n">
        <x:f>IF(D23=0,"n.a.",E23/D23)</x:f>
        <x:v>0.019403347077370847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0" customHeight="1">
      <x:c r="A25" s="16" t="str">
        <x:v>CAD. Net sales exclude shipping and tax. Refunds follow the original order date.</x:v>
      </x:c>
      <x:c r="B25" s="2"/>
      <x:c r="C25" s="2"/>
      <x:c r="D25" s="2"/>
      <x:c r="E25" s="2"/>
      <x:c r="F25" s="2"/>
      <x:c r="G25" s="2"/>
      <x:c r="H25" s="16" t="str">
        <x:v>Daily chart: 30 days ending on Period end.</x:v>
      </x:c>
      <x:c r="I25" s="2"/>
      <x:c r="J25" s="2"/>
      <x:c r="K25" s="2"/>
      <x:c r="L25" s="2"/>
      <x:c r="M25" s="2"/>
      <x:c r="N25" s="2"/>
      <x:c r="O25" s="2"/>
      <x:c r="P25" s="2"/>
    </x:row>
    <x:row r="26" ht="20" customHeight="1">
      <x:c r="A26" s="16" t="str">
        <x:v>Returned units reverse COGS under a resalable-return assumption. Gross profit excludes operating costs.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30" customHeight="1">
      <x:c r="A29" s="8" t="str">
        <x:v>Date</x:v>
      </x:c>
      <x:c r="B29" s="8" t="str">
        <x:v>Net sales</x:v>
      </x:c>
      <x:c r="C29" s="8" t="str">
        <x:v>Paid orders</x:v>
      </x:c>
      <x:c r="D29" s="8" t="str">
        <x:v>Sessions</x:v>
      </x:c>
      <x:c r="E29" s="8" t="str">
        <x:v>Purchasing</x:v>
      </x:c>
      <x:c r="F29" s="8" t="str">
        <x:v>Conversion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0" customHeight="1">
      <x:c r="A30" s="25" t="n">
        <x:f>$D$4-29+0</x:f>
        <x:v>46292</x:v>
      </x:c>
      <x:c r="B30" s="10" t="n">
        <x:f>SUMIFS(SalesLines[Net sales],SalesLines[Date],$A30)</x:f>
        <x:v>1076.9400000000003</x:v>
      </x:c>
      <x:c r="C30" s="18" t="n">
        <x:f>COUNTIFS(OrderTotals[Date],$A30)</x:f>
        <x:v>20</x:v>
      </x:c>
      <x:c r="D30" s="18" t="n">
        <x:f>SUMIFS(SessionTraffic[Sessions],SessionTraffic[Date],$A30)</x:f>
        <x:v>790</x:v>
      </x:c>
      <x:c r="E30" s="18" t="n">
        <x:f>SUMIFS(SessionTraffic[Purchasing sessions],SessionTraffic[Date],$A30)</x:f>
        <x:v>20</x:v>
      </x:c>
      <x:c r="F30" s="19" t="n">
        <x:f>IF(D30=0,"n.a.",E30/D30)</x:f>
        <x:v>0.02531645569620253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0" customHeight="1">
      <x:c r="A31" s="25" t="n">
        <x:f>$D$4-29+1</x:f>
        <x:v>46293</x:v>
      </x:c>
      <x:c r="B31" s="10" t="n">
        <x:f>SUMIFS(SalesLines[Net sales],SalesLines[Date],$A31)</x:f>
        <x:v>840.0500000000001</x:v>
      </x:c>
      <x:c r="C31" s="18" t="n">
        <x:f>COUNTIFS(OrderTotals[Date],$A31)</x:f>
        <x:v>14</x:v>
      </x:c>
      <x:c r="D31" s="18" t="n">
        <x:f>SUMIFS(SessionTraffic[Sessions],SessionTraffic[Date],$A31)</x:f>
        <x:v>667</x:v>
      </x:c>
      <x:c r="E31" s="18" t="n">
        <x:f>SUMIFS(SessionTraffic[Purchasing sessions],SessionTraffic[Date],$A31)</x:f>
        <x:v>14</x:v>
      </x:c>
      <x:c r="F31" s="19" t="n">
        <x:f>IF(D31=0,"n.a.",E31/D31)</x:f>
        <x:v>0.020989505247376312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0" customHeight="1">
      <x:c r="A32" s="25" t="n">
        <x:f>$D$4-29+2</x:f>
        <x:v>46294</x:v>
      </x:c>
      <x:c r="B32" s="10" t="n">
        <x:f>SUMIFS(SalesLines[Net sales],SalesLines[Date],$A32)</x:f>
        <x:v>1001.1800000000002</x:v>
      </x:c>
      <x:c r="C32" s="18" t="n">
        <x:f>COUNTIFS(OrderTotals[Date],$A32)</x:f>
        <x:v>18</x:v>
      </x:c>
      <x:c r="D32" s="18" t="n">
        <x:f>SUMIFS(SessionTraffic[Sessions],SessionTraffic[Date],$A32)</x:f>
        <x:v>697</x:v>
      </x:c>
      <x:c r="E32" s="18" t="n">
        <x:f>SUMIFS(SessionTraffic[Purchasing sessions],SessionTraffic[Date],$A32)</x:f>
        <x:v>18</x:v>
      </x:c>
      <x:c r="F32" s="19" t="n">
        <x:f>IF(D32=0,"n.a.",E32/D32)</x:f>
        <x:v>0.02582496413199426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0" customHeight="1">
      <x:c r="A33" s="25" t="n">
        <x:f>$D$4-29+3</x:f>
        <x:v>46295</x:v>
      </x:c>
      <x:c r="B33" s="10" t="n">
        <x:f>SUMIFS(SalesLines[Net sales],SalesLines[Date],$A33)</x:f>
        <x:v>1195.13</x:v>
      </x:c>
      <x:c r="C33" s="18" t="n">
        <x:f>COUNTIFS(OrderTotals[Date],$A33)</x:f>
        <x:v>20</x:v>
      </x:c>
      <x:c r="D33" s="18" t="n">
        <x:f>SUMIFS(SessionTraffic[Sessions],SessionTraffic[Date],$A33)</x:f>
        <x:v>792</x:v>
      </x:c>
      <x:c r="E33" s="18" t="n">
        <x:f>SUMIFS(SessionTraffic[Purchasing sessions],SessionTraffic[Date],$A33)</x:f>
        <x:v>20</x:v>
      </x:c>
      <x:c r="F33" s="19" t="n">
        <x:f>IF(D33=0,"n.a.",E33/D33)</x:f>
        <x:v>0.025252525252525252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0" customHeight="1">
      <x:c r="A34" s="25" t="n">
        <x:f>$D$4-29+4</x:f>
        <x:v>46296</x:v>
      </x:c>
      <x:c r="B34" s="10" t="n">
        <x:f>SUMIFS(SalesLines[Net sales],SalesLines[Date],$A34)</x:f>
        <x:v>1013.0500000000001</x:v>
      </x:c>
      <x:c r="C34" s="18" t="n">
        <x:f>COUNTIFS(OrderTotals[Date],$A34)</x:f>
        <x:v>16</x:v>
      </x:c>
      <x:c r="D34" s="18" t="n">
        <x:f>SUMIFS(SessionTraffic[Sessions],SessionTraffic[Date],$A34)</x:f>
        <x:v>730</x:v>
      </x:c>
      <x:c r="E34" s="18" t="n">
        <x:f>SUMIFS(SessionTraffic[Purchasing sessions],SessionTraffic[Date],$A34)</x:f>
        <x:v>16</x:v>
      </x:c>
      <x:c r="F34" s="19" t="n">
        <x:f>IF(D34=0,"n.a.",E34/D34)</x:f>
        <x:v>0.021917808219178082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0" customHeight="1">
      <x:c r="A35" s="25" t="n">
        <x:f>$D$4-29+5</x:f>
        <x:v>46297</x:v>
      </x:c>
      <x:c r="B35" s="10" t="n">
        <x:f>SUMIFS(SalesLines[Net sales],SalesLines[Date],$A35)</x:f>
        <x:v>1108.2000000000003</x:v>
      </x:c>
      <x:c r="C35" s="18" t="n">
        <x:f>COUNTIFS(OrderTotals[Date],$A35)</x:f>
        <x:v>16</x:v>
      </x:c>
      <x:c r="D35" s="18" t="n">
        <x:f>SUMIFS(SessionTraffic[Sessions],SessionTraffic[Date],$A35)</x:f>
        <x:v>631</x:v>
      </x:c>
      <x:c r="E35" s="18" t="n">
        <x:f>SUMIFS(SessionTraffic[Purchasing sessions],SessionTraffic[Date],$A35)</x:f>
        <x:v>16</x:v>
      </x:c>
      <x:c r="F35" s="19" t="n">
        <x:f>IF(D35=0,"n.a.",E35/D35)</x:f>
        <x:v>0.025356576862123614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0" customHeight="1">
      <x:c r="A36" s="25" t="n">
        <x:f>$D$4-29+6</x:f>
        <x:v>46298</x:v>
      </x:c>
      <x:c r="B36" s="10" t="n">
        <x:f>SUMIFS(SalesLines[Net sales],SalesLines[Date],$A36)</x:f>
        <x:v>1447.3000000000002</x:v>
      </x:c>
      <x:c r="C36" s="18" t="n">
        <x:f>COUNTIFS(OrderTotals[Date],$A36)</x:f>
        <x:v>21</x:v>
      </x:c>
      <x:c r="D36" s="18" t="n">
        <x:f>SUMIFS(SessionTraffic[Sessions],SessionTraffic[Date],$A36)</x:f>
        <x:v>764</x:v>
      </x:c>
      <x:c r="E36" s="18" t="n">
        <x:f>SUMIFS(SessionTraffic[Purchasing sessions],SessionTraffic[Date],$A36)</x:f>
        <x:v>21</x:v>
      </x:c>
      <x:c r="F36" s="19" t="n">
        <x:f>IF(D36=0,"n.a.",E36/D36)</x:f>
        <x:v>0.0274869109947644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0" customHeight="1">
      <x:c r="A37" s="25" t="n">
        <x:f>$D$4-29+7</x:f>
        <x:v>46299</x:v>
      </x:c>
      <x:c r="B37" s="10" t="n">
        <x:f>SUMIFS(SalesLines[Net sales],SalesLines[Date],$A37)</x:f>
        <x:v>374.19</x:v>
      </x:c>
      <x:c r="C37" s="18" t="n">
        <x:f>COUNTIFS(OrderTotals[Date],$A37)</x:f>
        <x:v>9</x:v>
      </x:c>
      <x:c r="D37" s="18" t="n">
        <x:f>SUMIFS(SessionTraffic[Sessions],SessionTraffic[Date],$A37)</x:f>
        <x:v>498</x:v>
      </x:c>
      <x:c r="E37" s="18" t="n">
        <x:f>SUMIFS(SessionTraffic[Purchasing sessions],SessionTraffic[Date],$A37)</x:f>
        <x:v>9</x:v>
      </x:c>
      <x:c r="F37" s="19" t="n">
        <x:f>IF(D37=0,"n.a.",E37/D37)</x:f>
        <x:v>0.018072289156626505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0" customHeight="1">
      <x:c r="A38" s="25" t="n">
        <x:f>$D$4-29+8</x:f>
        <x:v>46300</x:v>
      </x:c>
      <x:c r="B38" s="10" t="n">
        <x:f>SUMIFS(SalesLines[Net sales],SalesLines[Date],$A38)</x:f>
        <x:v>1186.0300000000002</x:v>
      </x:c>
      <x:c r="C38" s="18" t="n">
        <x:f>COUNTIFS(OrderTotals[Date],$A38)</x:f>
        <x:v>19</x:v>
      </x:c>
      <x:c r="D38" s="18" t="n">
        <x:f>SUMIFS(SessionTraffic[Sessions],SessionTraffic[Date],$A38)</x:f>
        <x:v>738</x:v>
      </x:c>
      <x:c r="E38" s="18" t="n">
        <x:f>SUMIFS(SessionTraffic[Purchasing sessions],SessionTraffic[Date],$A38)</x:f>
        <x:v>19</x:v>
      </x:c>
      <x:c r="F38" s="19" t="n">
        <x:f>IF(D38=0,"n.a.",E38/D38)</x:f>
        <x:v>0.025745257452574527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0" customHeight="1">
      <x:c r="A39" s="25" t="n">
        <x:f>$D$4-29+9</x:f>
        <x:v>46301</x:v>
      </x:c>
      <x:c r="B39" s="10" t="n">
        <x:f>SUMIFS(SalesLines[Net sales],SalesLines[Date],$A39)</x:f>
        <x:v>1090.9000000000003</x:v>
      </x:c>
      <x:c r="C39" s="18" t="n">
        <x:f>COUNTIFS(OrderTotals[Date],$A39)</x:f>
        <x:v>15</x:v>
      </x:c>
      <x:c r="D39" s="18" t="n">
        <x:f>SUMIFS(SessionTraffic[Sessions],SessionTraffic[Date],$A39)</x:f>
        <x:v>661</x:v>
      </x:c>
      <x:c r="E39" s="18" t="n">
        <x:f>SUMIFS(SessionTraffic[Purchasing sessions],SessionTraffic[Date],$A39)</x:f>
        <x:v>15</x:v>
      </x:c>
      <x:c r="F39" s="19" t="n">
        <x:f>IF(D39=0,"n.a.",E39/D39)</x:f>
        <x:v>0.0226928895612708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0" customHeight="1">
      <x:c r="A40" s="25" t="n">
        <x:f>$D$4-29+10</x:f>
        <x:v>46302</x:v>
      </x:c>
      <x:c r="B40" s="10" t="n">
        <x:f>SUMIFS(SalesLines[Net sales],SalesLines[Date],$A40)</x:f>
        <x:v>889.0000000000002</x:v>
      </x:c>
      <x:c r="C40" s="18" t="n">
        <x:f>COUNTIFS(OrderTotals[Date],$A40)</x:f>
        <x:v>13</x:v>
      </x:c>
      <x:c r="D40" s="18" t="n">
        <x:f>SUMIFS(SessionTraffic[Sessions],SessionTraffic[Date],$A40)</x:f>
        <x:v>626</x:v>
      </x:c>
      <x:c r="E40" s="18" t="n">
        <x:f>SUMIFS(SessionTraffic[Purchasing sessions],SessionTraffic[Date],$A40)</x:f>
        <x:v>13</x:v>
      </x:c>
      <x:c r="F40" s="19" t="n">
        <x:f>IF(D40=0,"n.a.",E40/D40)</x:f>
        <x:v>0.020766773162939296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0" customHeight="1">
      <x:c r="A41" s="25" t="n">
        <x:f>$D$4-29+11</x:f>
        <x:v>46303</x:v>
      </x:c>
      <x:c r="B41" s="10" t="n">
        <x:f>SUMIFS(SalesLines[Net sales],SalesLines[Date],$A41)</x:f>
        <x:v>636.21</x:v>
      </x:c>
      <x:c r="C41" s="18" t="n">
        <x:f>COUNTIFS(OrderTotals[Date],$A41)</x:f>
        <x:v>10</x:v>
      </x:c>
      <x:c r="D41" s="18" t="n">
        <x:f>SUMIFS(SessionTraffic[Sessions],SessionTraffic[Date],$A41)</x:f>
        <x:v>509</x:v>
      </x:c>
      <x:c r="E41" s="18" t="n">
        <x:f>SUMIFS(SessionTraffic[Purchasing sessions],SessionTraffic[Date],$A41)</x:f>
        <x:v>10</x:v>
      </x:c>
      <x:c r="F41" s="19" t="n">
        <x:f>IF(D41=0,"n.a.",E41/D41)</x:f>
        <x:v>0.019646365422396856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0" customHeight="1">
      <x:c r="A42" s="25" t="n">
        <x:f>$D$4-29+12</x:f>
        <x:v>46304</x:v>
      </x:c>
      <x:c r="B42" s="10" t="n">
        <x:f>SUMIFS(SalesLines[Net sales],SalesLines[Date],$A42)</x:f>
        <x:v>1346.2800000000004</x:v>
      </x:c>
      <x:c r="C42" s="18" t="n">
        <x:f>COUNTIFS(OrderTotals[Date],$A42)</x:f>
        <x:v>12</x:v>
      </x:c>
      <x:c r="D42" s="18" t="n">
        <x:f>SUMIFS(SessionTraffic[Sessions],SessionTraffic[Date],$A42)</x:f>
        <x:v>657</x:v>
      </x:c>
      <x:c r="E42" s="18" t="n">
        <x:f>SUMIFS(SessionTraffic[Purchasing sessions],SessionTraffic[Date],$A42)</x:f>
        <x:v>12</x:v>
      </x:c>
      <x:c r="F42" s="19" t="n">
        <x:f>IF(D42=0,"n.a.",E42/D42)</x:f>
        <x:v>0.0182648401826484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0" customHeight="1">
      <x:c r="A43" s="25" t="n">
        <x:f>$D$4-29+13</x:f>
        <x:v>46305</x:v>
      </x:c>
      <x:c r="B43" s="10" t="n">
        <x:f>SUMIFS(SalesLines[Net sales],SalesLines[Date],$A43)</x:f>
        <x:v>896.5699999999999</x:v>
      </x:c>
      <x:c r="C43" s="18" t="n">
        <x:f>COUNTIFS(OrderTotals[Date],$A43)</x:f>
        <x:v>10</x:v>
      </x:c>
      <x:c r="D43" s="18" t="n">
        <x:f>SUMIFS(SessionTraffic[Sessions],SessionTraffic[Date],$A43)</x:f>
        <x:v>533</x:v>
      </x:c>
      <x:c r="E43" s="18" t="n">
        <x:f>SUMIFS(SessionTraffic[Purchasing sessions],SessionTraffic[Date],$A43)</x:f>
        <x:v>10</x:v>
      </x:c>
      <x:c r="F43" s="19" t="n">
        <x:f>IF(D43=0,"n.a.",E43/D43)</x:f>
        <x:v>0.01876172607879925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0" customHeight="1">
      <x:c r="A44" s="25" t="n">
        <x:f>$D$4-29+14</x:f>
        <x:v>46306</x:v>
      </x:c>
      <x:c r="B44" s="10" t="n">
        <x:f>SUMIFS(SalesLines[Net sales],SalesLines[Date],$A44)</x:f>
        <x:v>963.8500000000004</x:v>
      </x:c>
      <x:c r="C44" s="18" t="n">
        <x:f>COUNTIFS(OrderTotals[Date],$A44)</x:f>
        <x:v>18</x:v>
      </x:c>
      <x:c r="D44" s="18" t="n">
        <x:f>SUMIFS(SessionTraffic[Sessions],SessionTraffic[Date],$A44)</x:f>
        <x:v>803</x:v>
      </x:c>
      <x:c r="E44" s="18" t="n">
        <x:f>SUMIFS(SessionTraffic[Purchasing sessions],SessionTraffic[Date],$A44)</x:f>
        <x:v>18</x:v>
      </x:c>
      <x:c r="F44" s="19" t="n">
        <x:f>IF(D44=0,"n.a.",E44/D44)</x:f>
        <x:v>0.0224159402241594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0" customHeight="1">
      <x:c r="A45" s="25" t="n">
        <x:f>$D$4-29+15</x:f>
        <x:v>46307</x:v>
      </x:c>
      <x:c r="B45" s="10" t="n">
        <x:f>SUMIFS(SalesLines[Net sales],SalesLines[Date],$A45)</x:f>
        <x:v>1212.1900000000005</x:v>
      </x:c>
      <x:c r="C45" s="18" t="n">
        <x:f>COUNTIFS(OrderTotals[Date],$A45)</x:f>
        <x:v>19</x:v>
      </x:c>
      <x:c r="D45" s="18" t="n">
        <x:f>SUMIFS(SessionTraffic[Sessions],SessionTraffic[Date],$A45)</x:f>
        <x:v>760</x:v>
      </x:c>
      <x:c r="E45" s="18" t="n">
        <x:f>SUMIFS(SessionTraffic[Purchasing sessions],SessionTraffic[Date],$A45)</x:f>
        <x:v>19</x:v>
      </x:c>
      <x:c r="F45" s="19" t="n">
        <x:f>IF(D45=0,"n.a.",E45/D45)</x:f>
        <x:v>0.025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0" customHeight="1">
      <x:c r="A46" s="25" t="n">
        <x:f>$D$4-29+16</x:f>
        <x:v>46308</x:v>
      </x:c>
      <x:c r="B46" s="10" t="n">
        <x:f>SUMIFS(SalesLines[Net sales],SalesLines[Date],$A46)</x:f>
        <x:v>1316.5400000000004</x:v>
      </x:c>
      <x:c r="C46" s="18" t="n">
        <x:f>COUNTIFS(OrderTotals[Date],$A46)</x:f>
        <x:v>23</x:v>
      </x:c>
      <x:c r="D46" s="18" t="n">
        <x:f>SUMIFS(SessionTraffic[Sessions],SessionTraffic[Date],$A46)</x:f>
        <x:v>961</x:v>
      </x:c>
      <x:c r="E46" s="18" t="n">
        <x:f>SUMIFS(SessionTraffic[Purchasing sessions],SessionTraffic[Date],$A46)</x:f>
        <x:v>23</x:v>
      </x:c>
      <x:c r="F46" s="19" t="n">
        <x:f>IF(D46=0,"n.a.",E46/D46)</x:f>
        <x:v>0.023933402705515087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0" customHeight="1">
      <x:c r="A47" s="25" t="n">
        <x:f>$D$4-29+17</x:f>
        <x:v>46309</x:v>
      </x:c>
      <x:c r="B47" s="10" t="n">
        <x:f>SUMIFS(SalesLines[Net sales],SalesLines[Date],$A47)</x:f>
        <x:v>1210.5000000000005</x:v>
      </x:c>
      <x:c r="C47" s="18" t="n">
        <x:f>COUNTIFS(OrderTotals[Date],$A47)</x:f>
        <x:v>18</x:v>
      </x:c>
      <x:c r="D47" s="18" t="n">
        <x:f>SUMIFS(SessionTraffic[Sessions],SessionTraffic[Date],$A47)</x:f>
        <x:v>744</x:v>
      </x:c>
      <x:c r="E47" s="18" t="n">
        <x:f>SUMIFS(SessionTraffic[Purchasing sessions],SessionTraffic[Date],$A47)</x:f>
        <x:v>18</x:v>
      </x:c>
      <x:c r="F47" s="19" t="n">
        <x:f>IF(D47=0,"n.a.",E47/D47)</x:f>
        <x:v>0.024193548387096774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0" customHeight="1">
      <x:c r="A48" s="25" t="n">
        <x:f>$D$4-29+18</x:f>
        <x:v>46310</x:v>
      </x:c>
      <x:c r="B48" s="10" t="n">
        <x:f>SUMIFS(SalesLines[Net sales],SalesLines[Date],$A48)</x:f>
        <x:v>1198.9100000000003</x:v>
      </x:c>
      <x:c r="C48" s="18" t="n">
        <x:f>COUNTIFS(OrderTotals[Date],$A48)</x:f>
        <x:v>18</x:v>
      </x:c>
      <x:c r="D48" s="18" t="n">
        <x:f>SUMIFS(SessionTraffic[Sessions],SessionTraffic[Date],$A48)</x:f>
        <x:v>753</x:v>
      </x:c>
      <x:c r="E48" s="18" t="n">
        <x:f>SUMIFS(SessionTraffic[Purchasing sessions],SessionTraffic[Date],$A48)</x:f>
        <x:v>18</x:v>
      </x:c>
      <x:c r="F48" s="19" t="n">
        <x:f>IF(D48=0,"n.a.",E48/D48)</x:f>
        <x:v>0.02390438247011952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0" customHeight="1">
      <x:c r="A49" s="25" t="n">
        <x:f>$D$4-29+19</x:f>
        <x:v>46311</x:v>
      </x:c>
      <x:c r="B49" s="10" t="n">
        <x:f>SUMIFS(SalesLines[Net sales],SalesLines[Date],$A49)</x:f>
        <x:v>1620.7300000000005</x:v>
      </x:c>
      <x:c r="C49" s="18" t="n">
        <x:f>COUNTIFS(OrderTotals[Date],$A49)</x:f>
        <x:v>21</x:v>
      </x:c>
      <x:c r="D49" s="18" t="n">
        <x:f>SUMIFS(SessionTraffic[Sessions],SessionTraffic[Date],$A49)</x:f>
        <x:v>818</x:v>
      </x:c>
      <x:c r="E49" s="18" t="n">
        <x:f>SUMIFS(SessionTraffic[Purchasing sessions],SessionTraffic[Date],$A49)</x:f>
        <x:v>21</x:v>
      </x:c>
      <x:c r="F49" s="19" t="n">
        <x:f>IF(D49=0,"n.a.",E49/D49)</x:f>
        <x:v>0.02567237163814181</x:v>
      </x:c>
      <x:c r="G49" s="2"/>
      <x:c r="H49" s="26" t="str">
        <x:v>Native PivotTable exercise</x:v>
      </x:c>
      <x:c r="I49" s="2"/>
      <x:c r="J49" s="2"/>
      <x:c r="K49" s="2"/>
      <x:c r="L49" s="2"/>
      <x:c r="M49" s="2"/>
      <x:c r="N49" s="2"/>
      <x:c r="O49" s="2"/>
      <x:c r="P49" s="2"/>
    </x:row>
    <x:row r="50" ht="20" customHeight="1">
      <x:c r="A50" s="25" t="n">
        <x:f>$D$4-29+20</x:f>
        <x:v>46312</x:v>
      </x:c>
      <x:c r="B50" s="10" t="n">
        <x:f>SUMIFS(SalesLines[Net sales],SalesLines[Date],$A50)</x:f>
        <x:v>1429.8500000000006</x:v>
      </x:c>
      <x:c r="C50" s="18" t="n">
        <x:f>COUNTIFS(OrderTotals[Date],$A50)</x:f>
        <x:v>22</x:v>
      </x:c>
      <x:c r="D50" s="18" t="n">
        <x:f>SUMIFS(SessionTraffic[Sessions],SessionTraffic[Date],$A50)</x:f>
        <x:v>923</x:v>
      </x:c>
      <x:c r="E50" s="18" t="n">
        <x:f>SUMIFS(SessionTraffic[Purchasing sessions],SessionTraffic[Date],$A50)</x:f>
        <x:v>22</x:v>
      </x:c>
      <x:c r="F50" s="19" t="n">
        <x:f>IF(D50=0,"n.a.",E50/D50)</x:f>
        <x:v>0.023835319609967497</x:v>
      </x:c>
      <x:c r="G50" s="2"/>
      <x:c r="H50" s="2" t="str">
        <x:v>Insert from SalesLines. Rows: Category. Columns: Channel.</x:v>
      </x:c>
      <x:c r="I50" s="2"/>
      <x:c r="J50" s="2"/>
      <x:c r="K50" s="2"/>
      <x:c r="L50" s="2"/>
      <x:c r="M50" s="2"/>
      <x:c r="N50" s="2"/>
      <x:c r="O50" s="2"/>
      <x:c r="P50" s="2"/>
    </x:row>
    <x:row r="51" ht="20" customHeight="1">
      <x:c r="A51" s="25" t="n">
        <x:f>$D$4-29+21</x:f>
        <x:v>46313</x:v>
      </x:c>
      <x:c r="B51" s="10" t="n">
        <x:f>SUMIFS(SalesLines[Net sales],SalesLines[Date],$A51)</x:f>
        <x:v>1931.0500000000006</x:v>
      </x:c>
      <x:c r="C51" s="18" t="n">
        <x:f>COUNTIFS(OrderTotals[Date],$A51)</x:f>
        <x:v>21</x:v>
      </x:c>
      <x:c r="D51" s="18" t="n">
        <x:f>SUMIFS(SessionTraffic[Sessions],SessionTraffic[Date],$A51)</x:f>
        <x:v>858</x:v>
      </x:c>
      <x:c r="E51" s="18" t="n">
        <x:f>SUMIFS(SessionTraffic[Purchasing sessions],SessionTraffic[Date],$A51)</x:f>
        <x:v>21</x:v>
      </x:c>
      <x:c r="F51" s="19" t="n">
        <x:f>IF(D51=0,"n.a.",E51/D51)</x:f>
        <x:v>0.024475524475524476</x:v>
      </x:c>
      <x:c r="G51" s="2"/>
      <x:c r="H51" s="2" t="str">
        <x:v>Values: Sum of Net sales. Filter: Report period = Selected.</x:v>
      </x:c>
      <x:c r="I51" s="2"/>
      <x:c r="J51" s="2"/>
      <x:c r="K51" s="2"/>
      <x:c r="L51" s="2"/>
      <x:c r="M51" s="2"/>
      <x:c r="N51" s="2"/>
      <x:c r="O51" s="2"/>
      <x:c r="P51" s="2"/>
    </x:row>
    <x:row r="52" ht="20" customHeight="1">
      <x:c r="A52" s="25" t="n">
        <x:f>$D$4-29+22</x:f>
        <x:v>46314</x:v>
      </x:c>
      <x:c r="B52" s="10" t="n">
        <x:f>SUMIFS(SalesLines[Net sales],SalesLines[Date],$A52)</x:f>
        <x:v>1682.6700000000008</x:v>
      </x:c>
      <x:c r="C52" s="18" t="n">
        <x:f>COUNTIFS(OrderTotals[Date],$A52)</x:f>
        <x:v>23</x:v>
      </x:c>
      <x:c r="D52" s="18" t="n">
        <x:f>SUMIFS(SessionTraffic[Sessions],SessionTraffic[Date],$A52)</x:f>
        <x:v>846</x:v>
      </x:c>
      <x:c r="E52" s="18" t="n">
        <x:f>SUMIFS(SessionTraffic[Purchasing sessions],SessionTraffic[Date],$A52)</x:f>
        <x:v>23</x:v>
      </x:c>
      <x:c r="F52" s="19" t="n">
        <x:f>IF(D52=0,"n.a.",E52/D52)</x:f>
        <x:v>0.027186761229314422</x:v>
      </x:c>
      <x:c r="G52" s="2"/>
      <x:c r="H52" s="2" t="str">
        <x:v>See EXCEL_GUIDE.md for steps and the optional Office Script.</x:v>
      </x:c>
      <x:c r="I52" s="2"/>
      <x:c r="J52" s="2"/>
      <x:c r="K52" s="2"/>
      <x:c r="L52" s="2"/>
      <x:c r="M52" s="2"/>
      <x:c r="N52" s="2"/>
      <x:c r="O52" s="2"/>
      <x:c r="P52" s="2"/>
    </x:row>
    <x:row r="53" ht="20" customHeight="1">
      <x:c r="A53" s="25" t="n">
        <x:f>$D$4-29+23</x:f>
        <x:v>46315</x:v>
      </x:c>
      <x:c r="B53" s="10" t="n">
        <x:f>SUMIFS(SalesLines[Net sales],SalesLines[Date],$A53)</x:f>
        <x:v>1802.0700000000002</x:v>
      </x:c>
      <x:c r="C53" s="18" t="n">
        <x:f>COUNTIFS(OrderTotals[Date],$A53)</x:f>
        <x:v>23</x:v>
      </x:c>
      <x:c r="D53" s="18" t="n">
        <x:f>SUMIFS(SessionTraffic[Sessions],SessionTraffic[Date],$A53)</x:f>
        <x:v>866</x:v>
      </x:c>
      <x:c r="E53" s="18" t="n">
        <x:f>SUMIFS(SessionTraffic[Purchasing sessions],SessionTraffic[Date],$A53)</x:f>
        <x:v>23</x:v>
      </x:c>
      <x:c r="F53" s="19" t="n">
        <x:f>IF(D53=0,"n.a.",E53/D53)</x:f>
        <x:v>0.026558891454965358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0" customHeight="1">
      <x:c r="A54" s="25" t="n">
        <x:f>$D$4-29+24</x:f>
        <x:v>46316</x:v>
      </x:c>
      <x:c r="B54" s="10" t="n">
        <x:f>SUMIFS(SalesLines[Net sales],SalesLines[Date],$A54)</x:f>
        <x:v>1609.0800000000008</x:v>
      </x:c>
      <x:c r="C54" s="18" t="n">
        <x:f>COUNTIFS(OrderTotals[Date],$A54)</x:f>
        <x:v>27</x:v>
      </x:c>
      <x:c r="D54" s="18" t="n">
        <x:f>SUMIFS(SessionTraffic[Sessions],SessionTraffic[Date],$A54)</x:f>
        <x:v>1016</x:v>
      </x:c>
      <x:c r="E54" s="18" t="n">
        <x:f>SUMIFS(SessionTraffic[Purchasing sessions],SessionTraffic[Date],$A54)</x:f>
        <x:v>27</x:v>
      </x:c>
      <x:c r="F54" s="19" t="n">
        <x:f>IF(D54=0,"n.a.",E54/D54)</x:f>
        <x:v>0.0265748031496063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0" customHeight="1">
      <x:c r="A55" s="25" t="n">
        <x:f>$D$4-29+25</x:f>
        <x:v>46317</x:v>
      </x:c>
      <x:c r="B55" s="10" t="n">
        <x:f>SUMIFS(SalesLines[Net sales],SalesLines[Date],$A55)</x:f>
        <x:v>1371.3500000000008</x:v>
      </x:c>
      <x:c r="C55" s="18" t="n">
        <x:f>COUNTIFS(OrderTotals[Date],$A55)</x:f>
        <x:v>23</x:v>
      </x:c>
      <x:c r="D55" s="18" t="n">
        <x:f>SUMIFS(SessionTraffic[Sessions],SessionTraffic[Date],$A55)</x:f>
        <x:v>985</x:v>
      </x:c>
      <x:c r="E55" s="18" t="n">
        <x:f>SUMIFS(SessionTraffic[Purchasing sessions],SessionTraffic[Date],$A55)</x:f>
        <x:v>23</x:v>
      </x:c>
      <x:c r="F55" s="19" t="n">
        <x:f>IF(D55=0,"n.a.",E55/D55)</x:f>
        <x:v>0.023350253807106598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0" customHeight="1">
      <x:c r="A56" s="25" t="n">
        <x:f>$D$4-29+26</x:f>
        <x:v>46318</x:v>
      </x:c>
      <x:c r="B56" s="10" t="n">
        <x:f>SUMIFS(SalesLines[Net sales],SalesLines[Date],$A56)</x:f>
        <x:v>923.7600000000001</x:v>
      </x:c>
      <x:c r="C56" s="18" t="n">
        <x:f>COUNTIFS(OrderTotals[Date],$A56)</x:f>
        <x:v>15</x:v>
      </x:c>
      <x:c r="D56" s="18" t="n">
        <x:f>SUMIFS(SessionTraffic[Sessions],SessionTraffic[Date],$A56)</x:f>
        <x:v>679</x:v>
      </x:c>
      <x:c r="E56" s="18" t="n">
        <x:f>SUMIFS(SessionTraffic[Purchasing sessions],SessionTraffic[Date],$A56)</x:f>
        <x:v>15</x:v>
      </x:c>
      <x:c r="F56" s="19" t="n">
        <x:f>IF(D56=0,"n.a.",E56/D56)</x:f>
        <x:v>0.022091310751104567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0" customHeight="1">
      <x:c r="A57" s="25" t="n">
        <x:f>$D$4-29+27</x:f>
        <x:v>46319</x:v>
      </x:c>
      <x:c r="B57" s="10" t="n">
        <x:f>SUMIFS(SalesLines[Net sales],SalesLines[Date],$A57)</x:f>
        <x:v>1392.8700000000003</x:v>
      </x:c>
      <x:c r="C57" s="18" t="n">
        <x:f>COUNTIFS(OrderTotals[Date],$A57)</x:f>
        <x:v>17</x:v>
      </x:c>
      <x:c r="D57" s="18" t="n">
        <x:f>SUMIFS(SessionTraffic[Sessions],SessionTraffic[Date],$A57)</x:f>
        <x:v>681</x:v>
      </x:c>
      <x:c r="E57" s="18" t="n">
        <x:f>SUMIFS(SessionTraffic[Purchasing sessions],SessionTraffic[Date],$A57)</x:f>
        <x:v>17</x:v>
      </x:c>
      <x:c r="F57" s="19" t="n">
        <x:f>IF(D57=0,"n.a.",E57/D57)</x:f>
        <x:v>0.024963289280469897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0" customHeight="1">
      <x:c r="A58" s="25" t="n">
        <x:f>$D$4-29+28</x:f>
        <x:v>46320</x:v>
      </x:c>
      <x:c r="B58" s="10" t="n">
        <x:f>SUMIFS(SalesLines[Net sales],SalesLines[Date],$A58)</x:f>
        <x:v>1198.1300000000006</x:v>
      </x:c>
      <x:c r="C58" s="18" t="n">
        <x:f>COUNTIFS(OrderTotals[Date],$A58)</x:f>
        <x:v>18</x:v>
      </x:c>
      <x:c r="D58" s="18" t="n">
        <x:f>SUMIFS(SessionTraffic[Sessions],SessionTraffic[Date],$A58)</x:f>
        <x:v>745</x:v>
      </x:c>
      <x:c r="E58" s="18" t="n">
        <x:f>SUMIFS(SessionTraffic[Purchasing sessions],SessionTraffic[Date],$A58)</x:f>
        <x:v>18</x:v>
      </x:c>
      <x:c r="F58" s="19" t="n">
        <x:f>IF(D58=0,"n.a.",E58/D58)</x:f>
        <x:v>0.024161073825503355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0" customHeight="1">
      <x:c r="A59" s="25" t="n">
        <x:f>$D$4-29+29</x:f>
        <x:v>46321</x:v>
      </x:c>
      <x:c r="B59" s="10" t="n">
        <x:f>SUMIFS(SalesLines[Net sales],SalesLines[Date],$A59)</x:f>
        <x:v>1282.0200000000004</x:v>
      </x:c>
      <x:c r="C59" s="18" t="n">
        <x:f>COUNTIFS(OrderTotals[Date],$A59)</x:f>
        <x:v>19</x:v>
      </x:c>
      <x:c r="D59" s="18" t="n">
        <x:f>SUMIFS(SessionTraffic[Sessions],SessionTraffic[Date],$A59)</x:f>
        <x:v>824</x:v>
      </x:c>
      <x:c r="E59" s="18" t="n">
        <x:f>SUMIFS(SessionTraffic[Purchasing sessions],SessionTraffic[Date],$A59)</x:f>
        <x:v>19</x:v>
      </x:c>
      <x:c r="F59" s="19" t="n">
        <x:f>IF(D59=0,"n.a.",E59/D59)</x:f>
        <x:v>0.023058252427184466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 t="str">
        <x:v>Chart dates</x:v>
      </x:c>
      <x:c r="I61" s="2" t="str">
        <x:v>Net sales</x:v>
      </x:c>
      <x:c r="J61" s="2"/>
      <x:c r="K61" s="2"/>
      <x:c r="L61" s="2"/>
      <x:c r="M61" s="2"/>
      <x:c r="N61" s="2"/>
      <x:c r="O61" s="2"/>
      <x:c r="P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 t="str">
        <x:f>TEXT(A30,"mmm d")</x:f>
        <x:v>Sep 27</x:v>
      </x:c>
      <x:c r="I62" s="2" t="n">
        <x:f>B30</x:f>
        <x:v>1076.9400000000003</x:v>
      </x:c>
      <x:c r="J62" s="2"/>
      <x:c r="K62" s="2"/>
      <x:c r="L62" s="2"/>
      <x:c r="M62" s="2"/>
      <x:c r="N62" s="2"/>
      <x:c r="O62" s="2"/>
      <x:c r="P62" s="2"/>
    </x:row>
    <x:row r="63">
      <x:c r="H63" t="str">
        <x:f>TEXT(A31,"mmm d")</x:f>
        <x:v>Sep 28</x:v>
      </x:c>
      <x:c r="I63" t="n">
        <x:f>B31</x:f>
        <x:v>840.0500000000001</x:v>
      </x:c>
    </x:row>
    <x:row r="64">
      <x:c r="H64" t="str">
        <x:f>TEXT(A32,"mmm d")</x:f>
        <x:v>Sep 29</x:v>
      </x:c>
      <x:c r="I64" t="n">
        <x:f>B32</x:f>
        <x:v>1001.1800000000002</x:v>
      </x:c>
    </x:row>
    <x:row r="65">
      <x:c r="H65" t="str">
        <x:f>TEXT(A33,"mmm d")</x:f>
        <x:v>Sep 30</x:v>
      </x:c>
      <x:c r="I65" t="n">
        <x:f>B33</x:f>
        <x:v>1195.13</x:v>
      </x:c>
    </x:row>
    <x:row r="66">
      <x:c r="H66" t="str">
        <x:f>TEXT(A34,"mmm d")</x:f>
        <x:v>Oct 1</x:v>
      </x:c>
      <x:c r="I66" t="n">
        <x:f>B34</x:f>
        <x:v>1013.0500000000001</x:v>
      </x:c>
    </x:row>
    <x:row r="67">
      <x:c r="H67" t="str">
        <x:f>TEXT(A35,"mmm d")</x:f>
        <x:v>Oct 2</x:v>
      </x:c>
      <x:c r="I67" t="n">
        <x:f>B35</x:f>
        <x:v>1108.2000000000003</x:v>
      </x:c>
    </x:row>
    <x:row r="68">
      <x:c r="H68" t="str">
        <x:f>TEXT(A36,"mmm d")</x:f>
        <x:v>Oct 3</x:v>
      </x:c>
      <x:c r="I68" t="n">
        <x:f>B36</x:f>
        <x:v>1447.3000000000002</x:v>
      </x:c>
    </x:row>
    <x:row r="69">
      <x:c r="H69" t="str">
        <x:f>TEXT(A37,"mmm d")</x:f>
        <x:v>Oct 4</x:v>
      </x:c>
      <x:c r="I69" t="n">
        <x:f>B37</x:f>
        <x:v>374.19</x:v>
      </x:c>
    </x:row>
    <x:row r="70">
      <x:c r="H70" t="str">
        <x:f>TEXT(A38,"mmm d")</x:f>
        <x:v>Oct 5</x:v>
      </x:c>
      <x:c r="I70" t="n">
        <x:f>B38</x:f>
        <x:v>1186.0300000000002</x:v>
      </x:c>
    </x:row>
    <x:row r="71">
      <x:c r="H71" t="str">
        <x:f>TEXT(A39,"mmm d")</x:f>
        <x:v>Oct 6</x:v>
      </x:c>
      <x:c r="I71" t="n">
        <x:f>B39</x:f>
        <x:v>1090.9000000000003</x:v>
      </x:c>
    </x:row>
    <x:row r="72">
      <x:c r="H72" t="str">
        <x:f>TEXT(A40,"mmm d")</x:f>
        <x:v>Oct 7</x:v>
      </x:c>
      <x:c r="I72" t="n">
        <x:f>B40</x:f>
        <x:v>889.0000000000002</x:v>
      </x:c>
    </x:row>
    <x:row r="73">
      <x:c r="H73" t="str">
        <x:f>TEXT(A41,"mmm d")</x:f>
        <x:v>Oct 8</x:v>
      </x:c>
      <x:c r="I73" t="n">
        <x:f>B41</x:f>
        <x:v>636.21</x:v>
      </x:c>
    </x:row>
    <x:row r="74">
      <x:c r="H74" t="str">
        <x:f>TEXT(A42,"mmm d")</x:f>
        <x:v>Oct 9</x:v>
      </x:c>
      <x:c r="I74" t="n">
        <x:f>B42</x:f>
        <x:v>1346.2800000000004</x:v>
      </x:c>
    </x:row>
    <x:row r="75">
      <x:c r="H75" t="str">
        <x:f>TEXT(A43,"mmm d")</x:f>
        <x:v>Oct 10</x:v>
      </x:c>
      <x:c r="I75" t="n">
        <x:f>B43</x:f>
        <x:v>896.5699999999999</x:v>
      </x:c>
    </x:row>
    <x:row r="76">
      <x:c r="H76" t="str">
        <x:f>TEXT(A44,"mmm d")</x:f>
        <x:v>Oct 11</x:v>
      </x:c>
      <x:c r="I76" t="n">
        <x:f>B44</x:f>
        <x:v>963.8500000000004</x:v>
      </x:c>
    </x:row>
    <x:row r="77">
      <x:c r="H77" t="str">
        <x:f>TEXT(A45,"mmm d")</x:f>
        <x:v>Oct 12</x:v>
      </x:c>
      <x:c r="I77" t="n">
        <x:f>B45</x:f>
        <x:v>1212.1900000000005</x:v>
      </x:c>
    </x:row>
    <x:row r="78">
      <x:c r="H78" t="str">
        <x:f>TEXT(A46,"mmm d")</x:f>
        <x:v>Oct 13</x:v>
      </x:c>
      <x:c r="I78" t="n">
        <x:f>B46</x:f>
        <x:v>1316.5400000000004</x:v>
      </x:c>
    </x:row>
    <x:row r="79">
      <x:c r="H79" t="str">
        <x:f>TEXT(A47,"mmm d")</x:f>
        <x:v>Oct 14</x:v>
      </x:c>
      <x:c r="I79" t="n">
        <x:f>B47</x:f>
        <x:v>1210.5000000000005</x:v>
      </x:c>
    </x:row>
    <x:row r="80">
      <x:c r="H80" t="str">
        <x:f>TEXT(A48,"mmm d")</x:f>
        <x:v>Oct 15</x:v>
      </x:c>
      <x:c r="I80" t="n">
        <x:f>B48</x:f>
        <x:v>1198.9100000000003</x:v>
      </x:c>
    </x:row>
    <x:row r="81">
      <x:c r="H81" t="str">
        <x:f>TEXT(A49,"mmm d")</x:f>
        <x:v>Oct 16</x:v>
      </x:c>
      <x:c r="I81" t="n">
        <x:f>B49</x:f>
        <x:v>1620.7300000000005</x:v>
      </x:c>
    </x:row>
    <x:row r="82">
      <x:c r="H82" t="str">
        <x:f>TEXT(A50,"mmm d")</x:f>
        <x:v>Oct 17</x:v>
      </x:c>
      <x:c r="I82" t="n">
        <x:f>B50</x:f>
        <x:v>1429.8500000000006</x:v>
      </x:c>
    </x:row>
    <x:row r="83">
      <x:c r="H83" t="str">
        <x:f>TEXT(A51,"mmm d")</x:f>
        <x:v>Oct 18</x:v>
      </x:c>
      <x:c r="I83" t="n">
        <x:f>B51</x:f>
        <x:v>1931.0500000000006</x:v>
      </x:c>
    </x:row>
    <x:row r="84">
      <x:c r="H84" t="str">
        <x:f>TEXT(A52,"mmm d")</x:f>
        <x:v>Oct 19</x:v>
      </x:c>
      <x:c r="I84" t="n">
        <x:f>B52</x:f>
        <x:v>1682.6700000000008</x:v>
      </x:c>
    </x:row>
    <x:row r="85">
      <x:c r="H85" t="str">
        <x:f>TEXT(A53,"mmm d")</x:f>
        <x:v>Oct 20</x:v>
      </x:c>
      <x:c r="I85" t="n">
        <x:f>B53</x:f>
        <x:v>1802.0700000000002</x:v>
      </x:c>
    </x:row>
    <x:row r="86">
      <x:c r="H86" t="str">
        <x:f>TEXT(A54,"mmm d")</x:f>
        <x:v>Oct 21</x:v>
      </x:c>
      <x:c r="I86" t="n">
        <x:f>B54</x:f>
        <x:v>1609.0800000000008</x:v>
      </x:c>
    </x:row>
    <x:row r="87">
      <x:c r="H87" t="str">
        <x:f>TEXT(A55,"mmm d")</x:f>
        <x:v>Oct 22</x:v>
      </x:c>
      <x:c r="I87" t="n">
        <x:f>B55</x:f>
        <x:v>1371.3500000000008</x:v>
      </x:c>
    </x:row>
    <x:row r="88">
      <x:c r="H88" t="str">
        <x:f>TEXT(A56,"mmm d")</x:f>
        <x:v>Oct 23</x:v>
      </x:c>
      <x:c r="I88" t="n">
        <x:f>B56</x:f>
        <x:v>923.7600000000001</x:v>
      </x:c>
    </x:row>
    <x:row r="89">
      <x:c r="H89" t="str">
        <x:f>TEXT(A57,"mmm d")</x:f>
        <x:v>Oct 24</x:v>
      </x:c>
      <x:c r="I89" t="n">
        <x:f>B57</x:f>
        <x:v>1392.8700000000003</x:v>
      </x:c>
    </x:row>
    <x:row r="90">
      <x:c r="H90" t="str">
        <x:f>TEXT(A58,"mmm d")</x:f>
        <x:v>Oct 25</x:v>
      </x:c>
      <x:c r="I90" t="n">
        <x:f>B58</x:f>
        <x:v>1198.1300000000006</x:v>
      </x:c>
    </x:row>
    <x:row r="91">
      <x:c r="H91" t="str">
        <x:f>TEXT(A59,"mmm d")</x:f>
        <x:v>Oct 26</x:v>
      </x:c>
      <x:c r="I91" t="n">
        <x:f>B59</x:f>
        <x:v>1282.0200000000004</x:v>
      </x:c>
    </x:row>
  </x:sheetData>
  <x:conditionalFormatting sqref="B17:B17">
    <x:cfRule type="cellIs" dxfId="2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24014652ad1540a5"/>
</x:worksheet>
</file>

<file path=xl/worksheets/sheet2.xml><?xml version="1.0" encoding="utf-8"?>
<x:worksheet xmlns:x="http://schemas.openxmlformats.org/spreadsheetml/2006/main">
  <x:sheetPr>
    <x:tabColor rgb="FF9AAB8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0" customHeight="1">
      <x:c r="A2" s="3" t="str">
        <x:v>Inventory and replenishment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0" customHeight="1">
      <x:c r="A4" s="2" t="str">
        <x:v>Stock as of</x:v>
      </x:c>
      <x:c r="B4" s="9" t="n">
        <x:v>46321</x:v>
      </x:c>
      <x:c r="C4" s="2" t="str">
        <x:v>Buffer days</x:v>
      </x:c>
      <x:c r="D4" s="13" t="n">
        <x:v>7</x:v>
      </x:c>
      <x:c r="E4" s="2"/>
      <x:c r="F4" s="2"/>
      <x:c r="G4" s="2"/>
      <x:c r="H4" s="2"/>
      <x:c r="I4" s="2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8" t="str">
        <x:v>SKU</x:v>
      </x:c>
      <x:c r="B6" s="8" t="str">
        <x:v>Product</x:v>
      </x:c>
      <x:c r="C6" s="8" t="str">
        <x:v>Status</x:v>
      </x:c>
      <x:c r="D6" s="8" t="str">
        <x:v>Available</x:v>
      </x:c>
      <x:c r="E6" s="8" t="str">
        <x:v>Lead days</x:v>
      </x:c>
      <x:c r="F6" s="8" t="str">
        <x:v>Units / 7d</x:v>
      </x:c>
      <x:c r="G6" s="8" t="str">
        <x:v>Daily demand</x:v>
      </x:c>
      <x:c r="H6" s="8" t="str">
        <x:v>Days cover</x:v>
      </x:c>
      <x:c r="I6" s="8" t="str">
        <x:v>Suggested order</x:v>
      </x:c>
      <x:c r="J6" s="8" t="str">
        <x:v>Action</x:v>
      </x:c>
    </x:row>
    <x:row r="7" ht="20" customHeight="1">
      <x:c r="A7" s="2" t="str">
        <x:v>APP-001</x:v>
      </x:c>
      <x:c r="B7" s="2" t="str">
        <x:f>VLOOKUP(A7,'Products'!$A$7:$I$22,2,FALSE)</x:f>
        <x:v>Everyday crewneck</x:v>
      </x:c>
      <x:c r="C7" s="2" t="str">
        <x:f>VLOOKUP(A7,'Products'!$A$7:$I$22,7,FALSE)</x:f>
        <x:v>active</x:v>
      </x:c>
      <x:c r="D7" s="2" t="n">
        <x:f>VLOOKUP(A7,'Products'!$A$7:$I$22,6,FALSE)</x:f>
        <x:v>92</x:v>
      </x:c>
      <x:c r="E7" s="2" t="n">
        <x:f>VLOOKUP(A7,'Products'!$A$7:$I$22,5,FALSE)</x:f>
        <x:v>14</x:v>
      </x:c>
      <x:c r="F7" s="2" t="n">
        <x:f>SUMIFS(SalesLines[Quantity],SalesLines[SKU],A7,SalesLines[Date],"&gt;="&amp;($B$4-6),SalesLines[Date],"&lt;="&amp;$B$4)</x:f>
        <x:v>15</x:v>
      </x:c>
      <x:c r="G7" s="14" t="n">
        <x:f>F7/7</x:f>
        <x:v>2.142857142857143</x:v>
      </x:c>
      <x:c r="H7" s="15" t="n">
        <x:f>IF(G7=0,"n.a.",D7/G7)</x:f>
        <x:v>42.93333333333334</x:v>
      </x:c>
      <x:c r="I7" s="2" t="n">
        <x:f>MAX(0,ROUNDUP(G7*(E7+$D$4)-D7,0))</x:f>
        <x:v>0</x:v>
      </x:c>
      <x:c r="J7" s="2" t="str">
        <x:f>IF(C7="draft","Draft",IF(D7=0,"Stockout",IF(D7&lt;=G7*(E7+$D$4),"Reorder","Healthy")))</x:f>
        <x:v>Healthy</x:v>
      </x:c>
    </x:row>
    <x:row r="8" ht="20" customHeight="1">
      <x:c r="A8" s="2" t="str">
        <x:v>APP-002</x:v>
      </x:c>
      <x:c r="B8" s="2" t="str">
        <x:f>VLOOKUP(A8,'Products'!$A$7:$I$22,2,FALSE)</x:f>
        <x:v>Weekend hoodie</x:v>
      </x:c>
      <x:c r="C8" s="2" t="str">
        <x:f>VLOOKUP(A8,'Products'!$A$7:$I$22,7,FALSE)</x:f>
        <x:v>active</x:v>
      </x:c>
      <x:c r="D8" s="2" t="n">
        <x:f>VLOOKUP(A8,'Products'!$A$7:$I$22,6,FALSE)</x:f>
        <x:v>32</x:v>
      </x:c>
      <x:c r="E8" s="2" t="n">
        <x:f>VLOOKUP(A8,'Products'!$A$7:$I$22,5,FALSE)</x:f>
        <x:v>14</x:v>
      </x:c>
      <x:c r="F8" s="2" t="n">
        <x:f>SUMIFS(SalesLines[Quantity],SalesLines[SKU],A8,SalesLines[Date],"&gt;="&amp;($B$4-6),SalesLines[Date],"&lt;="&amp;$B$4)</x:f>
        <x:v>20</x:v>
      </x:c>
      <x:c r="G8" s="14" t="n">
        <x:f>F8/7</x:f>
        <x:v>2.857142857142857</x:v>
      </x:c>
      <x:c r="H8" s="15" t="n">
        <x:f>IF(G8=0,"n.a.",D8/G8)</x:f>
        <x:v>11.2</x:v>
      </x:c>
      <x:c r="I8" s="2" t="n">
        <x:f>MAX(0,ROUNDUP(G8*(E8+$D$4)-D8,0))</x:f>
        <x:v>28</x:v>
      </x:c>
      <x:c r="J8" s="2" t="str">
        <x:f>IF(C8="draft","Draft",IF(D8=0,"Stockout",IF(D8&lt;=G8*(E8+$D$4),"Reorder","Healthy")))</x:f>
        <x:v>Reorder</x:v>
      </x:c>
    </x:row>
    <x:row r="9" ht="20" customHeight="1">
      <x:c r="A9" s="2" t="str">
        <x:v>APP-003</x:v>
      </x:c>
      <x:c r="B9" s="2" t="str">
        <x:f>VLOOKUP(A9,'Products'!$A$7:$I$22,2,FALSE)</x:f>
        <x:v>Coffee club tee</x:v>
      </x:c>
      <x:c r="C9" s="2" t="str">
        <x:f>VLOOKUP(A9,'Products'!$A$7:$I$22,7,FALSE)</x:f>
        <x:v>active</x:v>
      </x:c>
      <x:c r="D9" s="2" t="n">
        <x:f>VLOOKUP(A9,'Products'!$A$7:$I$22,6,FALSE)</x:f>
        <x:v>4</x:v>
      </x:c>
      <x:c r="E9" s="2" t="n">
        <x:f>VLOOKUP(A9,'Products'!$A$7:$I$22,5,FALSE)</x:f>
        <x:v>14</x:v>
      </x:c>
      <x:c r="F9" s="2" t="n">
        <x:f>SUMIFS(SalesLines[Quantity],SalesLines[SKU],A9,SalesLines[Date],"&gt;="&amp;($B$4-6),SalesLines[Date],"&lt;="&amp;$B$4)</x:f>
        <x:v>18</x:v>
      </x:c>
      <x:c r="G9" s="14" t="n">
        <x:f>F9/7</x:f>
        <x:v>2.5714285714285716</x:v>
      </x:c>
      <x:c r="H9" s="15" t="n">
        <x:f>IF(G9=0,"n.a.",D9/G9)</x:f>
        <x:v>1.5555555555555554</x:v>
      </x:c>
      <x:c r="I9" s="2" t="n">
        <x:f>MAX(0,ROUNDUP(G9*(E9+$D$4)-D9,0))</x:f>
        <x:v>51</x:v>
      </x:c>
      <x:c r="J9" s="2" t="str">
        <x:f>IF(C9="draft","Draft",IF(D9=0,"Stockout",IF(D9&lt;=G9*(E9+$D$4),"Reorder","Healthy")))</x:f>
        <x:v>Reorder</x:v>
      </x:c>
    </x:row>
    <x:row r="10" ht="20" customHeight="1">
      <x:c r="A10" s="2" t="str">
        <x:v>BOT-001</x:v>
      </x:c>
      <x:c r="B10" s="2" t="str">
        <x:f>VLOOKUP(A10,'Products'!$A$7:$I$22,2,FALSE)</x:f>
        <x:v>Trail water bottle</x:v>
      </x:c>
      <x:c r="C10" s="2" t="str">
        <x:f>VLOOKUP(A10,'Products'!$A$7:$I$22,7,FALSE)</x:f>
        <x:v>active</x:v>
      </x:c>
      <x:c r="D10" s="2" t="n">
        <x:f>VLOOKUP(A10,'Products'!$A$7:$I$22,6,FALSE)</x:f>
        <x:v>48</x:v>
      </x:c>
      <x:c r="E10" s="2" t="n">
        <x:f>VLOOKUP(A10,'Products'!$A$7:$I$22,5,FALSE)</x:f>
        <x:v>10</x:v>
      </x:c>
      <x:c r="F10" s="2" t="n">
        <x:f>SUMIFS(SalesLines[Quantity],SalesLines[SKU],A10,SalesLines[Date],"&gt;="&amp;($B$4-6),SalesLines[Date],"&lt;="&amp;$B$4)</x:f>
        <x:v>17</x:v>
      </x:c>
      <x:c r="G10" s="14" t="n">
        <x:f>F10/7</x:f>
        <x:v>2.4285714285714284</x:v>
      </x:c>
      <x:c r="H10" s="15" t="n">
        <x:f>IF(G10=0,"n.a.",D10/G10)</x:f>
        <x:v>19.764705882352942</x:v>
      </x:c>
      <x:c r="I10" s="2" t="n">
        <x:f>MAX(0,ROUNDUP(G10*(E10+$D$4)-D10,0))</x:f>
        <x:v>0</x:v>
      </x:c>
      <x:c r="J10" s="2" t="str">
        <x:f>IF(C10="draft","Draft",IF(D10=0,"Stockout",IF(D10&lt;=G10*(E10+$D$4),"Reorder","Healthy")))</x:f>
        <x:v>Healthy</x:v>
      </x:c>
    </x:row>
    <x:row r="11" ht="20" customHeight="1">
      <x:c r="A11" s="2" t="str">
        <x:v>GFT-001</x:v>
      </x:c>
      <x:c r="B11" s="2" t="str">
        <x:f>VLOOKUP(A11,'Products'!$A$7:$I$22,2,FALSE)</x:f>
        <x:v>Morning ritual gift set</x:v>
      </x:c>
      <x:c r="C11" s="2" t="str">
        <x:f>VLOOKUP(A11,'Products'!$A$7:$I$22,7,FALSE)</x:f>
        <x:v>active</x:v>
      </x:c>
      <x:c r="D11" s="2" t="n">
        <x:f>VLOOKUP(A11,'Products'!$A$7:$I$22,6,FALSE)</x:f>
        <x:v>21</x:v>
      </x:c>
      <x:c r="E11" s="2" t="n">
        <x:f>VLOOKUP(A11,'Products'!$A$7:$I$22,5,FALSE)</x:f>
        <x:v>10</x:v>
      </x:c>
      <x:c r="F11" s="2" t="n">
        <x:f>SUMIFS(SalesLines[Quantity],SalesLines[SKU],A11,SalesLines[Date],"&gt;="&amp;($B$4-6),SalesLines[Date],"&lt;="&amp;$B$4)</x:f>
        <x:v>28</x:v>
      </x:c>
      <x:c r="G11" s="14" t="n">
        <x:f>F11/7</x:f>
        <x:v>4</x:v>
      </x:c>
      <x:c r="H11" s="15" t="n">
        <x:f>IF(G11=0,"n.a.",D11/G11)</x:f>
        <x:v>5.25</x:v>
      </x:c>
      <x:c r="I11" s="2" t="n">
        <x:f>MAX(0,ROUNDUP(G11*(E11+$D$4)-D11,0))</x:f>
        <x:v>47</x:v>
      </x:c>
      <x:c r="J11" s="2" t="str">
        <x:f>IF(C11="draft","Draft",IF(D11=0,"Stockout",IF(D11&lt;=G11*(E11+$D$4),"Reorder","Healthy")))</x:f>
        <x:v>Reorder</x:v>
      </x:c>
    </x:row>
    <x:row r="12" ht="20" customHeight="1">
      <x:c r="A12" s="2" t="str">
        <x:v>GFT-002</x:v>
      </x:c>
      <x:c r="B12" s="2" t="str">
        <x:f>VLOOKUP(A12,'Products'!$A$7:$I$22,2,FALSE)</x:f>
        <x:v>Cozy weekend gift box</x:v>
      </x:c>
      <x:c r="C12" s="2" t="str">
        <x:f>VLOOKUP(A12,'Products'!$A$7:$I$22,7,FALSE)</x:f>
        <x:v>active</x:v>
      </x:c>
      <x:c r="D12" s="2" t="n">
        <x:f>VLOOKUP(A12,'Products'!$A$7:$I$22,6,FALSE)</x:f>
        <x:v>10</x:v>
      </x:c>
      <x:c r="E12" s="2" t="n">
        <x:f>VLOOKUP(A12,'Products'!$A$7:$I$22,5,FALSE)</x:f>
        <x:v>10</x:v>
      </x:c>
      <x:c r="F12" s="2" t="n">
        <x:f>SUMIFS(SalesLines[Quantity],SalesLines[SKU],A12,SalesLines[Date],"&gt;="&amp;($B$4-6),SalesLines[Date],"&lt;="&amp;$B$4)</x:f>
        <x:v>19</x:v>
      </x:c>
      <x:c r="G12" s="14" t="n">
        <x:f>F12/7</x:f>
        <x:v>2.7142857142857144</x:v>
      </x:c>
      <x:c r="H12" s="15" t="n">
        <x:f>IF(G12=0,"n.a.",D12/G12)</x:f>
        <x:v>3.6842105263157894</x:v>
      </x:c>
      <x:c r="I12" s="2" t="n">
        <x:f>MAX(0,ROUNDUP(G12*(E12+$D$4)-D12,0))</x:f>
        <x:v>37</x:v>
      </x:c>
      <x:c r="J12" s="2" t="str">
        <x:f>IF(C12="draft","Draft",IF(D12=0,"Stockout",IF(D12&lt;=G12*(E12+$D$4),"Reorder","Healthy")))</x:f>
        <x:v>Reorder</x:v>
      </x:c>
    </x:row>
    <x:row r="13" ht="20" customHeight="1">
      <x:c r="A13" s="2" t="str">
        <x:v>HAT-001</x:v>
      </x:c>
      <x:c r="B13" s="2" t="str">
        <x:f>VLOOKUP(A13,'Products'!$A$7:$I$22,2,FALSE)</x:f>
        <x:v>Classic canvas cap</x:v>
      </x:c>
      <x:c r="C13" s="2" t="str">
        <x:f>VLOOKUP(A13,'Products'!$A$7:$I$22,7,FALSE)</x:f>
        <x:v>active</x:v>
      </x:c>
      <x:c r="D13" s="2" t="n">
        <x:f>VLOOKUP(A13,'Products'!$A$7:$I$22,6,FALSE)</x:f>
        <x:v>62</x:v>
      </x:c>
      <x:c r="E13" s="2" t="n">
        <x:f>VLOOKUP(A13,'Products'!$A$7:$I$22,5,FALSE)</x:f>
        <x:v>10</x:v>
      </x:c>
      <x:c r="F13" s="2" t="n">
        <x:f>SUMIFS(SalesLines[Quantity],SalesLines[SKU],A13,SalesLines[Date],"&gt;="&amp;($B$4-6),SalesLines[Date],"&lt;="&amp;$B$4)</x:f>
        <x:v>22</x:v>
      </x:c>
      <x:c r="G13" s="14" t="n">
        <x:f>F13/7</x:f>
        <x:v>3.142857142857143</x:v>
      </x:c>
      <x:c r="H13" s="15" t="n">
        <x:f>IF(G13=0,"n.a.",D13/G13)</x:f>
        <x:v>19.727272727272727</x:v>
      </x:c>
      <x:c r="I13" s="2" t="n">
        <x:f>MAX(0,ROUNDUP(G13*(E13+$D$4)-D13,0))</x:f>
        <x:v>0</x:v>
      </x:c>
      <x:c r="J13" s="2" t="str">
        <x:f>IF(C13="draft","Draft",IF(D13=0,"Stockout",IF(D13&lt;=G13*(E13+$D$4),"Reorder","Healthy")))</x:f>
        <x:v>Healthy</x:v>
      </x:c>
    </x:row>
    <x:row r="14" ht="20" customHeight="1">
      <x:c r="A14" s="2" t="str">
        <x:v>HOL-001</x:v>
      </x:c>
      <x:c r="B14" s="2" t="str">
        <x:f>VLOOKUP(A14,'Products'!$A$7:$I$22,2,FALSE)</x:f>
        <x:v>Winter ceramic mug</x:v>
      </x:c>
      <x:c r="C14" s="2" t="str">
        <x:f>VLOOKUP(A14,'Products'!$A$7:$I$22,7,FALSE)</x:f>
        <x:v>draft</x:v>
      </x:c>
      <x:c r="D14" s="2" t="n">
        <x:f>VLOOKUP(A14,'Products'!$A$7:$I$22,6,FALSE)</x:f>
        <x:v>90</x:v>
      </x:c>
      <x:c r="E14" s="2" t="n">
        <x:f>VLOOKUP(A14,'Products'!$A$7:$I$22,5,FALSE)</x:f>
        <x:v>10</x:v>
      </x:c>
      <x:c r="F14" s="2" t="n">
        <x:f>SUMIFS(SalesLines[Quantity],SalesLines[SKU],A14,SalesLines[Date],"&gt;="&amp;($B$4-6),SalesLines[Date],"&lt;="&amp;$B$4)</x:f>
        <x:v>0</x:v>
      </x:c>
      <x:c r="G14" s="14" t="n">
        <x:f>F14/7</x:f>
        <x:v>0</x:v>
      </x:c>
      <x:c r="H14" s="15" t="str">
        <x:f>IF(G14=0,"n.a.",D14/G14)</x:f>
        <x:v>n.a.</x:v>
      </x:c>
      <x:c r="I14" s="2" t="n">
        <x:f>MAX(0,ROUNDUP(G14*(E14+$D$4)-D14,0))</x:f>
        <x:v>0</x:v>
      </x:c>
      <x:c r="J14" s="2" t="str">
        <x:f>IF(C14="draft","Draft",IF(D14=0,"Stockout",IF(D14&lt;=G14*(E14+$D$4),"Reorder","Healthy")))</x:f>
        <x:v>Draft</x:v>
      </x:c>
    </x:row>
    <x:row r="15" ht="20" customHeight="1">
      <x:c r="A15" s="2" t="str">
        <x:v>HOL-002</x:v>
      </x:c>
      <x:c r="B15" s="2" t="str">
        <x:f>VLOOKUP(A15,'Products'!$A$7:$I$22,2,FALSE)</x:f>
        <x:v>Winter knit beanie</x:v>
      </x:c>
      <x:c r="C15" s="2" t="str">
        <x:f>VLOOKUP(A15,'Products'!$A$7:$I$22,7,FALSE)</x:f>
        <x:v>draft</x:v>
      </x:c>
      <x:c r="D15" s="2" t="n">
        <x:f>VLOOKUP(A15,'Products'!$A$7:$I$22,6,FALSE)</x:f>
        <x:v>65</x:v>
      </x:c>
      <x:c r="E15" s="2" t="n">
        <x:f>VLOOKUP(A15,'Products'!$A$7:$I$22,5,FALSE)</x:f>
        <x:v>14</x:v>
      </x:c>
      <x:c r="F15" s="2" t="n">
        <x:f>SUMIFS(SalesLines[Quantity],SalesLines[SKU],A15,SalesLines[Date],"&gt;="&amp;($B$4-6),SalesLines[Date],"&lt;="&amp;$B$4)</x:f>
        <x:v>0</x:v>
      </x:c>
      <x:c r="G15" s="14" t="n">
        <x:f>F15/7</x:f>
        <x:v>0</x:v>
      </x:c>
      <x:c r="H15" s="15" t="str">
        <x:f>IF(G15=0,"n.a.",D15/G15)</x:f>
        <x:v>n.a.</x:v>
      </x:c>
      <x:c r="I15" s="2" t="n">
        <x:f>MAX(0,ROUNDUP(G15*(E15+$D$4)-D15,0))</x:f>
        <x:v>0</x:v>
      </x:c>
      <x:c r="J15" s="2" t="str">
        <x:f>IF(C15="draft","Draft",IF(D15=0,"Stockout",IF(D15&lt;=G15*(E15+$D$4),"Reorder","Healthy")))</x:f>
        <x:v>Draft</x:v>
      </x:c>
    </x:row>
    <x:row r="16" ht="20" customHeight="1">
      <x:c r="A16" s="2" t="str">
        <x:v>KEY-001</x:v>
      </x:c>
      <x:c r="B16" s="2" t="str">
        <x:f>VLOOKUP(A16,'Products'!$A$7:$I$22,2,FALSE)</x:f>
        <x:v>Maple keyring</x:v>
      </x:c>
      <x:c r="C16" s="2" t="str">
        <x:f>VLOOKUP(A16,'Products'!$A$7:$I$22,7,FALSE)</x:f>
        <x:v>active</x:v>
      </x:c>
      <x:c r="D16" s="2" t="n">
        <x:f>VLOOKUP(A16,'Products'!$A$7:$I$22,6,FALSE)</x:f>
        <x:v>88</x:v>
      </x:c>
      <x:c r="E16" s="2" t="n">
        <x:f>VLOOKUP(A16,'Products'!$A$7:$I$22,5,FALSE)</x:f>
        <x:v>10</x:v>
      </x:c>
      <x:c r="F16" s="2" t="n">
        <x:f>SUMIFS(SalesLines[Quantity],SalesLines[SKU],A16,SalesLines[Date],"&gt;="&amp;($B$4-6),SalesLines[Date],"&lt;="&amp;$B$4)</x:f>
        <x:v>15</x:v>
      </x:c>
      <x:c r="G16" s="14" t="n">
        <x:f>F16/7</x:f>
        <x:v>2.142857142857143</x:v>
      </x:c>
      <x:c r="H16" s="15" t="n">
        <x:f>IF(G16=0,"n.a.",D16/G16)</x:f>
        <x:v>41.06666666666667</x:v>
      </x:c>
      <x:c r="I16" s="2" t="n">
        <x:f>MAX(0,ROUNDUP(G16*(E16+$D$4)-D16,0))</x:f>
        <x:v>0</x:v>
      </x:c>
      <x:c r="J16" s="2" t="str">
        <x:f>IF(C16="draft","Draft",IF(D16=0,"Stockout",IF(D16&lt;=G16*(E16+$D$4),"Reorder","Healthy")))</x:f>
        <x:v>Healthy</x:v>
      </x:c>
    </x:row>
    <x:row r="17" ht="20" customHeight="1">
      <x:c r="A17" s="2" t="str">
        <x:v>MUG-001</x:v>
      </x:c>
      <x:c r="B17" s="2" t="str">
        <x:f>VLOOKUP(A17,'Products'!$A$7:$I$22,2,FALSE)</x:f>
        <x:v>Everyday ceramic mug</x:v>
      </x:c>
      <x:c r="C17" s="2" t="str">
        <x:f>VLOOKUP(A17,'Products'!$A$7:$I$22,7,FALSE)</x:f>
        <x:v>active</x:v>
      </x:c>
      <x:c r="D17" s="2" t="n">
        <x:f>VLOOKUP(A17,'Products'!$A$7:$I$22,6,FALSE)</x:f>
        <x:v>82</x:v>
      </x:c>
      <x:c r="E17" s="2" t="n">
        <x:f>VLOOKUP(A17,'Products'!$A$7:$I$22,5,FALSE)</x:f>
        <x:v>10</x:v>
      </x:c>
      <x:c r="F17" s="2" t="n">
        <x:f>SUMIFS(SalesLines[Quantity],SalesLines[SKU],A17,SalesLines[Date],"&gt;="&amp;($B$4-6),SalesLines[Date],"&lt;="&amp;$B$4)</x:f>
        <x:v>15</x:v>
      </x:c>
      <x:c r="G17" s="14" t="n">
        <x:f>F17/7</x:f>
        <x:v>2.142857142857143</x:v>
      </x:c>
      <x:c r="H17" s="15" t="n">
        <x:f>IF(G17=0,"n.a.",D17/G17)</x:f>
        <x:v>38.266666666666666</x:v>
      </x:c>
      <x:c r="I17" s="2" t="n">
        <x:f>MAX(0,ROUNDUP(G17*(E17+$D$4)-D17,0))</x:f>
        <x:v>0</x:v>
      </x:c>
      <x:c r="J17" s="2" t="str">
        <x:f>IF(C17="draft","Draft",IF(D17=0,"Stockout",IF(D17&lt;=G17*(E17+$D$4),"Reorder","Healthy")))</x:f>
        <x:v>Healthy</x:v>
      </x:c>
    </x:row>
    <x:row r="18" ht="20" customHeight="1">
      <x:c r="A18" s="2" t="str">
        <x:v>MUG-002</x:v>
      </x:c>
      <x:c r="B18" s="2" t="str">
        <x:f>VLOOKUP(A18,'Products'!$A$7:$I$22,2,FALSE)</x:f>
        <x:v>Campfire enamel mug</x:v>
      </x:c>
      <x:c r="C18" s="2" t="str">
        <x:f>VLOOKUP(A18,'Products'!$A$7:$I$22,7,FALSE)</x:f>
        <x:v>active</x:v>
      </x:c>
      <x:c r="D18" s="2" t="n">
        <x:f>VLOOKUP(A18,'Products'!$A$7:$I$22,6,FALSE)</x:f>
        <x:v>0</x:v>
      </x:c>
      <x:c r="E18" s="2" t="n">
        <x:f>VLOOKUP(A18,'Products'!$A$7:$I$22,5,FALSE)</x:f>
        <x:v>10</x:v>
      </x:c>
      <x:c r="F18" s="2" t="n">
        <x:f>SUMIFS(SalesLines[Quantity],SalesLines[SKU],A18,SalesLines[Date],"&gt;="&amp;($B$4-6),SalesLines[Date],"&lt;="&amp;$B$4)</x:f>
        <x:v>14</x:v>
      </x:c>
      <x:c r="G18" s="14" t="n">
        <x:f>F18/7</x:f>
        <x:v>2</x:v>
      </x:c>
      <x:c r="H18" s="15" t="n">
        <x:f>IF(G18=0,"n.a.",D18/G18)</x:f>
        <x:v>0</x:v>
      </x:c>
      <x:c r="I18" s="2" t="n">
        <x:f>MAX(0,ROUNDUP(G18*(E18+$D$4)-D18,0))</x:f>
        <x:v>34</x:v>
      </x:c>
      <x:c r="J18" s="2" t="str">
        <x:f>IF(C18="draft","Draft",IF(D18=0,"Stockout",IF(D18&lt;=G18*(E18+$D$4),"Reorder","Healthy")))</x:f>
        <x:v>Stockout</x:v>
      </x:c>
    </x:row>
    <x:row r="19" ht="20" customHeight="1">
      <x:c r="A19" s="2" t="str">
        <x:v>PIN-001</x:v>
      </x:c>
      <x:c r="B19" s="2" t="str">
        <x:f>VLOOKUP(A19,'Products'!$A$7:$I$22,2,FALSE)</x:f>
        <x:v>Coffee enamel pin</x:v>
      </x:c>
      <x:c r="C19" s="2" t="str">
        <x:f>VLOOKUP(A19,'Products'!$A$7:$I$22,7,FALSE)</x:f>
        <x:v>active</x:v>
      </x:c>
      <x:c r="D19" s="2" t="n">
        <x:f>VLOOKUP(A19,'Products'!$A$7:$I$22,6,FALSE)</x:f>
        <x:v>130</x:v>
      </x:c>
      <x:c r="E19" s="2" t="n">
        <x:f>VLOOKUP(A19,'Products'!$A$7:$I$22,5,FALSE)</x:f>
        <x:v>10</x:v>
      </x:c>
      <x:c r="F19" s="2" t="n">
        <x:f>SUMIFS(SalesLines[Quantity],SalesLines[SKU],A19,SalesLines[Date],"&gt;="&amp;($B$4-6),SalesLines[Date],"&lt;="&amp;$B$4)</x:f>
        <x:v>20</x:v>
      </x:c>
      <x:c r="G19" s="14" t="n">
        <x:f>F19/7</x:f>
        <x:v>2.857142857142857</x:v>
      </x:c>
      <x:c r="H19" s="15" t="n">
        <x:f>IF(G19=0,"n.a.",D19/G19)</x:f>
        <x:v>45.5</x:v>
      </x:c>
      <x:c r="I19" s="2" t="n">
        <x:f>MAX(0,ROUNDUP(G19*(E19+$D$4)-D19,0))</x:f>
        <x:v>0</x:v>
      </x:c>
      <x:c r="J19" s="2" t="str">
        <x:f>IF(C19="draft","Draft",IF(D19=0,"Stockout",IF(D19&lt;=G19*(E19+$D$4),"Reorder","Healthy")))</x:f>
        <x:v>Healthy</x:v>
      </x:c>
    </x:row>
    <x:row r="20" ht="20" customHeight="1">
      <x:c r="A20" s="2" t="str">
        <x:v>TOTE-001</x:v>
      </x:c>
      <x:c r="B20" s="2" t="str">
        <x:f>VLOOKUP(A20,'Products'!$A$7:$I$22,2,FALSE)</x:f>
        <x:v>Market canvas tote</x:v>
      </x:c>
      <x:c r="C20" s="2" t="str">
        <x:f>VLOOKUP(A20,'Products'!$A$7:$I$22,7,FALSE)</x:f>
        <x:v>active</x:v>
      </x:c>
      <x:c r="D20" s="2" t="n">
        <x:f>VLOOKUP(A20,'Products'!$A$7:$I$22,6,FALSE)</x:f>
        <x:v>120</x:v>
      </x:c>
      <x:c r="E20" s="2" t="n">
        <x:f>VLOOKUP(A20,'Products'!$A$7:$I$22,5,FALSE)</x:f>
        <x:v>10</x:v>
      </x:c>
      <x:c r="F20" s="2" t="n">
        <x:f>SUMIFS(SalesLines[Quantity],SalesLines[SKU],A20,SalesLines[Date],"&gt;="&amp;($B$4-6),SalesLines[Date],"&lt;="&amp;$B$4)</x:f>
        <x:v>22</x:v>
      </x:c>
      <x:c r="G20" s="14" t="n">
        <x:f>F20/7</x:f>
        <x:v>3.142857142857143</x:v>
      </x:c>
      <x:c r="H20" s="15" t="n">
        <x:f>IF(G20=0,"n.a.",D20/G20)</x:f>
        <x:v>38.18181818181818</x:v>
      </x:c>
      <x:c r="I20" s="2" t="n">
        <x:f>MAX(0,ROUNDUP(G20*(E20+$D$4)-D20,0))</x:f>
        <x:v>0</x:v>
      </x:c>
      <x:c r="J20" s="2" t="str">
        <x:f>IF(C20="draft","Draft",IF(D20=0,"Stockout",IF(D20&lt;=G20*(E20+$D$4),"Reorder","Healthy")))</x:f>
        <x:v>Healthy</x:v>
      </x:c>
    </x:row>
    <x:row r="21" ht="20" customHeight="1">
      <x:c r="A21" s="2" t="str">
        <x:v>TUM-001</x:v>
      </x:c>
      <x:c r="B21" s="2" t="str">
        <x:f>VLOOKUP(A21,'Products'!$A$7:$I$22,2,FALSE)</x:f>
        <x:v>Maple travel tumbler</x:v>
      </x:c>
      <x:c r="C21" s="2" t="str">
        <x:f>VLOOKUP(A21,'Products'!$A$7:$I$22,7,FALSE)</x:f>
        <x:v>active</x:v>
      </x:c>
      <x:c r="D21" s="2" t="n">
        <x:f>VLOOKUP(A21,'Products'!$A$7:$I$22,6,FALSE)</x:f>
        <x:v>6</x:v>
      </x:c>
      <x:c r="E21" s="2" t="n">
        <x:f>VLOOKUP(A21,'Products'!$A$7:$I$22,5,FALSE)</x:f>
        <x:v>10</x:v>
      </x:c>
      <x:c r="F21" s="2" t="n">
        <x:f>SUMIFS(SalesLines[Quantity],SalesLines[SKU],A21,SalesLines[Date],"&gt;="&amp;($B$4-6),SalesLines[Date],"&lt;="&amp;$B$4)</x:f>
        <x:v>20</x:v>
      </x:c>
      <x:c r="G21" s="14" t="n">
        <x:f>F21/7</x:f>
        <x:v>2.857142857142857</x:v>
      </x:c>
      <x:c r="H21" s="15" t="n">
        <x:f>IF(G21=0,"n.a.",D21/G21)</x:f>
        <x:v>2.1</x:v>
      </x:c>
      <x:c r="I21" s="2" t="n">
        <x:f>MAX(0,ROUNDUP(G21*(E21+$D$4)-D21,0))</x:f>
        <x:v>43</x:v>
      </x:c>
      <x:c r="J21" s="2" t="str">
        <x:f>IF(C21="draft","Draft",IF(D21=0,"Stockout",IF(D21&lt;=G21*(E21+$D$4),"Reorder","Healthy")))</x:f>
        <x:v>Reorder</x:v>
      </x:c>
    </x:row>
    <x:row r="22" ht="20" customHeight="1">
      <x:c r="A22" s="2" t="str">
        <x:v>TUM-002</x:v>
      </x:c>
      <x:c r="B22" s="2" t="str">
        <x:f>VLOOKUP(A22,'Products'!$A$7:$I$22,2,FALSE)</x:f>
        <x:v>Cold brew glass cup</x:v>
      </x:c>
      <x:c r="C22" s="2" t="str">
        <x:f>VLOOKUP(A22,'Products'!$A$7:$I$22,7,FALSE)</x:f>
        <x:v>active</x:v>
      </x:c>
      <x:c r="D22" s="2" t="n">
        <x:f>VLOOKUP(A22,'Products'!$A$7:$I$22,6,FALSE)</x:f>
        <x:v>71</x:v>
      </x:c>
      <x:c r="E22" s="2" t="n">
        <x:f>VLOOKUP(A22,'Products'!$A$7:$I$22,5,FALSE)</x:f>
        <x:v>10</x:v>
      </x:c>
      <x:c r="F22" s="2" t="n">
        <x:f>SUMIFS(SalesLines[Quantity],SalesLines[SKU],A22,SalesLines[Date],"&gt;="&amp;($B$4-6),SalesLines[Date],"&lt;="&amp;$B$4)</x:f>
        <x:v>29</x:v>
      </x:c>
      <x:c r="G22" s="14" t="n">
        <x:f>F22/7</x:f>
        <x:v>4.142857142857143</x:v>
      </x:c>
      <x:c r="H22" s="15" t="n">
        <x:f>IF(G22=0,"n.a.",D22/G22)</x:f>
        <x:v>17.137931034482758</x:v>
      </x:c>
      <x:c r="I22" s="2" t="n">
        <x:f>MAX(0,ROUNDUP(G22*(E22+$D$4)-D22,0))</x:f>
        <x:v>0</x:v>
      </x:c>
      <x:c r="J22" s="2" t="str">
        <x:f>IF(C22="draft","Draft",IF(D22=0,"Stockout",IF(D22&lt;=G22*(E22+$D$4),"Reorder","Healthy")))</x:f>
        <x:v>Healthy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0" customHeight="1">
      <x:c r="A24" s="16" t="str">
        <x:v>Demand uses gross units, not net units after returns. Confirm supplier capacity before ordering.</x:v>
      </x:c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J7:J22">
    <x:cfRule type="containsText" dxfId="0" priority="1" operator="containsText" text="Stockout"/>
    <x:cfRule type="containsText" dxfId="1" priority="2" operator="containsText" text="Reorder"/>
  </x:conditionalFormatting>
  <x:dataValidations count="1">
    <x:dataValidation type="whole" operator="between" sqref="D4">
      <x:formula1>0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2aaf8a7fa9047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13" hidden="0" customWidth="1"/>
    <x:col min="5" max="5" width="31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Sales line calculations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0" customHeight="1">
      <x:c r="A3" s="4" t="str">
        <x:v>Synthetic records; paid orders only; one row per order line; monetary inputs in CAD.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8" t="str">
        <x:v>Date</x:v>
      </x:c>
      <x:c r="B6" s="8" t="str">
        <x:v>Order ID</x:v>
      </x:c>
      <x:c r="C6" s="8" t="str">
        <x:v>Channel</x:v>
      </x:c>
      <x:c r="D6" s="8" t="str">
        <x:v>SKU</x:v>
      </x:c>
      <x:c r="E6" s="8" t="str">
        <x:v>Product</x:v>
      </x:c>
      <x:c r="F6" s="8" t="str">
        <x:v>Category</x:v>
      </x:c>
      <x:c r="G6" s="8" t="str">
        <x:v>Quantity</x:v>
      </x:c>
      <x:c r="H6" s="8" t="str">
        <x:v>Returned</x:v>
      </x:c>
      <x:c r="I6" s="8" t="str">
        <x:v>Unit price</x:v>
      </x:c>
      <x:c r="J6" s="8" t="str">
        <x:v>Discount</x:v>
      </x:c>
      <x:c r="K6" s="8" t="str">
        <x:v>Unit cost</x:v>
      </x:c>
      <x:c r="L6" s="8" t="str">
        <x:v>Gross sales</x:v>
      </x:c>
      <x:c r="M6" s="8" t="str">
        <x:v>Refund</x:v>
      </x:c>
      <x:c r="N6" s="8" t="str">
        <x:v>Net sales</x:v>
      </x:c>
      <x:c r="O6" s="8" t="str">
        <x:v>COGS</x:v>
      </x:c>
      <x:c r="P6" s="8" t="str">
        <x:v>Gross profit</x:v>
      </x:c>
      <x:c r="Q6" s="8" t="str">
        <x:v>Week of</x:v>
      </x:c>
      <x:c r="R6" s="8" t="str">
        <x:v>Report period</x:v>
      </x:c>
    </x:row>
    <x:row r="7" ht="20" customHeight="1">
      <x:c r="A7" s="9" t="n">
        <x:v>46262</x:v>
      </x:c>
      <x:c r="B7" s="2" t="str">
        <x:v>MM-1005</x:v>
      </x:c>
      <x:c r="C7" s="2" t="str">
        <x:v>Paid Social</x:v>
      </x:c>
      <x:c r="D7" s="2" t="str">
        <x:v>APP-003</x:v>
      </x:c>
      <x:c r="E7" s="2" t="str">
        <x:f>_xlfn.IFNA(VLOOKUP(D7,'Products'!$A$7:$I$22,2,FALSE),"Unmapped")</x:f>
        <x:v>Coffee club tee</x:v>
      </x:c>
      <x:c r="F7" s="2" t="str">
        <x:f>_xlfn.IFNA(VLOOKUP(D7,'Products'!$A$7:$I$22,3,FALSE),"Unmapped")</x:f>
        <x:v>Apparel</x:v>
      </x:c>
      <x:c r="G7" s="2" t="n">
        <x:v>2</x:v>
      </x:c>
      <x:c r="H7" s="2" t="n">
        <x:v>0</x:v>
      </x:c>
      <x:c r="I7" s="10" t="n">
        <x:v>29.95</x:v>
      </x:c>
      <x:c r="J7" s="10" t="n">
        <x:v>0</x:v>
      </x:c>
      <x:c r="K7" s="10" t="n">
        <x:v>10</x:v>
      </x:c>
      <x:c r="L7" s="10" t="n">
        <x:f>G7*I7</x:f>
        <x:v>59.9</x:v>
      </x:c>
      <x:c r="M7" s="10" t="n">
        <x:f>ROUND((L7-J7)*H7/G7,2)</x:f>
        <x:v>0</x:v>
      </x:c>
      <x:c r="N7" s="10" t="n">
        <x:f>L7-J7-M7</x:f>
        <x:v>59.9</x:v>
      </x:c>
      <x:c r="O7" s="10" t="n">
        <x:f>(G7-H7)*K7</x:f>
        <x:v>20</x:v>
      </x:c>
      <x:c r="P7" s="10" t="n">
        <x:f>N7-O7</x:f>
        <x:v>39.9</x:v>
      </x:c>
      <x:c r="Q7" s="9" t="n">
        <x:f>A7-WEEKDAY(A7,2)+1</x:f>
        <x:v>46258</x:v>
      </x:c>
      <x:c r="R7" s="2" t="str">
        <x:f>IF(AND(A7&gt;='Review'!$B$4,A7&lt;='Review'!$D$4),"Selected","Outside")</x:f>
        <x:v>Outside</x:v>
      </x:c>
    </x:row>
    <x:row r="8" ht="20" customHeight="1">
      <x:c r="A8" s="9" t="n">
        <x:v>46262</x:v>
      </x:c>
      <x:c r="B8" s="2" t="str">
        <x:v>MM-1005</x:v>
      </x:c>
      <x:c r="C8" s="2" t="str">
        <x:v>Paid Social</x:v>
      </x:c>
      <x:c r="D8" s="2" t="str">
        <x:v>MUG-001</x:v>
      </x:c>
      <x:c r="E8" s="2" t="str">
        <x:f>_xlfn.IFNA(VLOOKUP(D8,'Products'!$A$7:$I$22,2,FALSE),"Unmapped")</x:f>
        <x:v>Everyday ceramic mug</x:v>
      </x:c>
      <x:c r="F8" s="2" t="str">
        <x:f>_xlfn.IFNA(VLOOKUP(D8,'Products'!$A$7:$I$22,3,FALSE),"Unmapped")</x:f>
        <x:v>Drinkware</x:v>
      </x:c>
      <x:c r="G8" s="2" t="n">
        <x:v>1</x:v>
      </x:c>
      <x:c r="H8" s="2" t="n">
        <x:v>0</x:v>
      </x:c>
      <x:c r="I8" s="10" t="n">
        <x:v>18.95</x:v>
      </x:c>
      <x:c r="J8" s="10" t="n">
        <x:v>0</x:v>
      </x:c>
      <x:c r="K8" s="10" t="n">
        <x:v>6.5</x:v>
      </x:c>
      <x:c r="L8" s="10" t="n">
        <x:f>G8*I8</x:f>
        <x:v>18.95</x:v>
      </x:c>
      <x:c r="M8" s="10" t="n">
        <x:f>ROUND((L8-J8)*H8/G8,2)</x:f>
        <x:v>0</x:v>
      </x:c>
      <x:c r="N8" s="10" t="n">
        <x:f>L8-J8-M8</x:f>
        <x:v>18.95</x:v>
      </x:c>
      <x:c r="O8" s="10" t="n">
        <x:f>(G8-H8)*K8</x:f>
        <x:v>6.5</x:v>
      </x:c>
      <x:c r="P8" s="10" t="n">
        <x:f>N8-O8</x:f>
        <x:v>12.45</x:v>
      </x:c>
      <x:c r="Q8" s="9" t="n">
        <x:f>A8-WEEKDAY(A8,2)+1</x:f>
        <x:v>46258</x:v>
      </x:c>
      <x:c r="R8" s="2" t="str">
        <x:f>IF(AND(A8&gt;='Review'!$B$4,A8&lt;='Review'!$D$4),"Selected","Outside")</x:f>
        <x:v>Outside</x:v>
      </x:c>
    </x:row>
    <x:row r="9" ht="20" customHeight="1">
      <x:c r="A9" s="9" t="n">
        <x:v>46262</x:v>
      </x:c>
      <x:c r="B9" s="2" t="str">
        <x:v>MM-1005</x:v>
      </x:c>
      <x:c r="C9" s="2" t="str">
        <x:v>Paid Social</x:v>
      </x:c>
      <x:c r="D9" s="2" t="str">
        <x:v>HAT-001</x:v>
      </x:c>
      <x:c r="E9" s="2" t="str">
        <x:f>_xlfn.IFNA(VLOOKUP(D9,'Products'!$A$7:$I$22,2,FALSE),"Unmapped")</x:f>
        <x:v>Classic canvas cap</x:v>
      </x:c>
      <x:c r="F9" s="2" t="str">
        <x:f>_xlfn.IFNA(VLOOKUP(D9,'Products'!$A$7:$I$22,3,FALSE),"Unmapped")</x:f>
        <x:v>Accessories</x:v>
      </x:c>
      <x:c r="G9" s="2" t="n">
        <x:v>1</x:v>
      </x:c>
      <x:c r="H9" s="2" t="n">
        <x:v>0</x:v>
      </x:c>
      <x:c r="I9" s="10" t="n">
        <x:v>24.95</x:v>
      </x:c>
      <x:c r="J9" s="10" t="n">
        <x:v>0</x:v>
      </x:c>
      <x:c r="K9" s="10" t="n">
        <x:v>8.5</x:v>
      </x:c>
      <x:c r="L9" s="10" t="n">
        <x:f>G9*I9</x:f>
        <x:v>24.95</x:v>
      </x:c>
      <x:c r="M9" s="10" t="n">
        <x:f>ROUND((L9-J9)*H9/G9,2)</x:f>
        <x:v>0</x:v>
      </x:c>
      <x:c r="N9" s="10" t="n">
        <x:f>L9-J9-M9</x:f>
        <x:v>24.95</x:v>
      </x:c>
      <x:c r="O9" s="10" t="n">
        <x:f>(G9-H9)*K9</x:f>
        <x:v>8.5</x:v>
      </x:c>
      <x:c r="P9" s="10" t="n">
        <x:f>N9-O9</x:f>
        <x:v>16.45</x:v>
      </x:c>
      <x:c r="Q9" s="9" t="n">
        <x:f>A9-WEEKDAY(A9,2)+1</x:f>
        <x:v>46258</x:v>
      </x:c>
      <x:c r="R9" s="2" t="str">
        <x:f>IF(AND(A9&gt;='Review'!$B$4,A9&lt;='Review'!$D$4),"Selected","Outside")</x:f>
        <x:v>Outside</x:v>
      </x:c>
    </x:row>
    <x:row r="10" ht="20" customHeight="1">
      <x:c r="A10" s="9" t="n">
        <x:v>46262</x:v>
      </x:c>
      <x:c r="B10" s="2" t="str">
        <x:v>MM-1002</x:v>
      </x:c>
      <x:c r="C10" s="2" t="str">
        <x:v>Organic Search</x:v>
      </x:c>
      <x:c r="D10" s="2" t="str">
        <x:v>MUG-001</x:v>
      </x:c>
      <x:c r="E10" s="2" t="str">
        <x:f>_xlfn.IFNA(VLOOKUP(D10,'Products'!$A$7:$I$22,2,FALSE),"Unmapped")</x:f>
        <x:v>Everyday ceramic mug</x:v>
      </x:c>
      <x:c r="F10" s="2" t="str">
        <x:f>_xlfn.IFNA(VLOOKUP(D10,'Products'!$A$7:$I$22,3,FALSE),"Unmapped")</x:f>
        <x:v>Drinkware</x:v>
      </x:c>
      <x:c r="G10" s="2" t="n">
        <x:v>2</x:v>
      </x:c>
      <x:c r="H10" s="2" t="n">
        <x:v>0</x:v>
      </x:c>
      <x:c r="I10" s="10" t="n">
        <x:v>18.95</x:v>
      </x:c>
      <x:c r="J10" s="10" t="n">
        <x:v>0</x:v>
      </x:c>
      <x:c r="K10" s="10" t="n">
        <x:v>6.5</x:v>
      </x:c>
      <x:c r="L10" s="10" t="n">
        <x:f>G10*I10</x:f>
        <x:v>37.9</x:v>
      </x:c>
      <x:c r="M10" s="10" t="n">
        <x:f>ROUND((L10-J10)*H10/G10,2)</x:f>
        <x:v>0</x:v>
      </x:c>
      <x:c r="N10" s="10" t="n">
        <x:f>L10-J10-M10</x:f>
        <x:v>37.9</x:v>
      </x:c>
      <x:c r="O10" s="10" t="n">
        <x:f>(G10-H10)*K10</x:f>
        <x:v>13</x:v>
      </x:c>
      <x:c r="P10" s="10" t="n">
        <x:f>N10-O10</x:f>
        <x:v>24.9</x:v>
      </x:c>
      <x:c r="Q10" s="9" t="n">
        <x:f>A10-WEEKDAY(A10,2)+1</x:f>
        <x:v>46258</x:v>
      </x:c>
      <x:c r="R10" s="2" t="str">
        <x:f>IF(AND(A10&gt;='Review'!$B$4,A10&lt;='Review'!$D$4),"Selected","Outside")</x:f>
        <x:v>Outside</x:v>
      </x:c>
    </x:row>
    <x:row r="11" ht="20" customHeight="1">
      <x:c r="A11" s="9" t="n">
        <x:v>46262</x:v>
      </x:c>
      <x:c r="B11" s="2" t="str">
        <x:v>MM-1009</x:v>
      </x:c>
      <x:c r="C11" s="2" t="str">
        <x:v>Direct</x:v>
      </x:c>
      <x:c r="D11" s="2" t="str">
        <x:v>BOT-001</x:v>
      </x:c>
      <x:c r="E11" s="2" t="str">
        <x:f>_xlfn.IFNA(VLOOKUP(D11,'Products'!$A$7:$I$22,2,FALSE),"Unmapped")</x:f>
        <x:v>Trail water bottle</x:v>
      </x:c>
      <x:c r="F11" s="2" t="str">
        <x:f>_xlfn.IFNA(VLOOKUP(D11,'Products'!$A$7:$I$22,3,FALSE),"Unmapped")</x:f>
        <x:v>Drinkware</x:v>
      </x:c>
      <x:c r="G11" s="2" t="n">
        <x:v>1</x:v>
      </x:c>
      <x:c r="H11" s="2" t="n">
        <x:v>0</x:v>
      </x:c>
      <x:c r="I11" s="10" t="n">
        <x:v>34.95</x:v>
      </x:c>
      <x:c r="J11" s="10" t="n">
        <x:v>0</x:v>
      </x:c>
      <x:c r="K11" s="10" t="n">
        <x:v>13.5</x:v>
      </x:c>
      <x:c r="L11" s="10" t="n">
        <x:f>G11*I11</x:f>
        <x:v>34.95</x:v>
      </x:c>
      <x:c r="M11" s="10" t="n">
        <x:f>ROUND((L11-J11)*H11/G11,2)</x:f>
        <x:v>0</x:v>
      </x:c>
      <x:c r="N11" s="10" t="n">
        <x:f>L11-J11-M11</x:f>
        <x:v>34.95</x:v>
      </x:c>
      <x:c r="O11" s="10" t="n">
        <x:f>(G11-H11)*K11</x:f>
        <x:v>13.5</x:v>
      </x:c>
      <x:c r="P11" s="10" t="n">
        <x:f>N11-O11</x:f>
        <x:v>21.450000000000003</x:v>
      </x:c>
      <x:c r="Q11" s="9" t="n">
        <x:f>A11-WEEKDAY(A11,2)+1</x:f>
        <x:v>46258</x:v>
      </x:c>
      <x:c r="R11" s="2" t="str">
        <x:f>IF(AND(A11&gt;='Review'!$B$4,A11&lt;='Review'!$D$4),"Selected","Outside")</x:f>
        <x:v>Outside</x:v>
      </x:c>
    </x:row>
    <x:row r="12" ht="20" customHeight="1">
      <x:c r="A12" s="9" t="n">
        <x:v>46262</x:v>
      </x:c>
      <x:c r="B12" s="2" t="str">
        <x:v>MM-1010</x:v>
      </x:c>
      <x:c r="C12" s="2" t="str">
        <x:v>Paid Social</x:v>
      </x:c>
      <x:c r="D12" s="2" t="str">
        <x:v>TOTE-001</x:v>
      </x:c>
      <x:c r="E12" s="2" t="str">
        <x:f>_xlfn.IFNA(VLOOKUP(D12,'Products'!$A$7:$I$22,2,FALSE),"Unmapped")</x:f>
        <x:v>Market canvas tote</x:v>
      </x:c>
      <x:c r="F12" s="2" t="str">
        <x:f>_xlfn.IFNA(VLOOKUP(D12,'Products'!$A$7:$I$22,3,FALSE),"Unmapped")</x:f>
        <x:v>Accessories</x:v>
      </x:c>
      <x:c r="G12" s="2" t="n">
        <x:v>1</x:v>
      </x:c>
      <x:c r="H12" s="2" t="n">
        <x:v>0</x:v>
      </x:c>
      <x:c r="I12" s="10" t="n">
        <x:v>19.95</x:v>
      </x:c>
      <x:c r="J12" s="10" t="n">
        <x:v>0</x:v>
      </x:c>
      <x:c r="K12" s="10" t="n">
        <x:v>6</x:v>
      </x:c>
      <x:c r="L12" s="10" t="n">
        <x:f>G12*I12</x:f>
        <x:v>19.95</x:v>
      </x:c>
      <x:c r="M12" s="10" t="n">
        <x:f>ROUND((L12-J12)*H12/G12,2)</x:f>
        <x:v>0</x:v>
      </x:c>
      <x:c r="N12" s="10" t="n">
        <x:f>L12-J12-M12</x:f>
        <x:v>19.95</x:v>
      </x:c>
      <x:c r="O12" s="10" t="n">
        <x:f>(G12-H12)*K12</x:f>
        <x:v>6</x:v>
      </x:c>
      <x:c r="P12" s="10" t="n">
        <x:f>N12-O12</x:f>
        <x:v>13.95</x:v>
      </x:c>
      <x:c r="Q12" s="9" t="n">
        <x:f>A12-WEEKDAY(A12,2)+1</x:f>
        <x:v>46258</x:v>
      </x:c>
      <x:c r="R12" s="2" t="str">
        <x:f>IF(AND(A12&gt;='Review'!$B$4,A12&lt;='Review'!$D$4),"Selected","Outside")</x:f>
        <x:v>Outside</x:v>
      </x:c>
    </x:row>
    <x:row r="13" ht="20" customHeight="1">
      <x:c r="A13" s="9" t="n">
        <x:v>46262</x:v>
      </x:c>
      <x:c r="B13" s="2" t="str">
        <x:v>MM-1016</x:v>
      </x:c>
      <x:c r="C13" s="2" t="str">
        <x:v>Organic Search</x:v>
      </x:c>
      <x:c r="D13" s="2" t="str">
        <x:v>MUG-001</x:v>
      </x:c>
      <x:c r="E13" s="2" t="str">
        <x:f>_xlfn.IFNA(VLOOKUP(D13,'Products'!$A$7:$I$22,2,FALSE),"Unmapped")</x:f>
        <x:v>Everyday ceramic mug</x:v>
      </x:c>
      <x:c r="F13" s="2" t="str">
        <x:f>_xlfn.IFNA(VLOOKUP(D13,'Products'!$A$7:$I$22,3,FALSE),"Unmapped")</x:f>
        <x:v>Drinkware</x:v>
      </x:c>
      <x:c r="G13" s="2" t="n">
        <x:v>1</x:v>
      </x:c>
      <x:c r="H13" s="2" t="n">
        <x:v>0</x:v>
      </x:c>
      <x:c r="I13" s="10" t="n">
        <x:v>18.95</x:v>
      </x:c>
      <x:c r="J13" s="10" t="n">
        <x:v>0</x:v>
      </x:c>
      <x:c r="K13" s="10" t="n">
        <x:v>6.5</x:v>
      </x:c>
      <x:c r="L13" s="10" t="n">
        <x:f>G13*I13</x:f>
        <x:v>18.95</x:v>
      </x:c>
      <x:c r="M13" s="10" t="n">
        <x:f>ROUND((L13-J13)*H13/G13,2)</x:f>
        <x:v>0</x:v>
      </x:c>
      <x:c r="N13" s="10" t="n">
        <x:f>L13-J13-M13</x:f>
        <x:v>18.95</x:v>
      </x:c>
      <x:c r="O13" s="10" t="n">
        <x:f>(G13-H13)*K13</x:f>
        <x:v>6.5</x:v>
      </x:c>
      <x:c r="P13" s="10" t="n">
        <x:f>N13-O13</x:f>
        <x:v>12.45</x:v>
      </x:c>
      <x:c r="Q13" s="9" t="n">
        <x:f>A13-WEEKDAY(A13,2)+1</x:f>
        <x:v>46258</x:v>
      </x:c>
      <x:c r="R13" s="2" t="str">
        <x:f>IF(AND(A13&gt;='Review'!$B$4,A13&lt;='Review'!$D$4),"Selected","Outside")</x:f>
        <x:v>Outside</x:v>
      </x:c>
    </x:row>
    <x:row r="14" ht="20" customHeight="1">
      <x:c r="A14" s="9" t="n">
        <x:v>46262</x:v>
      </x:c>
      <x:c r="B14" s="2" t="str">
        <x:v>MM-1016</x:v>
      </x:c>
      <x:c r="C14" s="2" t="str">
        <x:v>Organic Search</x:v>
      </x:c>
      <x:c r="D14" s="2" t="str">
        <x:v>APP-003</x:v>
      </x:c>
      <x:c r="E14" s="2" t="str">
        <x:f>_xlfn.IFNA(VLOOKUP(D14,'Products'!$A$7:$I$22,2,FALSE),"Unmapped")</x:f>
        <x:v>Coffee club tee</x:v>
      </x:c>
      <x:c r="F14" s="2" t="str">
        <x:f>_xlfn.IFNA(VLOOKUP(D14,'Products'!$A$7:$I$22,3,FALSE),"Unmapped")</x:f>
        <x:v>Apparel</x:v>
      </x:c>
      <x:c r="G14" s="2" t="n">
        <x:v>3</x:v>
      </x:c>
      <x:c r="H14" s="2" t="n">
        <x:v>0</x:v>
      </x:c>
      <x:c r="I14" s="10" t="n">
        <x:v>29.95</x:v>
      </x:c>
      <x:c r="J14" s="10" t="n">
        <x:v>0</x:v>
      </x:c>
      <x:c r="K14" s="10" t="n">
        <x:v>10</x:v>
      </x:c>
      <x:c r="L14" s="10" t="n">
        <x:f>G14*I14</x:f>
        <x:v>89.85</x:v>
      </x:c>
      <x:c r="M14" s="10" t="n">
        <x:f>ROUND((L14-J14)*H14/G14,2)</x:f>
        <x:v>0</x:v>
      </x:c>
      <x:c r="N14" s="10" t="n">
        <x:f>L14-J14-M14</x:f>
        <x:v>89.85</x:v>
      </x:c>
      <x:c r="O14" s="10" t="n">
        <x:f>(G14-H14)*K14</x:f>
        <x:v>30</x:v>
      </x:c>
      <x:c r="P14" s="10" t="n">
        <x:f>N14-O14</x:f>
        <x:v>59.849999999999994</x:v>
      </x:c>
      <x:c r="Q14" s="9" t="n">
        <x:f>A14-WEEKDAY(A14,2)+1</x:f>
        <x:v>46258</x:v>
      </x:c>
      <x:c r="R14" s="2" t="str">
        <x:f>IF(AND(A14&gt;='Review'!$B$4,A14&lt;='Review'!$D$4),"Selected","Outside")</x:f>
        <x:v>Outside</x:v>
      </x:c>
    </x:row>
    <x:row r="15" ht="20" customHeight="1">
      <x:c r="A15" s="9" t="n">
        <x:v>46262</x:v>
      </x:c>
      <x:c r="B15" s="2" t="str">
        <x:v>MM-1008</x:v>
      </x:c>
      <x:c r="C15" s="2" t="str">
        <x:v>Paid Social</x:v>
      </x:c>
      <x:c r="D15" s="2" t="str">
        <x:v>MUG-001</x:v>
      </x:c>
      <x:c r="E15" s="2" t="str">
        <x:f>_xlfn.IFNA(VLOOKUP(D15,'Products'!$A$7:$I$22,2,FALSE),"Unmapped")</x:f>
        <x:v>Everyday ceramic mug</x:v>
      </x:c>
      <x:c r="F15" s="2" t="str">
        <x:f>_xlfn.IFNA(VLOOKUP(D15,'Products'!$A$7:$I$22,3,FALSE),"Unmapped")</x:f>
        <x:v>Drinkware</x:v>
      </x:c>
      <x:c r="G15" s="2" t="n">
        <x:v>1</x:v>
      </x:c>
      <x:c r="H15" s="2" t="n">
        <x:v>0</x:v>
      </x:c>
      <x:c r="I15" s="10" t="n">
        <x:v>18.95</x:v>
      </x:c>
      <x:c r="J15" s="10" t="n">
        <x:v>0</x:v>
      </x:c>
      <x:c r="K15" s="10" t="n">
        <x:v>6.5</x:v>
      </x:c>
      <x:c r="L15" s="10" t="n">
        <x:f>G15*I15</x:f>
        <x:v>18.95</x:v>
      </x:c>
      <x:c r="M15" s="10" t="n">
        <x:f>ROUND((L15-J15)*H15/G15,2)</x:f>
        <x:v>0</x:v>
      </x:c>
      <x:c r="N15" s="10" t="n">
        <x:f>L15-J15-M15</x:f>
        <x:v>18.95</x:v>
      </x:c>
      <x:c r="O15" s="10" t="n">
        <x:f>(G15-H15)*K15</x:f>
        <x:v>6.5</x:v>
      </x:c>
      <x:c r="P15" s="10" t="n">
        <x:f>N15-O15</x:f>
        <x:v>12.45</x:v>
      </x:c>
      <x:c r="Q15" s="9" t="n">
        <x:f>A15-WEEKDAY(A15,2)+1</x:f>
        <x:v>46258</x:v>
      </x:c>
      <x:c r="R15" s="2" t="str">
        <x:f>IF(AND(A15&gt;='Review'!$B$4,A15&lt;='Review'!$D$4),"Selected","Outside")</x:f>
        <x:v>Outside</x:v>
      </x:c>
    </x:row>
    <x:row r="16" ht="20" customHeight="1">
      <x:c r="A16" s="9" t="n">
        <x:v>46262</x:v>
      </x:c>
      <x:c r="B16" s="2" t="str">
        <x:v>MM-1008</x:v>
      </x:c>
      <x:c r="C16" s="2" t="str">
        <x:v>Paid Social</x:v>
      </x:c>
      <x:c r="D16" s="2" t="str">
        <x:v>APP-003</x:v>
      </x:c>
      <x:c r="E16" s="2" t="str">
        <x:f>_xlfn.IFNA(VLOOKUP(D16,'Products'!$A$7:$I$22,2,FALSE),"Unmapped")</x:f>
        <x:v>Coffee club tee</x:v>
      </x:c>
      <x:c r="F16" s="2" t="str">
        <x:f>_xlfn.IFNA(VLOOKUP(D16,'Products'!$A$7:$I$22,3,FALSE),"Unmapped")</x:f>
        <x:v>Apparel</x:v>
      </x:c>
      <x:c r="G16" s="2" t="n">
        <x:v>2</x:v>
      </x:c>
      <x:c r="H16" s="2" t="n">
        <x:v>0</x:v>
      </x:c>
      <x:c r="I16" s="10" t="n">
        <x:v>29.95</x:v>
      </x:c>
      <x:c r="J16" s="10" t="n">
        <x:v>0</x:v>
      </x:c>
      <x:c r="K16" s="10" t="n">
        <x:v>10</x:v>
      </x:c>
      <x:c r="L16" s="10" t="n">
        <x:f>G16*I16</x:f>
        <x:v>59.9</x:v>
      </x:c>
      <x:c r="M16" s="10" t="n">
        <x:f>ROUND((L16-J16)*H16/G16,2)</x:f>
        <x:v>0</x:v>
      </x:c>
      <x:c r="N16" s="10" t="n">
        <x:f>L16-J16-M16</x:f>
        <x:v>59.9</x:v>
      </x:c>
      <x:c r="O16" s="10" t="n">
        <x:f>(G16-H16)*K16</x:f>
        <x:v>20</x:v>
      </x:c>
      <x:c r="P16" s="10" t="n">
        <x:f>N16-O16</x:f>
        <x:v>39.9</x:v>
      </x:c>
      <x:c r="Q16" s="9" t="n">
        <x:f>A16-WEEKDAY(A16,2)+1</x:f>
        <x:v>46258</x:v>
      </x:c>
      <x:c r="R16" s="2" t="str">
        <x:f>IF(AND(A16&gt;='Review'!$B$4,A16&lt;='Review'!$D$4),"Selected","Outside")</x:f>
        <x:v>Outside</x:v>
      </x:c>
    </x:row>
    <x:row r="17" ht="20" customHeight="1">
      <x:c r="A17" s="9" t="n">
        <x:v>46262</x:v>
      </x:c>
      <x:c r="B17" s="2" t="str">
        <x:v>MM-1008</x:v>
      </x:c>
      <x:c r="C17" s="2" t="str">
        <x:v>Paid Social</x:v>
      </x:c>
      <x:c r="D17" s="2" t="str">
        <x:v>MUG-002</x:v>
      </x:c>
      <x:c r="E17" s="2" t="str">
        <x:f>_xlfn.IFNA(VLOOKUP(D17,'Products'!$A$7:$I$22,2,FALSE),"Unmapped")</x:f>
        <x:v>Campfire enamel mug</x:v>
      </x:c>
      <x:c r="F17" s="2" t="str">
        <x:f>_xlfn.IFNA(VLOOKUP(D17,'Products'!$A$7:$I$22,3,FALSE),"Unmapped")</x:f>
        <x:v>Drinkware</x:v>
      </x:c>
      <x:c r="G17" s="2" t="n">
        <x:v>1</x:v>
      </x:c>
      <x:c r="H17" s="2" t="n">
        <x:v>0</x:v>
      </x:c>
      <x:c r="I17" s="10" t="n">
        <x:v>22.95</x:v>
      </x:c>
      <x:c r="J17" s="10" t="n">
        <x:v>0</x:v>
      </x:c>
      <x:c r="K17" s="10" t="n">
        <x:v>8.5</x:v>
      </x:c>
      <x:c r="L17" s="10" t="n">
        <x:f>G17*I17</x:f>
        <x:v>22.95</x:v>
      </x:c>
      <x:c r="M17" s="10" t="n">
        <x:f>ROUND((L17-J17)*H17/G17,2)</x:f>
        <x:v>0</x:v>
      </x:c>
      <x:c r="N17" s="10" t="n">
        <x:f>L17-J17-M17</x:f>
        <x:v>22.95</x:v>
      </x:c>
      <x:c r="O17" s="10" t="n">
        <x:f>(G17-H17)*K17</x:f>
        <x:v>8.5</x:v>
      </x:c>
      <x:c r="P17" s="10" t="n">
        <x:f>N17-O17</x:f>
        <x:v>14.45</x:v>
      </x:c>
      <x:c r="Q17" s="9" t="n">
        <x:f>A17-WEEKDAY(A17,2)+1</x:f>
        <x:v>46258</x:v>
      </x:c>
      <x:c r="R17" s="2" t="str">
        <x:f>IF(AND(A17&gt;='Review'!$B$4,A17&lt;='Review'!$D$4),"Selected","Outside")</x:f>
        <x:v>Outside</x:v>
      </x:c>
    </x:row>
    <x:row r="18" ht="20" customHeight="1">
      <x:c r="A18" s="9" t="n">
        <x:v>46262</x:v>
      </x:c>
      <x:c r="B18" s="2" t="str">
        <x:v>MM-1007</x:v>
      </x:c>
      <x:c r="C18" s="2" t="str">
        <x:v>Organic Search</x:v>
      </x:c>
      <x:c r="D18" s="2" t="str">
        <x:v>KEY-001</x:v>
      </x:c>
      <x:c r="E18" s="2" t="str">
        <x:f>_xlfn.IFNA(VLOOKUP(D18,'Products'!$A$7:$I$22,2,FALSE),"Unmapped")</x:f>
        <x:v>Maple keyring</x:v>
      </x:c>
      <x:c r="F18" s="2" t="str">
        <x:f>_xlfn.IFNA(VLOOKUP(D18,'Products'!$A$7:$I$22,3,FALSE),"Unmapped")</x:f>
        <x:v>Accessories</x:v>
      </x:c>
      <x:c r="G18" s="2" t="n">
        <x:v>3</x:v>
      </x:c>
      <x:c r="H18" s="2" t="n">
        <x:v>0</x:v>
      </x:c>
      <x:c r="I18" s="10" t="n">
        <x:v>12.95</x:v>
      </x:c>
      <x:c r="J18" s="10" t="n">
        <x:v>0</x:v>
      </x:c>
      <x:c r="K18" s="10" t="n">
        <x:v>3.5</x:v>
      </x:c>
      <x:c r="L18" s="10" t="n">
        <x:f>G18*I18</x:f>
        <x:v>38.849999999999994</x:v>
      </x:c>
      <x:c r="M18" s="10" t="n">
        <x:f>ROUND((L18-J18)*H18/G18,2)</x:f>
        <x:v>0</x:v>
      </x:c>
      <x:c r="N18" s="10" t="n">
        <x:f>L18-J18-M18</x:f>
        <x:v>38.849999999999994</x:v>
      </x:c>
      <x:c r="O18" s="10" t="n">
        <x:f>(G18-H18)*K18</x:f>
        <x:v>10.5</x:v>
      </x:c>
      <x:c r="P18" s="10" t="n">
        <x:f>N18-O18</x:f>
        <x:v>28.349999999999994</x:v>
      </x:c>
      <x:c r="Q18" s="9" t="n">
        <x:f>A18-WEEKDAY(A18,2)+1</x:f>
        <x:v>46258</x:v>
      </x:c>
      <x:c r="R18" s="2" t="str">
        <x:f>IF(AND(A18&gt;='Review'!$B$4,A18&lt;='Review'!$D$4),"Selected","Outside")</x:f>
        <x:v>Outside</x:v>
      </x:c>
    </x:row>
    <x:row r="19" ht="20" customHeight="1">
      <x:c r="A19" s="9" t="n">
        <x:v>46262</x:v>
      </x:c>
      <x:c r="B19" s="2" t="str">
        <x:v>MM-1007</x:v>
      </x:c>
      <x:c r="C19" s="2" t="str">
        <x:v>Organic Search</x:v>
      </x:c>
      <x:c r="D19" s="2" t="str">
        <x:v>BOT-001</x:v>
      </x:c>
      <x:c r="E19" s="2" t="str">
        <x:f>_xlfn.IFNA(VLOOKUP(D19,'Products'!$A$7:$I$22,2,FALSE),"Unmapped")</x:f>
        <x:v>Trail water bottle</x:v>
      </x:c>
      <x:c r="F19" s="2" t="str">
        <x:f>_xlfn.IFNA(VLOOKUP(D19,'Products'!$A$7:$I$22,3,FALSE),"Unmapped")</x:f>
        <x:v>Drinkware</x:v>
      </x:c>
      <x:c r="G19" s="2" t="n">
        <x:v>1</x:v>
      </x:c>
      <x:c r="H19" s="2" t="n">
        <x:v>0</x:v>
      </x:c>
      <x:c r="I19" s="10" t="n">
        <x:v>34.95</x:v>
      </x:c>
      <x:c r="J19" s="10" t="n">
        <x:v>0</x:v>
      </x:c>
      <x:c r="K19" s="10" t="n">
        <x:v>13.5</x:v>
      </x:c>
      <x:c r="L19" s="10" t="n">
        <x:f>G19*I19</x:f>
        <x:v>34.95</x:v>
      </x:c>
      <x:c r="M19" s="10" t="n">
        <x:f>ROUND((L19-J19)*H19/G19,2)</x:f>
        <x:v>0</x:v>
      </x:c>
      <x:c r="N19" s="10" t="n">
        <x:f>L19-J19-M19</x:f>
        <x:v>34.95</x:v>
      </x:c>
      <x:c r="O19" s="10" t="n">
        <x:f>(G19-H19)*K19</x:f>
        <x:v>13.5</x:v>
      </x:c>
      <x:c r="P19" s="10" t="n">
        <x:f>N19-O19</x:f>
        <x:v>21.450000000000003</x:v>
      </x:c>
      <x:c r="Q19" s="9" t="n">
        <x:f>A19-WEEKDAY(A19,2)+1</x:f>
        <x:v>46258</x:v>
      </x:c>
      <x:c r="R19" s="2" t="str">
        <x:f>IF(AND(A19&gt;='Review'!$B$4,A19&lt;='Review'!$D$4),"Selected","Outside")</x:f>
        <x:v>Outside</x:v>
      </x:c>
    </x:row>
    <x:row r="20" ht="20" customHeight="1">
      <x:c r="A20" s="9" t="n">
        <x:v>46262</x:v>
      </x:c>
      <x:c r="B20" s="2" t="str">
        <x:v>MM-1007</x:v>
      </x:c>
      <x:c r="C20" s="2" t="str">
        <x:v>Organic Search</x:v>
      </x:c>
      <x:c r="D20" s="2" t="str">
        <x:v>APP-003</x:v>
      </x:c>
      <x:c r="E20" s="2" t="str">
        <x:f>_xlfn.IFNA(VLOOKUP(D20,'Products'!$A$7:$I$22,2,FALSE),"Unmapped")</x:f>
        <x:v>Coffee club tee</x:v>
      </x:c>
      <x:c r="F20" s="2" t="str">
        <x:f>_xlfn.IFNA(VLOOKUP(D20,'Products'!$A$7:$I$22,3,FALSE),"Unmapped")</x:f>
        <x:v>Apparel</x:v>
      </x:c>
      <x:c r="G20" s="2" t="n">
        <x:v>1</x:v>
      </x:c>
      <x:c r="H20" s="2" t="n">
        <x:v>0</x:v>
      </x:c>
      <x:c r="I20" s="10" t="n">
        <x:v>29.95</x:v>
      </x:c>
      <x:c r="J20" s="10" t="n">
        <x:v>0</x:v>
      </x:c>
      <x:c r="K20" s="10" t="n">
        <x:v>10</x:v>
      </x:c>
      <x:c r="L20" s="10" t="n">
        <x:f>G20*I20</x:f>
        <x:v>29.95</x:v>
      </x:c>
      <x:c r="M20" s="10" t="n">
        <x:f>ROUND((L20-J20)*H20/G20,2)</x:f>
        <x:v>0</x:v>
      </x:c>
      <x:c r="N20" s="10" t="n">
        <x:f>L20-J20-M20</x:f>
        <x:v>29.95</x:v>
      </x:c>
      <x:c r="O20" s="10" t="n">
        <x:f>(G20-H20)*K20</x:f>
        <x:v>10</x:v>
      </x:c>
      <x:c r="P20" s="10" t="n">
        <x:f>N20-O20</x:f>
        <x:v>19.95</x:v>
      </x:c>
      <x:c r="Q20" s="9" t="n">
        <x:f>A20-WEEKDAY(A20,2)+1</x:f>
        <x:v>46258</x:v>
      </x:c>
      <x:c r="R20" s="2" t="str">
        <x:f>IF(AND(A20&gt;='Review'!$B$4,A20&lt;='Review'!$D$4),"Selected","Outside")</x:f>
        <x:v>Outside</x:v>
      </x:c>
    </x:row>
    <x:row r="21" ht="20" customHeight="1">
      <x:c r="A21" s="9" t="n">
        <x:v>46262</x:v>
      </x:c>
      <x:c r="B21" s="2" t="str">
        <x:v>MM-1014</x:v>
      </x:c>
      <x:c r="C21" s="2" t="str">
        <x:v>Direct</x:v>
      </x:c>
      <x:c r="D21" s="2" t="str">
        <x:v>TOTE-001</x:v>
      </x:c>
      <x:c r="E21" s="2" t="str">
        <x:f>_xlfn.IFNA(VLOOKUP(D21,'Products'!$A$7:$I$22,2,FALSE),"Unmapped")</x:f>
        <x:v>Market canvas tote</x:v>
      </x:c>
      <x:c r="F21" s="2" t="str">
        <x:f>_xlfn.IFNA(VLOOKUP(D21,'Products'!$A$7:$I$22,3,FALSE),"Unmapped")</x:f>
        <x:v>Accessories</x:v>
      </x:c>
      <x:c r="G21" s="2" t="n">
        <x:v>1</x:v>
      </x:c>
      <x:c r="H21" s="2" t="n">
        <x:v>0</x:v>
      </x:c>
      <x:c r="I21" s="10" t="n">
        <x:v>19.95</x:v>
      </x:c>
      <x:c r="J21" s="10" t="n">
        <x:v>0</x:v>
      </x:c>
      <x:c r="K21" s="10" t="n">
        <x:v>6</x:v>
      </x:c>
      <x:c r="L21" s="10" t="n">
        <x:f>G21*I21</x:f>
        <x:v>19.95</x:v>
      </x:c>
      <x:c r="M21" s="10" t="n">
        <x:f>ROUND((L21-J21)*H21/G21,2)</x:f>
        <x:v>0</x:v>
      </x:c>
      <x:c r="N21" s="10" t="n">
        <x:f>L21-J21-M21</x:f>
        <x:v>19.95</x:v>
      </x:c>
      <x:c r="O21" s="10" t="n">
        <x:f>(G21-H21)*K21</x:f>
        <x:v>6</x:v>
      </x:c>
      <x:c r="P21" s="10" t="n">
        <x:f>N21-O21</x:f>
        <x:v>13.95</x:v>
      </x:c>
      <x:c r="Q21" s="9" t="n">
        <x:f>A21-WEEKDAY(A21,2)+1</x:f>
        <x:v>46258</x:v>
      </x:c>
      <x:c r="R21" s="2" t="str">
        <x:f>IF(AND(A21&gt;='Review'!$B$4,A21&lt;='Review'!$D$4),"Selected","Outside")</x:f>
        <x:v>Outside</x:v>
      </x:c>
    </x:row>
    <x:row r="22" ht="20" customHeight="1">
      <x:c r="A22" s="9" t="n">
        <x:v>46262</x:v>
      </x:c>
      <x:c r="B22" s="2" t="str">
        <x:v>MM-1011</x:v>
      </x:c>
      <x:c r="C22" s="2" t="str">
        <x:v>Email</x:v>
      </x:c>
      <x:c r="D22" s="2" t="str">
        <x:v>GFT-002</x:v>
      </x:c>
      <x:c r="E22" s="2" t="str">
        <x:f>_xlfn.IFNA(VLOOKUP(D22,'Products'!$A$7:$I$22,2,FALSE),"Unmapped")</x:f>
        <x:v>Cozy weekend gift box</x:v>
      </x:c>
      <x:c r="F22" s="2" t="str">
        <x:f>_xlfn.IFNA(VLOOKUP(D22,'Products'!$A$7:$I$22,3,FALSE),"Unmapped")</x:f>
        <x:v>Gifts</x:v>
      </x:c>
      <x:c r="G22" s="2" t="n">
        <x:v>1</x:v>
      </x:c>
      <x:c r="H22" s="2" t="n">
        <x:v>0</x:v>
      </x:c>
      <x:c r="I22" s="10" t="n">
        <x:v>79.95</x:v>
      </x:c>
      <x:c r="J22" s="10" t="n">
        <x:v>7.99</x:v>
      </x:c>
      <x:c r="K22" s="10" t="n">
        <x:v>32</x:v>
      </x:c>
      <x:c r="L22" s="10" t="n">
        <x:f>G22*I22</x:f>
        <x:v>79.95</x:v>
      </x:c>
      <x:c r="M22" s="10" t="n">
        <x:f>ROUND((L22-J22)*H22/G22,2)</x:f>
        <x:v>0</x:v>
      </x:c>
      <x:c r="N22" s="10" t="n">
        <x:f>L22-J22-M22</x:f>
        <x:v>71.96000000000001</x:v>
      </x:c>
      <x:c r="O22" s="10" t="n">
        <x:f>(G22-H22)*K22</x:f>
        <x:v>32</x:v>
      </x:c>
      <x:c r="P22" s="10" t="n">
        <x:f>N22-O22</x:f>
        <x:v>39.96000000000001</x:v>
      </x:c>
      <x:c r="Q22" s="9" t="n">
        <x:f>A22-WEEKDAY(A22,2)+1</x:f>
        <x:v>46258</x:v>
      </x:c>
      <x:c r="R22" s="2" t="str">
        <x:f>IF(AND(A22&gt;='Review'!$B$4,A22&lt;='Review'!$D$4),"Selected","Outside")</x:f>
        <x:v>Outside</x:v>
      </x:c>
    </x:row>
    <x:row r="23" ht="20" customHeight="1">
      <x:c r="A23" s="9" t="n">
        <x:v>46262</x:v>
      </x:c>
      <x:c r="B23" s="2" t="str">
        <x:v>MM-1012</x:v>
      </x:c>
      <x:c r="C23" s="2" t="str">
        <x:v>Direct</x:v>
      </x:c>
      <x:c r="D23" s="2" t="str">
        <x:v>TOTE-001</x:v>
      </x:c>
      <x:c r="E23" s="2" t="str">
        <x:f>_xlfn.IFNA(VLOOKUP(D23,'Products'!$A$7:$I$22,2,FALSE),"Unmapped")</x:f>
        <x:v>Market canvas tote</x:v>
      </x:c>
      <x:c r="F23" s="2" t="str">
        <x:f>_xlfn.IFNA(VLOOKUP(D23,'Products'!$A$7:$I$22,3,FALSE),"Unmapped")</x:f>
        <x:v>Accessories</x:v>
      </x:c>
      <x:c r="G23" s="2" t="n">
        <x:v>1</x:v>
      </x:c>
      <x:c r="H23" s="2" t="n">
        <x:v>0</x:v>
      </x:c>
      <x:c r="I23" s="10" t="n">
        <x:v>19.95</x:v>
      </x:c>
      <x:c r="J23" s="10" t="n">
        <x:v>1.99</x:v>
      </x:c>
      <x:c r="K23" s="10" t="n">
        <x:v>6</x:v>
      </x:c>
      <x:c r="L23" s="10" t="n">
        <x:f>G23*I23</x:f>
        <x:v>19.95</x:v>
      </x:c>
      <x:c r="M23" s="10" t="n">
        <x:f>ROUND((L23-J23)*H23/G23,2)</x:f>
        <x:v>0</x:v>
      </x:c>
      <x:c r="N23" s="10" t="n">
        <x:f>L23-J23-M23</x:f>
        <x:v>17.96</x:v>
      </x:c>
      <x:c r="O23" s="10" t="n">
        <x:f>(G23-H23)*K23</x:f>
        <x:v>6</x:v>
      </x:c>
      <x:c r="P23" s="10" t="n">
        <x:f>N23-O23</x:f>
        <x:v>11.96</x:v>
      </x:c>
      <x:c r="Q23" s="9" t="n">
        <x:f>A23-WEEKDAY(A23,2)+1</x:f>
        <x:v>46258</x:v>
      </x:c>
      <x:c r="R23" s="2" t="str">
        <x:f>IF(AND(A23&gt;='Review'!$B$4,A23&lt;='Review'!$D$4),"Selected","Outside")</x:f>
        <x:v>Outside</x:v>
      </x:c>
    </x:row>
    <x:row r="24" ht="20" customHeight="1">
      <x:c r="A24" s="9" t="n">
        <x:v>46262</x:v>
      </x:c>
      <x:c r="B24" s="2" t="str">
        <x:v>MM-1012</x:v>
      </x:c>
      <x:c r="C24" s="2" t="str">
        <x:v>Direct</x:v>
      </x:c>
      <x:c r="D24" s="2" t="str">
        <x:v>TUM-001</x:v>
      </x:c>
      <x:c r="E24" s="2" t="str">
        <x:f>_xlfn.IFNA(VLOOKUP(D24,'Products'!$A$7:$I$22,2,FALSE),"Unmapped")</x:f>
        <x:v>Maple travel tumbler</x:v>
      </x:c>
      <x:c r="F24" s="2" t="str">
        <x:f>_xlfn.IFNA(VLOOKUP(D24,'Products'!$A$7:$I$22,3,FALSE),"Unmapped")</x:f>
        <x:v>Drinkware</x:v>
      </x:c>
      <x:c r="G24" s="2" t="n">
        <x:v>1</x:v>
      </x:c>
      <x:c r="H24" s="2" t="n">
        <x:v>0</x:v>
      </x:c>
      <x:c r="I24" s="10" t="n">
        <x:v>32.95</x:v>
      </x:c>
      <x:c r="J24" s="10" t="n">
        <x:v>0</x:v>
      </x:c>
      <x:c r="K24" s="10" t="n">
        <x:v>12</x:v>
      </x:c>
      <x:c r="L24" s="10" t="n">
        <x:f>G24*I24</x:f>
        <x:v>32.95</x:v>
      </x:c>
      <x:c r="M24" s="10" t="n">
        <x:f>ROUND((L24-J24)*H24/G24,2)</x:f>
        <x:v>0</x:v>
      </x:c>
      <x:c r="N24" s="10" t="n">
        <x:f>L24-J24-M24</x:f>
        <x:v>32.95</x:v>
      </x:c>
      <x:c r="O24" s="10" t="n">
        <x:f>(G24-H24)*K24</x:f>
        <x:v>12</x:v>
      </x:c>
      <x:c r="P24" s="10" t="n">
        <x:f>N24-O24</x:f>
        <x:v>20.950000000000003</x:v>
      </x:c>
      <x:c r="Q24" s="9" t="n">
        <x:f>A24-WEEKDAY(A24,2)+1</x:f>
        <x:v>46258</x:v>
      </x:c>
      <x:c r="R24" s="2" t="str">
        <x:f>IF(AND(A24&gt;='Review'!$B$4,A24&lt;='Review'!$D$4),"Selected","Outside")</x:f>
        <x:v>Outside</x:v>
      </x:c>
    </x:row>
    <x:row r="25" ht="20" customHeight="1">
      <x:c r="A25" s="9" t="n">
        <x:v>46262</x:v>
      </x:c>
      <x:c r="B25" s="2" t="str">
        <x:v>MM-1015</x:v>
      </x:c>
      <x:c r="C25" s="2" t="str">
        <x:v>Organic Search</x:v>
      </x:c>
      <x:c r="D25" s="2" t="str">
        <x:v>MUG-001</x:v>
      </x:c>
      <x:c r="E25" s="2" t="str">
        <x:f>_xlfn.IFNA(VLOOKUP(D25,'Products'!$A$7:$I$22,2,FALSE),"Unmapped")</x:f>
        <x:v>Everyday ceramic mug</x:v>
      </x:c>
      <x:c r="F25" s="2" t="str">
        <x:f>_xlfn.IFNA(VLOOKUP(D25,'Products'!$A$7:$I$22,3,FALSE),"Unmapped")</x:f>
        <x:v>Drinkware</x:v>
      </x:c>
      <x:c r="G25" s="2" t="n">
        <x:v>1</x:v>
      </x:c>
      <x:c r="H25" s="2" t="n">
        <x:v>0</x:v>
      </x:c>
      <x:c r="I25" s="10" t="n">
        <x:v>18.95</x:v>
      </x:c>
      <x:c r="J25" s="10" t="n">
        <x:v>0</x:v>
      </x:c>
      <x:c r="K25" s="10" t="n">
        <x:v>6.5</x:v>
      </x:c>
      <x:c r="L25" s="10" t="n">
        <x:f>G25*I25</x:f>
        <x:v>18.95</x:v>
      </x:c>
      <x:c r="M25" s="10" t="n">
        <x:f>ROUND((L25-J25)*H25/G25,2)</x:f>
        <x:v>0</x:v>
      </x:c>
      <x:c r="N25" s="10" t="n">
        <x:f>L25-J25-M25</x:f>
        <x:v>18.95</x:v>
      </x:c>
      <x:c r="O25" s="10" t="n">
        <x:f>(G25-H25)*K25</x:f>
        <x:v>6.5</x:v>
      </x:c>
      <x:c r="P25" s="10" t="n">
        <x:f>N25-O25</x:f>
        <x:v>12.45</x:v>
      </x:c>
      <x:c r="Q25" s="9" t="n">
        <x:f>A25-WEEKDAY(A25,2)+1</x:f>
        <x:v>46258</x:v>
      </x:c>
      <x:c r="R25" s="2" t="str">
        <x:f>IF(AND(A25&gt;='Review'!$B$4,A25&lt;='Review'!$D$4),"Selected","Outside")</x:f>
        <x:v>Outside</x:v>
      </x:c>
    </x:row>
    <x:row r="26" ht="20" customHeight="1">
      <x:c r="A26" s="9" t="n">
        <x:v>46262</x:v>
      </x:c>
      <x:c r="B26" s="2" t="str">
        <x:v>MM-1018</x:v>
      </x:c>
      <x:c r="C26" s="2" t="str">
        <x:v>Paid Social</x:v>
      </x:c>
      <x:c r="D26" s="2" t="str">
        <x:v>PIN-001</x:v>
      </x:c>
      <x:c r="E26" s="2" t="str">
        <x:f>_xlfn.IFNA(VLOOKUP(D26,'Products'!$A$7:$I$22,2,FALSE),"Unmapped")</x:f>
        <x:v>Coffee enamel pin</x:v>
      </x:c>
      <x:c r="F26" s="2" t="str">
        <x:f>_xlfn.IFNA(VLOOKUP(D26,'Products'!$A$7:$I$22,3,FALSE),"Unmapped")</x:f>
        <x:v>Accessories</x:v>
      </x:c>
      <x:c r="G26" s="2" t="n">
        <x:v>1</x:v>
      </x:c>
      <x:c r="H26" s="2" t="n">
        <x:v>0</x:v>
      </x:c>
      <x:c r="I26" s="10" t="n">
        <x:v>9.95</x:v>
      </x:c>
      <x:c r="J26" s="10" t="n">
        <x:v>0</x:v>
      </x:c>
      <x:c r="K26" s="10" t="n">
        <x:v>2.5</x:v>
      </x:c>
      <x:c r="L26" s="10" t="n">
        <x:f>G26*I26</x:f>
        <x:v>9.95</x:v>
      </x:c>
      <x:c r="M26" s="10" t="n">
        <x:f>ROUND((L26-J26)*H26/G26,2)</x:f>
        <x:v>0</x:v>
      </x:c>
      <x:c r="N26" s="10" t="n">
        <x:f>L26-J26-M26</x:f>
        <x:v>9.95</x:v>
      </x:c>
      <x:c r="O26" s="10" t="n">
        <x:f>(G26-H26)*K26</x:f>
        <x:v>2.5</x:v>
      </x:c>
      <x:c r="P26" s="10" t="n">
        <x:f>N26-O26</x:f>
        <x:v>7.449999999999999</x:v>
      </x:c>
      <x:c r="Q26" s="9" t="n">
        <x:f>A26-WEEKDAY(A26,2)+1</x:f>
        <x:v>46258</x:v>
      </x:c>
      <x:c r="R26" s="2" t="str">
        <x:f>IF(AND(A26&gt;='Review'!$B$4,A26&lt;='Review'!$D$4),"Selected","Outside")</x:f>
        <x:v>Outside</x:v>
      </x:c>
    </x:row>
    <x:row r="27" ht="20" customHeight="1">
      <x:c r="A27" s="9" t="n">
        <x:v>46262</x:v>
      </x:c>
      <x:c r="B27" s="2" t="str">
        <x:v>MM-1006</x:v>
      </x:c>
      <x:c r="C27" s="2" t="str">
        <x:v>Email</x:v>
      </x:c>
      <x:c r="D27" s="2" t="str">
        <x:v>TUM-002</x:v>
      </x:c>
      <x:c r="E27" s="2" t="str">
        <x:f>_xlfn.IFNA(VLOOKUP(D27,'Products'!$A$7:$I$22,2,FALSE),"Unmapped")</x:f>
        <x:v>Cold brew glass cup</x:v>
      </x:c>
      <x:c r="F27" s="2" t="str">
        <x:f>_xlfn.IFNA(VLOOKUP(D27,'Products'!$A$7:$I$22,3,FALSE),"Unmapped")</x:f>
        <x:v>Drinkware</x:v>
      </x:c>
      <x:c r="G27" s="2" t="n">
        <x:v>3</x:v>
      </x:c>
      <x:c r="H27" s="2" t="n">
        <x:v>0</x:v>
      </x:c>
      <x:c r="I27" s="10" t="n">
        <x:v>24.95</x:v>
      </x:c>
      <x:c r="J27" s="10" t="n">
        <x:v>7.48</x:v>
      </x:c>
      <x:c r="K27" s="10" t="n">
        <x:v>9</x:v>
      </x:c>
      <x:c r="L27" s="10" t="n">
        <x:f>G27*I27</x:f>
        <x:v>74.85</x:v>
      </x:c>
      <x:c r="M27" s="10" t="n">
        <x:f>ROUND((L27-J27)*H27/G27,2)</x:f>
        <x:v>0</x:v>
      </x:c>
      <x:c r="N27" s="10" t="n">
        <x:f>L27-J27-M27</x:f>
        <x:v>67.36999999999999</x:v>
      </x:c>
      <x:c r="O27" s="10" t="n">
        <x:f>(G27-H27)*K27</x:f>
        <x:v>27</x:v>
      </x:c>
      <x:c r="P27" s="10" t="n">
        <x:f>N27-O27</x:f>
        <x:v>40.36999999999999</x:v>
      </x:c>
      <x:c r="Q27" s="9" t="n">
        <x:f>A27-WEEKDAY(A27,2)+1</x:f>
        <x:v>46258</x:v>
      </x:c>
      <x:c r="R27" s="2" t="str">
        <x:f>IF(AND(A27&gt;='Review'!$B$4,A27&lt;='Review'!$D$4),"Selected","Outside")</x:f>
        <x:v>Outside</x:v>
      </x:c>
    </x:row>
    <x:row r="28" ht="20" customHeight="1">
      <x:c r="A28" s="9" t="n">
        <x:v>46262</x:v>
      </x:c>
      <x:c r="B28" s="2" t="str">
        <x:v>MM-1001</x:v>
      </x:c>
      <x:c r="C28" s="2" t="str">
        <x:v>Email</x:v>
      </x:c>
      <x:c r="D28" s="2" t="str">
        <x:v>TUM-001</x:v>
      </x:c>
      <x:c r="E28" s="2" t="str">
        <x:f>_xlfn.IFNA(VLOOKUP(D28,'Products'!$A$7:$I$22,2,FALSE),"Unmapped")</x:f>
        <x:v>Maple travel tumbler</x:v>
      </x:c>
      <x:c r="F28" s="2" t="str">
        <x:f>_xlfn.IFNA(VLOOKUP(D28,'Products'!$A$7:$I$22,3,FALSE),"Unmapped")</x:f>
        <x:v>Drinkware</x:v>
      </x:c>
      <x:c r="G28" s="2" t="n">
        <x:v>1</x:v>
      </x:c>
      <x:c r="H28" s="2" t="n">
        <x:v>0</x:v>
      </x:c>
      <x:c r="I28" s="10" t="n">
        <x:v>32.95</x:v>
      </x:c>
      <x:c r="J28" s="10" t="n">
        <x:v>3.29</x:v>
      </x:c>
      <x:c r="K28" s="10" t="n">
        <x:v>12</x:v>
      </x:c>
      <x:c r="L28" s="10" t="n">
        <x:f>G28*I28</x:f>
        <x:v>32.95</x:v>
      </x:c>
      <x:c r="M28" s="10" t="n">
        <x:f>ROUND((L28-J28)*H28/G28,2)</x:f>
        <x:v>0</x:v>
      </x:c>
      <x:c r="N28" s="10" t="n">
        <x:f>L28-J28-M28</x:f>
        <x:v>29.660000000000004</x:v>
      </x:c>
      <x:c r="O28" s="10" t="n">
        <x:f>(G28-H28)*K28</x:f>
        <x:v>12</x:v>
      </x:c>
      <x:c r="P28" s="10" t="n">
        <x:f>N28-O28</x:f>
        <x:v>17.660000000000004</x:v>
      </x:c>
      <x:c r="Q28" s="9" t="n">
        <x:f>A28-WEEKDAY(A28,2)+1</x:f>
        <x:v>46258</x:v>
      </x:c>
      <x:c r="R28" s="2" t="str">
        <x:f>IF(AND(A28&gt;='Review'!$B$4,A28&lt;='Review'!$D$4),"Selected","Outside")</x:f>
        <x:v>Outside</x:v>
      </x:c>
    </x:row>
    <x:row r="29" ht="20" customHeight="1">
      <x:c r="A29" s="9" t="n">
        <x:v>46262</x:v>
      </x:c>
      <x:c r="B29" s="2" t="str">
        <x:v>MM-1003</x:v>
      </x:c>
      <x:c r="C29" s="2" t="str">
        <x:v>Paid Social</x:v>
      </x:c>
      <x:c r="D29" s="2" t="str">
        <x:v>APP-002</x:v>
      </x:c>
      <x:c r="E29" s="2" t="str">
        <x:f>_xlfn.IFNA(VLOOKUP(D29,'Products'!$A$7:$I$22,2,FALSE),"Unmapped")</x:f>
        <x:v>Weekend hoodie</x:v>
      </x:c>
      <x:c r="F29" s="2" t="str">
        <x:f>_xlfn.IFNA(VLOOKUP(D29,'Products'!$A$7:$I$22,3,FALSE),"Unmapped")</x:f>
        <x:v>Apparel</x:v>
      </x:c>
      <x:c r="G29" s="2" t="n">
        <x:v>1</x:v>
      </x:c>
      <x:c r="H29" s="2" t="n">
        <x:v>0</x:v>
      </x:c>
      <x:c r="I29" s="10" t="n">
        <x:v>69.95</x:v>
      </x:c>
      <x:c r="J29" s="10" t="n">
        <x:v>0</x:v>
      </x:c>
      <x:c r="K29" s="10" t="n">
        <x:v>28</x:v>
      </x:c>
      <x:c r="L29" s="10" t="n">
        <x:f>G29*I29</x:f>
        <x:v>69.95</x:v>
      </x:c>
      <x:c r="M29" s="10" t="n">
        <x:f>ROUND((L29-J29)*H29/G29,2)</x:f>
        <x:v>0</x:v>
      </x:c>
      <x:c r="N29" s="10" t="n">
        <x:f>L29-J29-M29</x:f>
        <x:v>69.95</x:v>
      </x:c>
      <x:c r="O29" s="10" t="n">
        <x:f>(G29-H29)*K29</x:f>
        <x:v>28</x:v>
      </x:c>
      <x:c r="P29" s="10" t="n">
        <x:f>N29-O29</x:f>
        <x:v>41.95</x:v>
      </x:c>
      <x:c r="Q29" s="9" t="n">
        <x:f>A29-WEEKDAY(A29,2)+1</x:f>
        <x:v>46258</x:v>
      </x:c>
      <x:c r="R29" s="2" t="str">
        <x:f>IF(AND(A29&gt;='Review'!$B$4,A29&lt;='Review'!$D$4),"Selected","Outside")</x:f>
        <x:v>Outside</x:v>
      </x:c>
    </x:row>
    <x:row r="30" ht="20" customHeight="1">
      <x:c r="A30" s="9" t="n">
        <x:v>46262</x:v>
      </x:c>
      <x:c r="B30" s="2" t="str">
        <x:v>MM-1013</x:v>
      </x:c>
      <x:c r="C30" s="2" t="str">
        <x:v>Paid Social</x:v>
      </x:c>
      <x:c r="D30" s="2" t="str">
        <x:v>APP-001</x:v>
      </x:c>
      <x:c r="E30" s="2" t="str">
        <x:f>_xlfn.IFNA(VLOOKUP(D30,'Products'!$A$7:$I$22,2,FALSE),"Unmapped")</x:f>
        <x:v>Everyday crewneck</x:v>
      </x:c>
      <x:c r="F30" s="2" t="str">
        <x:f>_xlfn.IFNA(VLOOKUP(D30,'Products'!$A$7:$I$22,3,FALSE),"Unmapped")</x:f>
        <x:v>Apparel</x:v>
      </x:c>
      <x:c r="G30" s="2" t="n">
        <x:v>1</x:v>
      </x:c>
      <x:c r="H30" s="2" t="n">
        <x:v>0</x:v>
      </x:c>
      <x:c r="I30" s="10" t="n">
        <x:v>54.95</x:v>
      </x:c>
      <x:c r="J30" s="10" t="n">
        <x:v>0</x:v>
      </x:c>
      <x:c r="K30" s="10" t="n">
        <x:v>22</x:v>
      </x:c>
      <x:c r="L30" s="10" t="n">
        <x:f>G30*I30</x:f>
        <x:v>54.95</x:v>
      </x:c>
      <x:c r="M30" s="10" t="n">
        <x:f>ROUND((L30-J30)*H30/G30,2)</x:f>
        <x:v>0</x:v>
      </x:c>
      <x:c r="N30" s="10" t="n">
        <x:f>L30-J30-M30</x:f>
        <x:v>54.95</x:v>
      </x:c>
      <x:c r="O30" s="10" t="n">
        <x:f>(G30-H30)*K30</x:f>
        <x:v>22</x:v>
      </x:c>
      <x:c r="P30" s="10" t="n">
        <x:f>N30-O30</x:f>
        <x:v>32.95</x:v>
      </x:c>
      <x:c r="Q30" s="9" t="n">
        <x:f>A30-WEEKDAY(A30,2)+1</x:f>
        <x:v>46258</x:v>
      </x:c>
      <x:c r="R30" s="2" t="str">
        <x:f>IF(AND(A30&gt;='Review'!$B$4,A30&lt;='Review'!$D$4),"Selected","Outside")</x:f>
        <x:v>Outside</x:v>
      </x:c>
    </x:row>
    <x:row r="31" ht="20" customHeight="1">
      <x:c r="A31" s="9" t="n">
        <x:v>46262</x:v>
      </x:c>
      <x:c r="B31" s="2" t="str">
        <x:v>MM-1017</x:v>
      </x:c>
      <x:c r="C31" s="2" t="str">
        <x:v>Paid Social</x:v>
      </x:c>
      <x:c r="D31" s="2" t="str">
        <x:v>GFT-002</x:v>
      </x:c>
      <x:c r="E31" s="2" t="str">
        <x:f>_xlfn.IFNA(VLOOKUP(D31,'Products'!$A$7:$I$22,2,FALSE),"Unmapped")</x:f>
        <x:v>Cozy weekend gift box</x:v>
      </x:c>
      <x:c r="F31" s="2" t="str">
        <x:f>_xlfn.IFNA(VLOOKUP(D31,'Products'!$A$7:$I$22,3,FALSE),"Unmapped")</x:f>
        <x:v>Gifts</x:v>
      </x:c>
      <x:c r="G31" s="2" t="n">
        <x:v>2</x:v>
      </x:c>
      <x:c r="H31" s="2" t="n">
        <x:v>0</x:v>
      </x:c>
      <x:c r="I31" s="10" t="n">
        <x:v>79.95</x:v>
      </x:c>
      <x:c r="J31" s="10" t="n">
        <x:v>0</x:v>
      </x:c>
      <x:c r="K31" s="10" t="n">
        <x:v>32</x:v>
      </x:c>
      <x:c r="L31" s="10" t="n">
        <x:f>G31*I31</x:f>
        <x:v>159.9</x:v>
      </x:c>
      <x:c r="M31" s="10" t="n">
        <x:f>ROUND((L31-J31)*H31/G31,2)</x:f>
        <x:v>0</x:v>
      </x:c>
      <x:c r="N31" s="10" t="n">
        <x:f>L31-J31-M31</x:f>
        <x:v>159.9</x:v>
      </x:c>
      <x:c r="O31" s="10" t="n">
        <x:f>(G31-H31)*K31</x:f>
        <x:v>64</x:v>
      </x:c>
      <x:c r="P31" s="10" t="n">
        <x:f>N31-O31</x:f>
        <x:v>95.9</x:v>
      </x:c>
      <x:c r="Q31" s="9" t="n">
        <x:f>A31-WEEKDAY(A31,2)+1</x:f>
        <x:v>46258</x:v>
      </x:c>
      <x:c r="R31" s="2" t="str">
        <x:f>IF(AND(A31&gt;='Review'!$B$4,A31&lt;='Review'!$D$4),"Selected","Outside")</x:f>
        <x:v>Outside</x:v>
      </x:c>
    </x:row>
    <x:row r="32" ht="20" customHeight="1">
      <x:c r="A32" s="9" t="n">
        <x:v>46262</x:v>
      </x:c>
      <x:c r="B32" s="2" t="str">
        <x:v>MM-1017</x:v>
      </x:c>
      <x:c r="C32" s="2" t="str">
        <x:v>Paid Social</x:v>
      </x:c>
      <x:c r="D32" s="2" t="str">
        <x:v>PIN-001</x:v>
      </x:c>
      <x:c r="E32" s="2" t="str">
        <x:f>_xlfn.IFNA(VLOOKUP(D32,'Products'!$A$7:$I$22,2,FALSE),"Unmapped")</x:f>
        <x:v>Coffee enamel pin</x:v>
      </x:c>
      <x:c r="F32" s="2" t="str">
        <x:f>_xlfn.IFNA(VLOOKUP(D32,'Products'!$A$7:$I$22,3,FALSE),"Unmapped")</x:f>
        <x:v>Accessories</x:v>
      </x:c>
      <x:c r="G32" s="2" t="n">
        <x:v>1</x:v>
      </x:c>
      <x:c r="H32" s="2" t="n">
        <x:v>0</x:v>
      </x:c>
      <x:c r="I32" s="10" t="n">
        <x:v>9.95</x:v>
      </x:c>
      <x:c r="J32" s="10" t="n">
        <x:v>0</x:v>
      </x:c>
      <x:c r="K32" s="10" t="n">
        <x:v>2.5</x:v>
      </x:c>
      <x:c r="L32" s="10" t="n">
        <x:f>G32*I32</x:f>
        <x:v>9.95</x:v>
      </x:c>
      <x:c r="M32" s="10" t="n">
        <x:f>ROUND((L32-J32)*H32/G32,2)</x:f>
        <x:v>0</x:v>
      </x:c>
      <x:c r="N32" s="10" t="n">
        <x:f>L32-J32-M32</x:f>
        <x:v>9.95</x:v>
      </x:c>
      <x:c r="O32" s="10" t="n">
        <x:f>(G32-H32)*K32</x:f>
        <x:v>2.5</x:v>
      </x:c>
      <x:c r="P32" s="10" t="n">
        <x:f>N32-O32</x:f>
        <x:v>7.449999999999999</x:v>
      </x:c>
      <x:c r="Q32" s="9" t="n">
        <x:f>A32-WEEKDAY(A32,2)+1</x:f>
        <x:v>46258</x:v>
      </x:c>
      <x:c r="R32" s="2" t="str">
        <x:f>IF(AND(A32&gt;='Review'!$B$4,A32&lt;='Review'!$D$4),"Selected","Outside")</x:f>
        <x:v>Outside</x:v>
      </x:c>
    </x:row>
    <x:row r="33" ht="20" customHeight="1">
      <x:c r="A33" s="9" t="n">
        <x:v>46263</x:v>
      </x:c>
      <x:c r="B33" s="2" t="str">
        <x:v>MM-1021</x:v>
      </x:c>
      <x:c r="C33" s="2" t="str">
        <x:v>Email</x:v>
      </x:c>
      <x:c r="D33" s="2" t="str">
        <x:v>APP-001</x:v>
      </x:c>
      <x:c r="E33" s="2" t="str">
        <x:f>_xlfn.IFNA(VLOOKUP(D33,'Products'!$A$7:$I$22,2,FALSE),"Unmapped")</x:f>
        <x:v>Everyday crewneck</x:v>
      </x:c>
      <x:c r="F33" s="2" t="str">
        <x:f>_xlfn.IFNA(VLOOKUP(D33,'Products'!$A$7:$I$22,3,FALSE),"Unmapped")</x:f>
        <x:v>Apparel</x:v>
      </x:c>
      <x:c r="G33" s="2" t="n">
        <x:v>2</x:v>
      </x:c>
      <x:c r="H33" s="2" t="n">
        <x:v>0</x:v>
      </x:c>
      <x:c r="I33" s="10" t="n">
        <x:v>54.95</x:v>
      </x:c>
      <x:c r="J33" s="10" t="n">
        <x:v>10.99</x:v>
      </x:c>
      <x:c r="K33" s="10" t="n">
        <x:v>22</x:v>
      </x:c>
      <x:c r="L33" s="10" t="n">
        <x:f>G33*I33</x:f>
        <x:v>109.9</x:v>
      </x:c>
      <x:c r="M33" s="10" t="n">
        <x:f>ROUND((L33-J33)*H33/G33,2)</x:f>
        <x:v>0</x:v>
      </x:c>
      <x:c r="N33" s="10" t="n">
        <x:f>L33-J33-M33</x:f>
        <x:v>98.91000000000001</x:v>
      </x:c>
      <x:c r="O33" s="10" t="n">
        <x:f>(G33-H33)*K33</x:f>
        <x:v>44</x:v>
      </x:c>
      <x:c r="P33" s="10" t="n">
        <x:f>N33-O33</x:f>
        <x:v>54.91000000000001</x:v>
      </x:c>
      <x:c r="Q33" s="9" t="n">
        <x:f>A33-WEEKDAY(A33,2)+1</x:f>
        <x:v>46258</x:v>
      </x:c>
      <x:c r="R33" s="2" t="str">
        <x:f>IF(AND(A33&gt;='Review'!$B$4,A33&lt;='Review'!$D$4),"Selected","Outside")</x:f>
        <x:v>Outside</x:v>
      </x:c>
    </x:row>
    <x:row r="34" ht="20" customHeight="1">
      <x:c r="A34" s="9" t="n">
        <x:v>46263</x:v>
      </x:c>
      <x:c r="B34" s="2" t="str">
        <x:v>MM-1028</x:v>
      </x:c>
      <x:c r="C34" s="2" t="str">
        <x:v>Paid Social</x:v>
      </x:c>
      <x:c r="D34" s="2" t="str">
        <x:v>BOT-001</x:v>
      </x:c>
      <x:c r="E34" s="2" t="str">
        <x:f>_xlfn.IFNA(VLOOKUP(D34,'Products'!$A$7:$I$22,2,FALSE),"Unmapped")</x:f>
        <x:v>Trail water bottle</x:v>
      </x:c>
      <x:c r="F34" s="2" t="str">
        <x:f>_xlfn.IFNA(VLOOKUP(D34,'Products'!$A$7:$I$22,3,FALSE),"Unmapped")</x:f>
        <x:v>Drinkware</x:v>
      </x:c>
      <x:c r="G34" s="2" t="n">
        <x:v>3</x:v>
      </x:c>
      <x:c r="H34" s="2" t="n">
        <x:v>0</x:v>
      </x:c>
      <x:c r="I34" s="10" t="n">
        <x:v>34.95</x:v>
      </x:c>
      <x:c r="J34" s="10" t="n">
        <x:v>0</x:v>
      </x:c>
      <x:c r="K34" s="10" t="n">
        <x:v>13.5</x:v>
      </x:c>
      <x:c r="L34" s="10" t="n">
        <x:f>G34*I34</x:f>
        <x:v>104.85000000000001</x:v>
      </x:c>
      <x:c r="M34" s="10" t="n">
        <x:f>ROUND((L34-J34)*H34/G34,2)</x:f>
        <x:v>0</x:v>
      </x:c>
      <x:c r="N34" s="10" t="n">
        <x:f>L34-J34-M34</x:f>
        <x:v>104.85000000000001</x:v>
      </x:c>
      <x:c r="O34" s="10" t="n">
        <x:f>(G34-H34)*K34</x:f>
        <x:v>40.5</x:v>
      </x:c>
      <x:c r="P34" s="10" t="n">
        <x:f>N34-O34</x:f>
        <x:v>64.35000000000001</x:v>
      </x:c>
      <x:c r="Q34" s="9" t="n">
        <x:f>A34-WEEKDAY(A34,2)+1</x:f>
        <x:v>46258</x:v>
      </x:c>
      <x:c r="R34" s="2" t="str">
        <x:f>IF(AND(A34&gt;='Review'!$B$4,A34&lt;='Review'!$D$4),"Selected","Outside")</x:f>
        <x:v>Outside</x:v>
      </x:c>
    </x:row>
    <x:row r="35" ht="20" customHeight="1">
      <x:c r="A35" s="9" t="n">
        <x:v>46263</x:v>
      </x:c>
      <x:c r="B35" s="2" t="str">
        <x:v>MM-1029</x:v>
      </x:c>
      <x:c r="C35" s="2" t="str">
        <x:v>Organic Search</x:v>
      </x:c>
      <x:c r="D35" s="2" t="str">
        <x:v>GFT-002</x:v>
      </x:c>
      <x:c r="E35" s="2" t="str">
        <x:f>_xlfn.IFNA(VLOOKUP(D35,'Products'!$A$7:$I$22,2,FALSE),"Unmapped")</x:f>
        <x:v>Cozy weekend gift box</x:v>
      </x:c>
      <x:c r="F35" s="2" t="str">
        <x:f>_xlfn.IFNA(VLOOKUP(D35,'Products'!$A$7:$I$22,3,FALSE),"Unmapped")</x:f>
        <x:v>Gifts</x:v>
      </x:c>
      <x:c r="G35" s="2" t="n">
        <x:v>1</x:v>
      </x:c>
      <x:c r="H35" s="2" t="n">
        <x:v>0</x:v>
      </x:c>
      <x:c r="I35" s="10" t="n">
        <x:v>79.95</x:v>
      </x:c>
      <x:c r="J35" s="10" t="n">
        <x:v>0</x:v>
      </x:c>
      <x:c r="K35" s="10" t="n">
        <x:v>32</x:v>
      </x:c>
      <x:c r="L35" s="10" t="n">
        <x:f>G35*I35</x:f>
        <x:v>79.95</x:v>
      </x:c>
      <x:c r="M35" s="10" t="n">
        <x:f>ROUND((L35-J35)*H35/G35,2)</x:f>
        <x:v>0</x:v>
      </x:c>
      <x:c r="N35" s="10" t="n">
        <x:f>L35-J35-M35</x:f>
        <x:v>79.95</x:v>
      </x:c>
      <x:c r="O35" s="10" t="n">
        <x:f>(G35-H35)*K35</x:f>
        <x:v>32</x:v>
      </x:c>
      <x:c r="P35" s="10" t="n">
        <x:f>N35-O35</x:f>
        <x:v>47.95</x:v>
      </x:c>
      <x:c r="Q35" s="9" t="n">
        <x:f>A35-WEEKDAY(A35,2)+1</x:f>
        <x:v>46258</x:v>
      </x:c>
      <x:c r="R35" s="2" t="str">
        <x:f>IF(AND(A35&gt;='Review'!$B$4,A35&lt;='Review'!$D$4),"Selected","Outside")</x:f>
        <x:v>Outside</x:v>
      </x:c>
    </x:row>
    <x:row r="36" ht="20" customHeight="1">
      <x:c r="A36" s="9" t="n">
        <x:v>46263</x:v>
      </x:c>
      <x:c r="B36" s="2" t="str">
        <x:v>MM-1033</x:v>
      </x:c>
      <x:c r="C36" s="2" t="str">
        <x:v>Direct</x:v>
      </x:c>
      <x:c r="D36" s="2" t="str">
        <x:v>TOTE-001</x:v>
      </x:c>
      <x:c r="E36" s="2" t="str">
        <x:f>_xlfn.IFNA(VLOOKUP(D36,'Products'!$A$7:$I$22,2,FALSE),"Unmapped")</x:f>
        <x:v>Market canvas tote</x:v>
      </x:c>
      <x:c r="F36" s="2" t="str">
        <x:f>_xlfn.IFNA(VLOOKUP(D36,'Products'!$A$7:$I$22,3,FALSE),"Unmapped")</x:f>
        <x:v>Accessories</x:v>
      </x:c>
      <x:c r="G36" s="2" t="n">
        <x:v>1</x:v>
      </x:c>
      <x:c r="H36" s="2" t="n">
        <x:v>0</x:v>
      </x:c>
      <x:c r="I36" s="10" t="n">
        <x:v>19.95</x:v>
      </x:c>
      <x:c r="J36" s="10" t="n">
        <x:v>0</x:v>
      </x:c>
      <x:c r="K36" s="10" t="n">
        <x:v>6</x:v>
      </x:c>
      <x:c r="L36" s="10" t="n">
        <x:f>G36*I36</x:f>
        <x:v>19.95</x:v>
      </x:c>
      <x:c r="M36" s="10" t="n">
        <x:f>ROUND((L36-J36)*H36/G36,2)</x:f>
        <x:v>0</x:v>
      </x:c>
      <x:c r="N36" s="10" t="n">
        <x:f>L36-J36-M36</x:f>
        <x:v>19.95</x:v>
      </x:c>
      <x:c r="O36" s="10" t="n">
        <x:f>(G36-H36)*K36</x:f>
        <x:v>6</x:v>
      </x:c>
      <x:c r="P36" s="10" t="n">
        <x:f>N36-O36</x:f>
        <x:v>13.95</x:v>
      </x:c>
      <x:c r="Q36" s="9" t="n">
        <x:f>A36-WEEKDAY(A36,2)+1</x:f>
        <x:v>46258</x:v>
      </x:c>
      <x:c r="R36" s="2" t="str">
        <x:f>IF(AND(A36&gt;='Review'!$B$4,A36&lt;='Review'!$D$4),"Selected","Outside")</x:f>
        <x:v>Outside</x:v>
      </x:c>
    </x:row>
    <x:row r="37" ht="20" customHeight="1">
      <x:c r="A37" s="9" t="n">
        <x:v>46263</x:v>
      </x:c>
      <x:c r="B37" s="2" t="str">
        <x:v>MM-1033</x:v>
      </x:c>
      <x:c r="C37" s="2" t="str">
        <x:v>Direct</x:v>
      </x:c>
      <x:c r="D37" s="2" t="str">
        <x:v>GFT-001</x:v>
      </x:c>
      <x:c r="E37" s="2" t="str">
        <x:f>_xlfn.IFNA(VLOOKUP(D37,'Products'!$A$7:$I$22,2,FALSE),"Unmapped")</x:f>
        <x:v>Morning ritual gift set</x:v>
      </x:c>
      <x:c r="F37" s="2" t="str">
        <x:f>_xlfn.IFNA(VLOOKUP(D37,'Products'!$A$7:$I$22,3,FALSE),"Unmapped")</x:f>
        <x:v>Gifts</x:v>
      </x:c>
      <x:c r="G37" s="2" t="n">
        <x:v>1</x:v>
      </x:c>
      <x:c r="H37" s="2" t="n">
        <x:v>0</x:v>
      </x:c>
      <x:c r="I37" s="10" t="n">
        <x:v>59.95</x:v>
      </x:c>
      <x:c r="J37" s="10" t="n">
        <x:v>0</x:v>
      </x:c>
      <x:c r="K37" s="10" t="n">
        <x:v>24</x:v>
      </x:c>
      <x:c r="L37" s="10" t="n">
        <x:f>G37*I37</x:f>
        <x:v>59.95</x:v>
      </x:c>
      <x:c r="M37" s="10" t="n">
        <x:f>ROUND((L37-J37)*H37/G37,2)</x:f>
        <x:v>0</x:v>
      </x:c>
      <x:c r="N37" s="10" t="n">
        <x:f>L37-J37-M37</x:f>
        <x:v>59.95</x:v>
      </x:c>
      <x:c r="O37" s="10" t="n">
        <x:f>(G37-H37)*K37</x:f>
        <x:v>24</x:v>
      </x:c>
      <x:c r="P37" s="10" t="n">
        <x:f>N37-O37</x:f>
        <x:v>35.95</x:v>
      </x:c>
      <x:c r="Q37" s="9" t="n">
        <x:f>A37-WEEKDAY(A37,2)+1</x:f>
        <x:v>46258</x:v>
      </x:c>
      <x:c r="R37" s="2" t="str">
        <x:f>IF(AND(A37&gt;='Review'!$B$4,A37&lt;='Review'!$D$4),"Selected","Outside")</x:f>
        <x:v>Outside</x:v>
      </x:c>
    </x:row>
    <x:row r="38" ht="20" customHeight="1">
      <x:c r="A38" s="9" t="n">
        <x:v>46263</x:v>
      </x:c>
      <x:c r="B38" s="2" t="str">
        <x:v>MM-1033</x:v>
      </x:c>
      <x:c r="C38" s="2" t="str">
        <x:v>Direct</x:v>
      </x:c>
      <x:c r="D38" s="2" t="str">
        <x:v>MUG-002</x:v>
      </x:c>
      <x:c r="E38" s="2" t="str">
        <x:f>_xlfn.IFNA(VLOOKUP(D38,'Products'!$A$7:$I$22,2,FALSE),"Unmapped")</x:f>
        <x:v>Campfire enamel mug</x:v>
      </x:c>
      <x:c r="F38" s="2" t="str">
        <x:f>_xlfn.IFNA(VLOOKUP(D38,'Products'!$A$7:$I$22,3,FALSE),"Unmapped")</x:f>
        <x:v>Drinkware</x:v>
      </x:c>
      <x:c r="G38" s="2" t="n">
        <x:v>1</x:v>
      </x:c>
      <x:c r="H38" s="2" t="n">
        <x:v>0</x:v>
      </x:c>
      <x:c r="I38" s="10" t="n">
        <x:v>22.95</x:v>
      </x:c>
      <x:c r="J38" s="10" t="n">
        <x:v>0</x:v>
      </x:c>
      <x:c r="K38" s="10" t="n">
        <x:v>8.5</x:v>
      </x:c>
      <x:c r="L38" s="10" t="n">
        <x:f>G38*I38</x:f>
        <x:v>22.95</x:v>
      </x:c>
      <x:c r="M38" s="10" t="n">
        <x:f>ROUND((L38-J38)*H38/G38,2)</x:f>
        <x:v>0</x:v>
      </x:c>
      <x:c r="N38" s="10" t="n">
        <x:f>L38-J38-M38</x:f>
        <x:v>22.95</x:v>
      </x:c>
      <x:c r="O38" s="10" t="n">
        <x:f>(G38-H38)*K38</x:f>
        <x:v>8.5</x:v>
      </x:c>
      <x:c r="P38" s="10" t="n">
        <x:f>N38-O38</x:f>
        <x:v>14.45</x:v>
      </x:c>
      <x:c r="Q38" s="9" t="n">
        <x:f>A38-WEEKDAY(A38,2)+1</x:f>
        <x:v>46258</x:v>
      </x:c>
      <x:c r="R38" s="2" t="str">
        <x:f>IF(AND(A38&gt;='Review'!$B$4,A38&lt;='Review'!$D$4),"Selected","Outside")</x:f>
        <x:v>Outside</x:v>
      </x:c>
    </x:row>
    <x:row r="39" ht="20" customHeight="1">
      <x:c r="A39" s="9" t="n">
        <x:v>46263</x:v>
      </x:c>
      <x:c r="B39" s="2" t="str">
        <x:v>MM-1019</x:v>
      </x:c>
      <x:c r="C39" s="2" t="str">
        <x:v>Organic Search</x:v>
      </x:c>
      <x:c r="D39" s="2" t="str">
        <x:v>APP-001</x:v>
      </x:c>
      <x:c r="E39" s="2" t="str">
        <x:f>_xlfn.IFNA(VLOOKUP(D39,'Products'!$A$7:$I$22,2,FALSE),"Unmapped")</x:f>
        <x:v>Everyday crewneck</x:v>
      </x:c>
      <x:c r="F39" s="2" t="str">
        <x:f>_xlfn.IFNA(VLOOKUP(D39,'Products'!$A$7:$I$22,3,FALSE),"Unmapped")</x:f>
        <x:v>Apparel</x:v>
      </x:c>
      <x:c r="G39" s="2" t="n">
        <x:v>1</x:v>
      </x:c>
      <x:c r="H39" s="2" t="n">
        <x:v>0</x:v>
      </x:c>
      <x:c r="I39" s="10" t="n">
        <x:v>54.95</x:v>
      </x:c>
      <x:c r="J39" s="10" t="n">
        <x:v>0</x:v>
      </x:c>
      <x:c r="K39" s="10" t="n">
        <x:v>22</x:v>
      </x:c>
      <x:c r="L39" s="10" t="n">
        <x:f>G39*I39</x:f>
        <x:v>54.95</x:v>
      </x:c>
      <x:c r="M39" s="10" t="n">
        <x:f>ROUND((L39-J39)*H39/G39,2)</x:f>
        <x:v>0</x:v>
      </x:c>
      <x:c r="N39" s="10" t="n">
        <x:f>L39-J39-M39</x:f>
        <x:v>54.95</x:v>
      </x:c>
      <x:c r="O39" s="10" t="n">
        <x:f>(G39-H39)*K39</x:f>
        <x:v>22</x:v>
      </x:c>
      <x:c r="P39" s="10" t="n">
        <x:f>N39-O39</x:f>
        <x:v>32.95</x:v>
      </x:c>
      <x:c r="Q39" s="9" t="n">
        <x:f>A39-WEEKDAY(A39,2)+1</x:f>
        <x:v>46258</x:v>
      </x:c>
      <x:c r="R39" s="2" t="str">
        <x:f>IF(AND(A39&gt;='Review'!$B$4,A39&lt;='Review'!$D$4),"Selected","Outside")</x:f>
        <x:v>Outside</x:v>
      </x:c>
    </x:row>
    <x:row r="40" ht="20" customHeight="1">
      <x:c r="A40" s="9" t="n">
        <x:v>46263</x:v>
      </x:c>
      <x:c r="B40" s="2" t="str">
        <x:v>MM-1023</x:v>
      </x:c>
      <x:c r="C40" s="2" t="str">
        <x:v>Email</x:v>
      </x:c>
      <x:c r="D40" s="2" t="str">
        <x:v>GFT-001</x:v>
      </x:c>
      <x:c r="E40" s="2" t="str">
        <x:f>_xlfn.IFNA(VLOOKUP(D40,'Products'!$A$7:$I$22,2,FALSE),"Unmapped")</x:f>
        <x:v>Morning ritual gift set</x:v>
      </x:c>
      <x:c r="F40" s="2" t="str">
        <x:f>_xlfn.IFNA(VLOOKUP(D40,'Products'!$A$7:$I$22,3,FALSE),"Unmapped")</x:f>
        <x:v>Gifts</x:v>
      </x:c>
      <x:c r="G40" s="2" t="n">
        <x:v>1</x:v>
      </x:c>
      <x:c r="H40" s="2" t="n">
        <x:v>0</x:v>
      </x:c>
      <x:c r="I40" s="10" t="n">
        <x:v>59.95</x:v>
      </x:c>
      <x:c r="J40" s="10" t="n">
        <x:v>5.99</x:v>
      </x:c>
      <x:c r="K40" s="10" t="n">
        <x:v>24</x:v>
      </x:c>
      <x:c r="L40" s="10" t="n">
        <x:f>G40*I40</x:f>
        <x:v>59.95</x:v>
      </x:c>
      <x:c r="M40" s="10" t="n">
        <x:f>ROUND((L40-J40)*H40/G40,2)</x:f>
        <x:v>0</x:v>
      </x:c>
      <x:c r="N40" s="10" t="n">
        <x:f>L40-J40-M40</x:f>
        <x:v>53.96</x:v>
      </x:c>
      <x:c r="O40" s="10" t="n">
        <x:f>(G40-H40)*K40</x:f>
        <x:v>24</x:v>
      </x:c>
      <x:c r="P40" s="10" t="n">
        <x:f>N40-O40</x:f>
        <x:v>29.96</x:v>
      </x:c>
      <x:c r="Q40" s="9" t="n">
        <x:f>A40-WEEKDAY(A40,2)+1</x:f>
        <x:v>46258</x:v>
      </x:c>
      <x:c r="R40" s="2" t="str">
        <x:f>IF(AND(A40&gt;='Review'!$B$4,A40&lt;='Review'!$D$4),"Selected","Outside")</x:f>
        <x:v>Outside</x:v>
      </x:c>
    </x:row>
    <x:row r="41" ht="20" customHeight="1">
      <x:c r="A41" s="9" t="n">
        <x:v>46263</x:v>
      </x:c>
      <x:c r="B41" s="2" t="str">
        <x:v>MM-1026</x:v>
      </x:c>
      <x:c r="C41" s="2" t="str">
        <x:v>Email</x:v>
      </x:c>
      <x:c r="D41" s="2" t="str">
        <x:v>MUG-002</x:v>
      </x:c>
      <x:c r="E41" s="2" t="str">
        <x:f>_xlfn.IFNA(VLOOKUP(D41,'Products'!$A$7:$I$22,2,FALSE),"Unmapped")</x:f>
        <x:v>Campfire enamel mug</x:v>
      </x:c>
      <x:c r="F41" s="2" t="str">
        <x:f>_xlfn.IFNA(VLOOKUP(D41,'Products'!$A$7:$I$22,3,FALSE),"Unmapped")</x:f>
        <x:v>Drinkware</x:v>
      </x:c>
      <x:c r="G41" s="2" t="n">
        <x:v>2</x:v>
      </x:c>
      <x:c r="H41" s="2" t="n">
        <x:v>0</x:v>
      </x:c>
      <x:c r="I41" s="10" t="n">
        <x:v>22.95</x:v>
      </x:c>
      <x:c r="J41" s="10" t="n">
        <x:v>4.59</x:v>
      </x:c>
      <x:c r="K41" s="10" t="n">
        <x:v>8.5</x:v>
      </x:c>
      <x:c r="L41" s="10" t="n">
        <x:f>G41*I41</x:f>
        <x:v>45.9</x:v>
      </x:c>
      <x:c r="M41" s="10" t="n">
        <x:f>ROUND((L41-J41)*H41/G41,2)</x:f>
        <x:v>0</x:v>
      </x:c>
      <x:c r="N41" s="10" t="n">
        <x:f>L41-J41-M41</x:f>
        <x:v>41.31</x:v>
      </x:c>
      <x:c r="O41" s="10" t="n">
        <x:f>(G41-H41)*K41</x:f>
        <x:v>17</x:v>
      </x:c>
      <x:c r="P41" s="10" t="n">
        <x:f>N41-O41</x:f>
        <x:v>24.310000000000002</x:v>
      </x:c>
      <x:c r="Q41" s="9" t="n">
        <x:f>A41-WEEKDAY(A41,2)+1</x:f>
        <x:v>46258</x:v>
      </x:c>
      <x:c r="R41" s="2" t="str">
        <x:f>IF(AND(A41&gt;='Review'!$B$4,A41&lt;='Review'!$D$4),"Selected","Outside")</x:f>
        <x:v>Outside</x:v>
      </x:c>
    </x:row>
    <x:row r="42" ht="20" customHeight="1">
      <x:c r="A42" s="9" t="n">
        <x:v>46263</x:v>
      </x:c>
      <x:c r="B42" s="2" t="str">
        <x:v>MM-1035</x:v>
      </x:c>
      <x:c r="C42" s="2" t="str">
        <x:v>Organic Search</x:v>
      </x:c>
      <x:c r="D42" s="2" t="str">
        <x:v>MUG-001</x:v>
      </x:c>
      <x:c r="E42" s="2" t="str">
        <x:f>_xlfn.IFNA(VLOOKUP(D42,'Products'!$A$7:$I$22,2,FALSE),"Unmapped")</x:f>
        <x:v>Everyday ceramic mug</x:v>
      </x:c>
      <x:c r="F42" s="2" t="str">
        <x:f>_xlfn.IFNA(VLOOKUP(D42,'Products'!$A$7:$I$22,3,FALSE),"Unmapped")</x:f>
        <x:v>Drinkware</x:v>
      </x:c>
      <x:c r="G42" s="2" t="n">
        <x:v>1</x:v>
      </x:c>
      <x:c r="H42" s="2" t="n">
        <x:v>0</x:v>
      </x:c>
      <x:c r="I42" s="10" t="n">
        <x:v>18.95</x:v>
      </x:c>
      <x:c r="J42" s="10" t="n">
        <x:v>0</x:v>
      </x:c>
      <x:c r="K42" s="10" t="n">
        <x:v>6.5</x:v>
      </x:c>
      <x:c r="L42" s="10" t="n">
        <x:f>G42*I42</x:f>
        <x:v>18.95</x:v>
      </x:c>
      <x:c r="M42" s="10" t="n">
        <x:f>ROUND((L42-J42)*H42/G42,2)</x:f>
        <x:v>0</x:v>
      </x:c>
      <x:c r="N42" s="10" t="n">
        <x:f>L42-J42-M42</x:f>
        <x:v>18.95</x:v>
      </x:c>
      <x:c r="O42" s="10" t="n">
        <x:f>(G42-H42)*K42</x:f>
        <x:v>6.5</x:v>
      </x:c>
      <x:c r="P42" s="10" t="n">
        <x:f>N42-O42</x:f>
        <x:v>12.45</x:v>
      </x:c>
      <x:c r="Q42" s="9" t="n">
        <x:f>A42-WEEKDAY(A42,2)+1</x:f>
        <x:v>46258</x:v>
      </x:c>
      <x:c r="R42" s="2" t="str">
        <x:f>IF(AND(A42&gt;='Review'!$B$4,A42&lt;='Review'!$D$4),"Selected","Outside")</x:f>
        <x:v>Outside</x:v>
      </x:c>
    </x:row>
    <x:row r="43" ht="20" customHeight="1">
      <x:c r="A43" s="9" t="n">
        <x:v>46263</x:v>
      </x:c>
      <x:c r="B43" s="2" t="str">
        <x:v>MM-1022</x:v>
      </x:c>
      <x:c r="C43" s="2" t="str">
        <x:v>Direct</x:v>
      </x:c>
      <x:c r="D43" s="2" t="str">
        <x:v>MUG-001</x:v>
      </x:c>
      <x:c r="E43" s="2" t="str">
        <x:f>_xlfn.IFNA(VLOOKUP(D43,'Products'!$A$7:$I$22,2,FALSE),"Unmapped")</x:f>
        <x:v>Everyday ceramic mug</x:v>
      </x:c>
      <x:c r="F43" s="2" t="str">
        <x:f>_xlfn.IFNA(VLOOKUP(D43,'Products'!$A$7:$I$22,3,FALSE),"Unmapped")</x:f>
        <x:v>Drinkware</x:v>
      </x:c>
      <x:c r="G43" s="2" t="n">
        <x:v>1</x:v>
      </x:c>
      <x:c r="H43" s="2" t="n">
        <x:v>0</x:v>
      </x:c>
      <x:c r="I43" s="10" t="n">
        <x:v>18.95</x:v>
      </x:c>
      <x:c r="J43" s="10" t="n">
        <x:v>1.89</x:v>
      </x:c>
      <x:c r="K43" s="10" t="n">
        <x:v>6.5</x:v>
      </x:c>
      <x:c r="L43" s="10" t="n">
        <x:f>G43*I43</x:f>
        <x:v>18.95</x:v>
      </x:c>
      <x:c r="M43" s="10" t="n">
        <x:f>ROUND((L43-J43)*H43/G43,2)</x:f>
        <x:v>0</x:v>
      </x:c>
      <x:c r="N43" s="10" t="n">
        <x:f>L43-J43-M43</x:f>
        <x:v>17.06</x:v>
      </x:c>
      <x:c r="O43" s="10" t="n">
        <x:f>(G43-H43)*K43</x:f>
        <x:v>6.5</x:v>
      </x:c>
      <x:c r="P43" s="10" t="n">
        <x:f>N43-O43</x:f>
        <x:v>10.559999999999999</x:v>
      </x:c>
      <x:c r="Q43" s="9" t="n">
        <x:f>A43-WEEKDAY(A43,2)+1</x:f>
        <x:v>46258</x:v>
      </x:c>
      <x:c r="R43" s="2" t="str">
        <x:f>IF(AND(A43&gt;='Review'!$B$4,A43&lt;='Review'!$D$4),"Selected","Outside")</x:f>
        <x:v>Outside</x:v>
      </x:c>
    </x:row>
    <x:row r="44" ht="20" customHeight="1">
      <x:c r="A44" s="9" t="n">
        <x:v>46263</x:v>
      </x:c>
      <x:c r="B44" s="2" t="str">
        <x:v>MM-1034</x:v>
      </x:c>
      <x:c r="C44" s="2" t="str">
        <x:v>Organic Search</x:v>
      </x:c>
      <x:c r="D44" s="2" t="str">
        <x:v>APP-001</x:v>
      </x:c>
      <x:c r="E44" s="2" t="str">
        <x:f>_xlfn.IFNA(VLOOKUP(D44,'Products'!$A$7:$I$22,2,FALSE),"Unmapped")</x:f>
        <x:v>Everyday crewneck</x:v>
      </x:c>
      <x:c r="F44" s="2" t="str">
        <x:f>_xlfn.IFNA(VLOOKUP(D44,'Products'!$A$7:$I$22,3,FALSE),"Unmapped")</x:f>
        <x:v>Apparel</x:v>
      </x:c>
      <x:c r="G44" s="2" t="n">
        <x:v>1</x:v>
      </x:c>
      <x:c r="H44" s="2" t="n">
        <x:v>0</x:v>
      </x:c>
      <x:c r="I44" s="10" t="n">
        <x:v>54.95</x:v>
      </x:c>
      <x:c r="J44" s="10" t="n">
        <x:v>0</x:v>
      </x:c>
      <x:c r="K44" s="10" t="n">
        <x:v>22</x:v>
      </x:c>
      <x:c r="L44" s="10" t="n">
        <x:f>G44*I44</x:f>
        <x:v>54.95</x:v>
      </x:c>
      <x:c r="M44" s="10" t="n">
        <x:f>ROUND((L44-J44)*H44/G44,2)</x:f>
        <x:v>0</x:v>
      </x:c>
      <x:c r="N44" s="10" t="n">
        <x:f>L44-J44-M44</x:f>
        <x:v>54.95</x:v>
      </x:c>
      <x:c r="O44" s="10" t="n">
        <x:f>(G44-H44)*K44</x:f>
        <x:v>22</x:v>
      </x:c>
      <x:c r="P44" s="10" t="n">
        <x:f>N44-O44</x:f>
        <x:v>32.95</x:v>
      </x:c>
      <x:c r="Q44" s="9" t="n">
        <x:f>A44-WEEKDAY(A44,2)+1</x:f>
        <x:v>46258</x:v>
      </x:c>
      <x:c r="R44" s="2" t="str">
        <x:f>IF(AND(A44&gt;='Review'!$B$4,A44&lt;='Review'!$D$4),"Selected","Outside")</x:f>
        <x:v>Outside</x:v>
      </x:c>
    </x:row>
    <x:row r="45" ht="20" customHeight="1">
      <x:c r="A45" s="9" t="n">
        <x:v>46263</x:v>
      </x:c>
      <x:c r="B45" s="2" t="str">
        <x:v>MM-1020</x:v>
      </x:c>
      <x:c r="C45" s="2" t="str">
        <x:v>Email</x:v>
      </x:c>
      <x:c r="D45" s="2" t="str">
        <x:v>MUG-002</x:v>
      </x:c>
      <x:c r="E45" s="2" t="str">
        <x:f>_xlfn.IFNA(VLOOKUP(D45,'Products'!$A$7:$I$22,2,FALSE),"Unmapped")</x:f>
        <x:v>Campfire enamel mug</x:v>
      </x:c>
      <x:c r="F45" s="2" t="str">
        <x:f>_xlfn.IFNA(VLOOKUP(D45,'Products'!$A$7:$I$22,3,FALSE),"Unmapped")</x:f>
        <x:v>Drinkware</x:v>
      </x:c>
      <x:c r="G45" s="2" t="n">
        <x:v>1</x:v>
      </x:c>
      <x:c r="H45" s="2" t="n">
        <x:v>0</x:v>
      </x:c>
      <x:c r="I45" s="10" t="n">
        <x:v>22.95</x:v>
      </x:c>
      <x:c r="J45" s="10" t="n">
        <x:v>2.29</x:v>
      </x:c>
      <x:c r="K45" s="10" t="n">
        <x:v>8.5</x:v>
      </x:c>
      <x:c r="L45" s="10" t="n">
        <x:f>G45*I45</x:f>
        <x:v>22.95</x:v>
      </x:c>
      <x:c r="M45" s="10" t="n">
        <x:f>ROUND((L45-J45)*H45/G45,2)</x:f>
        <x:v>0</x:v>
      </x:c>
      <x:c r="N45" s="10" t="n">
        <x:f>L45-J45-M45</x:f>
        <x:v>20.66</x:v>
      </x:c>
      <x:c r="O45" s="10" t="n">
        <x:f>(G45-H45)*K45</x:f>
        <x:v>8.5</x:v>
      </x:c>
      <x:c r="P45" s="10" t="n">
        <x:f>N45-O45</x:f>
        <x:v>12.16</x:v>
      </x:c>
      <x:c r="Q45" s="9" t="n">
        <x:f>A45-WEEKDAY(A45,2)+1</x:f>
        <x:v>46258</x:v>
      </x:c>
      <x:c r="R45" s="2" t="str">
        <x:f>IF(AND(A45&gt;='Review'!$B$4,A45&lt;='Review'!$D$4),"Selected","Outside")</x:f>
        <x:v>Outside</x:v>
      </x:c>
    </x:row>
    <x:row r="46" ht="20" customHeight="1">
      <x:c r="A46" s="9" t="n">
        <x:v>46263</x:v>
      </x:c>
      <x:c r="B46" s="2" t="str">
        <x:v>MM-1031</x:v>
      </x:c>
      <x:c r="C46" s="2" t="str">
        <x:v>Organic Search</x:v>
      </x:c>
      <x:c r="D46" s="2" t="str">
        <x:v>PIN-001</x:v>
      </x:c>
      <x:c r="E46" s="2" t="str">
        <x:f>_xlfn.IFNA(VLOOKUP(D46,'Products'!$A$7:$I$22,2,FALSE),"Unmapped")</x:f>
        <x:v>Coffee enamel pin</x:v>
      </x:c>
      <x:c r="F46" s="2" t="str">
        <x:f>_xlfn.IFNA(VLOOKUP(D46,'Products'!$A$7:$I$22,3,FALSE),"Unmapped")</x:f>
        <x:v>Accessories</x:v>
      </x:c>
      <x:c r="G46" s="2" t="n">
        <x:v>1</x:v>
      </x:c>
      <x:c r="H46" s="2" t="n">
        <x:v>0</x:v>
      </x:c>
      <x:c r="I46" s="10" t="n">
        <x:v>9.95</x:v>
      </x:c>
      <x:c r="J46" s="10" t="n">
        <x:v>0</x:v>
      </x:c>
      <x:c r="K46" s="10" t="n">
        <x:v>2.5</x:v>
      </x:c>
      <x:c r="L46" s="10" t="n">
        <x:f>G46*I46</x:f>
        <x:v>9.95</x:v>
      </x:c>
      <x:c r="M46" s="10" t="n">
        <x:f>ROUND((L46-J46)*H46/G46,2)</x:f>
        <x:v>0</x:v>
      </x:c>
      <x:c r="N46" s="10" t="n">
        <x:f>L46-J46-M46</x:f>
        <x:v>9.95</x:v>
      </x:c>
      <x:c r="O46" s="10" t="n">
        <x:f>(G46-H46)*K46</x:f>
        <x:v>2.5</x:v>
      </x:c>
      <x:c r="P46" s="10" t="n">
        <x:f>N46-O46</x:f>
        <x:v>7.449999999999999</x:v>
      </x:c>
      <x:c r="Q46" s="9" t="n">
        <x:f>A46-WEEKDAY(A46,2)+1</x:f>
        <x:v>46258</x:v>
      </x:c>
      <x:c r="R46" s="2" t="str">
        <x:f>IF(AND(A46&gt;='Review'!$B$4,A46&lt;='Review'!$D$4),"Selected","Outside")</x:f>
        <x:v>Outside</x:v>
      </x:c>
    </x:row>
    <x:row r="47" ht="20" customHeight="1">
      <x:c r="A47" s="9" t="n">
        <x:v>46263</x:v>
      </x:c>
      <x:c r="B47" s="2" t="str">
        <x:v>MM-1031</x:v>
      </x:c>
      <x:c r="C47" s="2" t="str">
        <x:v>Organic Search</x:v>
      </x:c>
      <x:c r="D47" s="2" t="str">
        <x:v>APP-001</x:v>
      </x:c>
      <x:c r="E47" s="2" t="str">
        <x:f>_xlfn.IFNA(VLOOKUP(D47,'Products'!$A$7:$I$22,2,FALSE),"Unmapped")</x:f>
        <x:v>Everyday crewneck</x:v>
      </x:c>
      <x:c r="F47" s="2" t="str">
        <x:f>_xlfn.IFNA(VLOOKUP(D47,'Products'!$A$7:$I$22,3,FALSE),"Unmapped")</x:f>
        <x:v>Apparel</x:v>
      </x:c>
      <x:c r="G47" s="2" t="n">
        <x:v>2</x:v>
      </x:c>
      <x:c r="H47" s="2" t="n">
        <x:v>0</x:v>
      </x:c>
      <x:c r="I47" s="10" t="n">
        <x:v>54.95</x:v>
      </x:c>
      <x:c r="J47" s="10" t="n">
        <x:v>10.99</x:v>
      </x:c>
      <x:c r="K47" s="10" t="n">
        <x:v>22</x:v>
      </x:c>
      <x:c r="L47" s="10" t="n">
        <x:f>G47*I47</x:f>
        <x:v>109.9</x:v>
      </x:c>
      <x:c r="M47" s="10" t="n">
        <x:f>ROUND((L47-J47)*H47/G47,2)</x:f>
        <x:v>0</x:v>
      </x:c>
      <x:c r="N47" s="10" t="n">
        <x:f>L47-J47-M47</x:f>
        <x:v>98.91000000000001</x:v>
      </x:c>
      <x:c r="O47" s="10" t="n">
        <x:f>(G47-H47)*K47</x:f>
        <x:v>44</x:v>
      </x:c>
      <x:c r="P47" s="10" t="n">
        <x:f>N47-O47</x:f>
        <x:v>54.91000000000001</x:v>
      </x:c>
      <x:c r="Q47" s="9" t="n">
        <x:f>A47-WEEKDAY(A47,2)+1</x:f>
        <x:v>46258</x:v>
      </x:c>
      <x:c r="R47" s="2" t="str">
        <x:f>IF(AND(A47&gt;='Review'!$B$4,A47&lt;='Review'!$D$4),"Selected","Outside")</x:f>
        <x:v>Outside</x:v>
      </x:c>
    </x:row>
    <x:row r="48" ht="20" customHeight="1">
      <x:c r="A48" s="9" t="n">
        <x:v>46263</x:v>
      </x:c>
      <x:c r="B48" s="2" t="str">
        <x:v>MM-1031</x:v>
      </x:c>
      <x:c r="C48" s="2" t="str">
        <x:v>Organic Search</x:v>
      </x:c>
      <x:c r="D48" s="2" t="str">
        <x:v>MUG-001</x:v>
      </x:c>
      <x:c r="E48" s="2" t="str">
        <x:f>_xlfn.IFNA(VLOOKUP(D48,'Products'!$A$7:$I$22,2,FALSE),"Unmapped")</x:f>
        <x:v>Everyday ceramic mug</x:v>
      </x:c>
      <x:c r="F48" s="2" t="str">
        <x:f>_xlfn.IFNA(VLOOKUP(D48,'Products'!$A$7:$I$22,3,FALSE),"Unmapped")</x:f>
        <x:v>Drinkware</x:v>
      </x:c>
      <x:c r="G48" s="2" t="n">
        <x:v>1</x:v>
      </x:c>
      <x:c r="H48" s="2" t="n">
        <x:v>0</x:v>
      </x:c>
      <x:c r="I48" s="10" t="n">
        <x:v>18.95</x:v>
      </x:c>
      <x:c r="J48" s="10" t="n">
        <x:v>1.89</x:v>
      </x:c>
      <x:c r="K48" s="10" t="n">
        <x:v>6.5</x:v>
      </x:c>
      <x:c r="L48" s="10" t="n">
        <x:f>G48*I48</x:f>
        <x:v>18.95</x:v>
      </x:c>
      <x:c r="M48" s="10" t="n">
        <x:f>ROUND((L48-J48)*H48/G48,2)</x:f>
        <x:v>0</x:v>
      </x:c>
      <x:c r="N48" s="10" t="n">
        <x:f>L48-J48-M48</x:f>
        <x:v>17.06</x:v>
      </x:c>
      <x:c r="O48" s="10" t="n">
        <x:f>(G48-H48)*K48</x:f>
        <x:v>6.5</x:v>
      </x:c>
      <x:c r="P48" s="10" t="n">
        <x:f>N48-O48</x:f>
        <x:v>10.559999999999999</x:v>
      </x:c>
      <x:c r="Q48" s="9" t="n">
        <x:f>A48-WEEKDAY(A48,2)+1</x:f>
        <x:v>46258</x:v>
      </x:c>
      <x:c r="R48" s="2" t="str">
        <x:f>IF(AND(A48&gt;='Review'!$B$4,A48&lt;='Review'!$D$4),"Selected","Outside")</x:f>
        <x:v>Outside</x:v>
      </x:c>
    </x:row>
    <x:row r="49" ht="20" customHeight="1">
      <x:c r="A49" s="9" t="n">
        <x:v>46263</x:v>
      </x:c>
      <x:c r="B49" s="2" t="str">
        <x:v>MM-1036</x:v>
      </x:c>
      <x:c r="C49" s="2" t="str">
        <x:v>Organic Search</x:v>
      </x:c>
      <x:c r="D49" s="2" t="str">
        <x:v>TUM-001</x:v>
      </x:c>
      <x:c r="E49" s="2" t="str">
        <x:f>_xlfn.IFNA(VLOOKUP(D49,'Products'!$A$7:$I$22,2,FALSE),"Unmapped")</x:f>
        <x:v>Maple travel tumbler</x:v>
      </x:c>
      <x:c r="F49" s="2" t="str">
        <x:f>_xlfn.IFNA(VLOOKUP(D49,'Products'!$A$7:$I$22,3,FALSE),"Unmapped")</x:f>
        <x:v>Drinkware</x:v>
      </x:c>
      <x:c r="G49" s="2" t="n">
        <x:v>2</x:v>
      </x:c>
      <x:c r="H49" s="2" t="n">
        <x:v>0</x:v>
      </x:c>
      <x:c r="I49" s="10" t="n">
        <x:v>32.95</x:v>
      </x:c>
      <x:c r="J49" s="10" t="n">
        <x:v>0</x:v>
      </x:c>
      <x:c r="K49" s="10" t="n">
        <x:v>12</x:v>
      </x:c>
      <x:c r="L49" s="10" t="n">
        <x:f>G49*I49</x:f>
        <x:v>65.9</x:v>
      </x:c>
      <x:c r="M49" s="10" t="n">
        <x:f>ROUND((L49-J49)*H49/G49,2)</x:f>
        <x:v>0</x:v>
      </x:c>
      <x:c r="N49" s="10" t="n">
        <x:f>L49-J49-M49</x:f>
        <x:v>65.9</x:v>
      </x:c>
      <x:c r="O49" s="10" t="n">
        <x:f>(G49-H49)*K49</x:f>
        <x:v>24</x:v>
      </x:c>
      <x:c r="P49" s="10" t="n">
        <x:f>N49-O49</x:f>
        <x:v>41.900000000000006</x:v>
      </x:c>
      <x:c r="Q49" s="9" t="n">
        <x:f>A49-WEEKDAY(A49,2)+1</x:f>
        <x:v>46258</x:v>
      </x:c>
      <x:c r="R49" s="2" t="str">
        <x:f>IF(AND(A49&gt;='Review'!$B$4,A49&lt;='Review'!$D$4),"Selected","Outside")</x:f>
        <x:v>Outside</x:v>
      </x:c>
    </x:row>
    <x:row r="50" ht="20" customHeight="1">
      <x:c r="A50" s="9" t="n">
        <x:v>46263</x:v>
      </x:c>
      <x:c r="B50" s="2" t="str">
        <x:v>MM-1024</x:v>
      </x:c>
      <x:c r="C50" s="2" t="str">
        <x:v>Paid Social</x:v>
      </x:c>
      <x:c r="D50" s="2" t="str">
        <x:v>KEY-001</x:v>
      </x:c>
      <x:c r="E50" s="2" t="str">
        <x:f>_xlfn.IFNA(VLOOKUP(D50,'Products'!$A$7:$I$22,2,FALSE),"Unmapped")</x:f>
        <x:v>Maple keyring</x:v>
      </x:c>
      <x:c r="F50" s="2" t="str">
        <x:f>_xlfn.IFNA(VLOOKUP(D50,'Products'!$A$7:$I$22,3,FALSE),"Unmapped")</x:f>
        <x:v>Accessories</x:v>
      </x:c>
      <x:c r="G50" s="2" t="n">
        <x:v>1</x:v>
      </x:c>
      <x:c r="H50" s="2" t="n">
        <x:v>0</x:v>
      </x:c>
      <x:c r="I50" s="10" t="n">
        <x:v>12.95</x:v>
      </x:c>
      <x:c r="J50" s="10" t="n">
        <x:v>0</x:v>
      </x:c>
      <x:c r="K50" s="10" t="n">
        <x:v>3.5</x:v>
      </x:c>
      <x:c r="L50" s="10" t="n">
        <x:f>G50*I50</x:f>
        <x:v>12.95</x:v>
      </x:c>
      <x:c r="M50" s="10" t="n">
        <x:f>ROUND((L50-J50)*H50/G50,2)</x:f>
        <x:v>0</x:v>
      </x:c>
      <x:c r="N50" s="10" t="n">
        <x:f>L50-J50-M50</x:f>
        <x:v>12.95</x:v>
      </x:c>
      <x:c r="O50" s="10" t="n">
        <x:f>(G50-H50)*K50</x:f>
        <x:v>3.5</x:v>
      </x:c>
      <x:c r="P50" s="10" t="n">
        <x:f>N50-O50</x:f>
        <x:v>9.45</x:v>
      </x:c>
      <x:c r="Q50" s="9" t="n">
        <x:f>A50-WEEKDAY(A50,2)+1</x:f>
        <x:v>46258</x:v>
      </x:c>
      <x:c r="R50" s="2" t="str">
        <x:f>IF(AND(A50&gt;='Review'!$B$4,A50&lt;='Review'!$D$4),"Selected","Outside")</x:f>
        <x:v>Outside</x:v>
      </x:c>
    </x:row>
    <x:row r="51" ht="20" customHeight="1">
      <x:c r="A51" s="9" t="n">
        <x:v>46263</x:v>
      </x:c>
      <x:c r="B51" s="2" t="str">
        <x:v>MM-1027</x:v>
      </x:c>
      <x:c r="C51" s="2" t="str">
        <x:v>Organic Search</x:v>
      </x:c>
      <x:c r="D51" s="2" t="str">
        <x:v>APP-003</x:v>
      </x:c>
      <x:c r="E51" s="2" t="str">
        <x:f>_xlfn.IFNA(VLOOKUP(D51,'Products'!$A$7:$I$22,2,FALSE),"Unmapped")</x:f>
        <x:v>Coffee club tee</x:v>
      </x:c>
      <x:c r="F51" s="2" t="str">
        <x:f>_xlfn.IFNA(VLOOKUP(D51,'Products'!$A$7:$I$22,3,FALSE),"Unmapped")</x:f>
        <x:v>Apparel</x:v>
      </x:c>
      <x:c r="G51" s="2" t="n">
        <x:v>1</x:v>
      </x:c>
      <x:c r="H51" s="2" t="n">
        <x:v>0</x:v>
      </x:c>
      <x:c r="I51" s="10" t="n">
        <x:v>29.95</x:v>
      </x:c>
      <x:c r="J51" s="10" t="n">
        <x:v>0</x:v>
      </x:c>
      <x:c r="K51" s="10" t="n">
        <x:v>10</x:v>
      </x:c>
      <x:c r="L51" s="10" t="n">
        <x:f>G51*I51</x:f>
        <x:v>29.95</x:v>
      </x:c>
      <x:c r="M51" s="10" t="n">
        <x:f>ROUND((L51-J51)*H51/G51,2)</x:f>
        <x:v>0</x:v>
      </x:c>
      <x:c r="N51" s="10" t="n">
        <x:f>L51-J51-M51</x:f>
        <x:v>29.95</x:v>
      </x:c>
      <x:c r="O51" s="10" t="n">
        <x:f>(G51-H51)*K51</x:f>
        <x:v>10</x:v>
      </x:c>
      <x:c r="P51" s="10" t="n">
        <x:f>N51-O51</x:f>
        <x:v>19.95</x:v>
      </x:c>
      <x:c r="Q51" s="9" t="n">
        <x:f>A51-WEEKDAY(A51,2)+1</x:f>
        <x:v>46258</x:v>
      </x:c>
      <x:c r="R51" s="2" t="str">
        <x:f>IF(AND(A51&gt;='Review'!$B$4,A51&lt;='Review'!$D$4),"Selected","Outside")</x:f>
        <x:v>Outside</x:v>
      </x:c>
    </x:row>
    <x:row r="52" ht="20" customHeight="1">
      <x:c r="A52" s="9" t="n">
        <x:v>46263</x:v>
      </x:c>
      <x:c r="B52" s="2" t="str">
        <x:v>MM-1030</x:v>
      </x:c>
      <x:c r="C52" s="2" t="str">
        <x:v>Paid Social</x:v>
      </x:c>
      <x:c r="D52" s="2" t="str">
        <x:v>PIN-001</x:v>
      </x:c>
      <x:c r="E52" s="2" t="str">
        <x:f>_xlfn.IFNA(VLOOKUP(D52,'Products'!$A$7:$I$22,2,FALSE),"Unmapped")</x:f>
        <x:v>Coffee enamel pin</x:v>
      </x:c>
      <x:c r="F52" s="2" t="str">
        <x:f>_xlfn.IFNA(VLOOKUP(D52,'Products'!$A$7:$I$22,3,FALSE),"Unmapped")</x:f>
        <x:v>Accessories</x:v>
      </x:c>
      <x:c r="G52" s="2" t="n">
        <x:v>1</x:v>
      </x:c>
      <x:c r="H52" s="2" t="n">
        <x:v>0</x:v>
      </x:c>
      <x:c r="I52" s="10" t="n">
        <x:v>9.95</x:v>
      </x:c>
      <x:c r="J52" s="10" t="n">
        <x:v>0</x:v>
      </x:c>
      <x:c r="K52" s="10" t="n">
        <x:v>2.5</x:v>
      </x:c>
      <x:c r="L52" s="10" t="n">
        <x:f>G52*I52</x:f>
        <x:v>9.95</x:v>
      </x:c>
      <x:c r="M52" s="10" t="n">
        <x:f>ROUND((L52-J52)*H52/G52,2)</x:f>
        <x:v>0</x:v>
      </x:c>
      <x:c r="N52" s="10" t="n">
        <x:f>L52-J52-M52</x:f>
        <x:v>9.95</x:v>
      </x:c>
      <x:c r="O52" s="10" t="n">
        <x:f>(G52-H52)*K52</x:f>
        <x:v>2.5</x:v>
      </x:c>
      <x:c r="P52" s="10" t="n">
        <x:f>N52-O52</x:f>
        <x:v>7.449999999999999</x:v>
      </x:c>
      <x:c r="Q52" s="9" t="n">
        <x:f>A52-WEEKDAY(A52,2)+1</x:f>
        <x:v>46258</x:v>
      </x:c>
      <x:c r="R52" s="2" t="str">
        <x:f>IF(AND(A52&gt;='Review'!$B$4,A52&lt;='Review'!$D$4),"Selected","Outside")</x:f>
        <x:v>Outside</x:v>
      </x:c>
    </x:row>
    <x:row r="53" ht="20" customHeight="1">
      <x:c r="A53" s="9" t="n">
        <x:v>46263</x:v>
      </x:c>
      <x:c r="B53" s="2" t="str">
        <x:v>MM-1038</x:v>
      </x:c>
      <x:c r="C53" s="2" t="str">
        <x:v>Organic Search</x:v>
      </x:c>
      <x:c r="D53" s="2" t="str">
        <x:v>PIN-001</x:v>
      </x:c>
      <x:c r="E53" s="2" t="str">
        <x:f>_xlfn.IFNA(VLOOKUP(D53,'Products'!$A$7:$I$22,2,FALSE),"Unmapped")</x:f>
        <x:v>Coffee enamel pin</x:v>
      </x:c>
      <x:c r="F53" s="2" t="str">
        <x:f>_xlfn.IFNA(VLOOKUP(D53,'Products'!$A$7:$I$22,3,FALSE),"Unmapped")</x:f>
        <x:v>Accessories</x:v>
      </x:c>
      <x:c r="G53" s="2" t="n">
        <x:v>1</x:v>
      </x:c>
      <x:c r="H53" s="2" t="n">
        <x:v>0</x:v>
      </x:c>
      <x:c r="I53" s="10" t="n">
        <x:v>9.95</x:v>
      </x:c>
      <x:c r="J53" s="10" t="n">
        <x:v>0</x:v>
      </x:c>
      <x:c r="K53" s="10" t="n">
        <x:v>2.5</x:v>
      </x:c>
      <x:c r="L53" s="10" t="n">
        <x:f>G53*I53</x:f>
        <x:v>9.95</x:v>
      </x:c>
      <x:c r="M53" s="10" t="n">
        <x:f>ROUND((L53-J53)*H53/G53,2)</x:f>
        <x:v>0</x:v>
      </x:c>
      <x:c r="N53" s="10" t="n">
        <x:f>L53-J53-M53</x:f>
        <x:v>9.95</x:v>
      </x:c>
      <x:c r="O53" s="10" t="n">
        <x:f>(G53-H53)*K53</x:f>
        <x:v>2.5</x:v>
      </x:c>
      <x:c r="P53" s="10" t="n">
        <x:f>N53-O53</x:f>
        <x:v>7.449999999999999</x:v>
      </x:c>
      <x:c r="Q53" s="9" t="n">
        <x:f>A53-WEEKDAY(A53,2)+1</x:f>
        <x:v>46258</x:v>
      </x:c>
      <x:c r="R53" s="2" t="str">
        <x:f>IF(AND(A53&gt;='Review'!$B$4,A53&lt;='Review'!$D$4),"Selected","Outside")</x:f>
        <x:v>Outside</x:v>
      </x:c>
    </x:row>
    <x:row r="54" ht="20" customHeight="1">
      <x:c r="A54" s="9" t="n">
        <x:v>46263</x:v>
      </x:c>
      <x:c r="B54" s="2" t="str">
        <x:v>MM-1025</x:v>
      </x:c>
      <x:c r="C54" s="2" t="str">
        <x:v>Direct</x:v>
      </x:c>
      <x:c r="D54" s="2" t="str">
        <x:v>HAT-001</x:v>
      </x:c>
      <x:c r="E54" s="2" t="str">
        <x:f>_xlfn.IFNA(VLOOKUP(D54,'Products'!$A$7:$I$22,2,FALSE),"Unmapped")</x:f>
        <x:v>Classic canvas cap</x:v>
      </x:c>
      <x:c r="F54" s="2" t="str">
        <x:f>_xlfn.IFNA(VLOOKUP(D54,'Products'!$A$7:$I$22,3,FALSE),"Unmapped")</x:f>
        <x:v>Accessories</x:v>
      </x:c>
      <x:c r="G54" s="2" t="n">
        <x:v>1</x:v>
      </x:c>
      <x:c r="H54" s="2" t="n">
        <x:v>0</x:v>
      </x:c>
      <x:c r="I54" s="10" t="n">
        <x:v>24.95</x:v>
      </x:c>
      <x:c r="J54" s="10" t="n">
        <x:v>0</x:v>
      </x:c>
      <x:c r="K54" s="10" t="n">
        <x:v>8.5</x:v>
      </x:c>
      <x:c r="L54" s="10" t="n">
        <x:f>G54*I54</x:f>
        <x:v>24.95</x:v>
      </x:c>
      <x:c r="M54" s="10" t="n">
        <x:f>ROUND((L54-J54)*H54/G54,2)</x:f>
        <x:v>0</x:v>
      </x:c>
      <x:c r="N54" s="10" t="n">
        <x:f>L54-J54-M54</x:f>
        <x:v>24.95</x:v>
      </x:c>
      <x:c r="O54" s="10" t="n">
        <x:f>(G54-H54)*K54</x:f>
        <x:v>8.5</x:v>
      </x:c>
      <x:c r="P54" s="10" t="n">
        <x:f>N54-O54</x:f>
        <x:v>16.45</x:v>
      </x:c>
      <x:c r="Q54" s="9" t="n">
        <x:f>A54-WEEKDAY(A54,2)+1</x:f>
        <x:v>46258</x:v>
      </x:c>
      <x:c r="R54" s="2" t="str">
        <x:f>IF(AND(A54&gt;='Review'!$B$4,A54&lt;='Review'!$D$4),"Selected","Outside")</x:f>
        <x:v>Outside</x:v>
      </x:c>
    </x:row>
    <x:row r="55" ht="20" customHeight="1">
      <x:c r="A55" s="9" t="n">
        <x:v>46263</x:v>
      </x:c>
      <x:c r="B55" s="2" t="str">
        <x:v>MM-1032</x:v>
      </x:c>
      <x:c r="C55" s="2" t="str">
        <x:v>Organic Search</x:v>
      </x:c>
      <x:c r="D55" s="2" t="str">
        <x:v>KEY-001</x:v>
      </x:c>
      <x:c r="E55" s="2" t="str">
        <x:f>_xlfn.IFNA(VLOOKUP(D55,'Products'!$A$7:$I$22,2,FALSE),"Unmapped")</x:f>
        <x:v>Maple keyring</x:v>
      </x:c>
      <x:c r="F55" s="2" t="str">
        <x:f>_xlfn.IFNA(VLOOKUP(D55,'Products'!$A$7:$I$22,3,FALSE),"Unmapped")</x:f>
        <x:v>Accessories</x:v>
      </x:c>
      <x:c r="G55" s="2" t="n">
        <x:v>1</x:v>
      </x:c>
      <x:c r="H55" s="2" t="n">
        <x:v>0</x:v>
      </x:c>
      <x:c r="I55" s="10" t="n">
        <x:v>12.95</x:v>
      </x:c>
      <x:c r="J55" s="10" t="n">
        <x:v>0</x:v>
      </x:c>
      <x:c r="K55" s="10" t="n">
        <x:v>3.5</x:v>
      </x:c>
      <x:c r="L55" s="10" t="n">
        <x:f>G55*I55</x:f>
        <x:v>12.95</x:v>
      </x:c>
      <x:c r="M55" s="10" t="n">
        <x:f>ROUND((L55-J55)*H55/G55,2)</x:f>
        <x:v>0</x:v>
      </x:c>
      <x:c r="N55" s="10" t="n">
        <x:f>L55-J55-M55</x:f>
        <x:v>12.95</x:v>
      </x:c>
      <x:c r="O55" s="10" t="n">
        <x:f>(G55-H55)*K55</x:f>
        <x:v>3.5</x:v>
      </x:c>
      <x:c r="P55" s="10" t="n">
        <x:f>N55-O55</x:f>
        <x:v>9.45</x:v>
      </x:c>
      <x:c r="Q55" s="9" t="n">
        <x:f>A55-WEEKDAY(A55,2)+1</x:f>
        <x:v>46258</x:v>
      </x:c>
      <x:c r="R55" s="2" t="str">
        <x:f>IF(AND(A55&gt;='Review'!$B$4,A55&lt;='Review'!$D$4),"Selected","Outside")</x:f>
        <x:v>Outside</x:v>
      </x:c>
    </x:row>
    <x:row r="56" ht="20" customHeight="1">
      <x:c r="A56" s="9" t="n">
        <x:v>46263</x:v>
      </x:c>
      <x:c r="B56" s="2" t="str">
        <x:v>MM-1037</x:v>
      </x:c>
      <x:c r="C56" s="2" t="str">
        <x:v>Organic Search</x:v>
      </x:c>
      <x:c r="D56" s="2" t="str">
        <x:v>GFT-002</x:v>
      </x:c>
      <x:c r="E56" s="2" t="str">
        <x:f>_xlfn.IFNA(VLOOKUP(D56,'Products'!$A$7:$I$22,2,FALSE),"Unmapped")</x:f>
        <x:v>Cozy weekend gift box</x:v>
      </x:c>
      <x:c r="F56" s="2" t="str">
        <x:f>_xlfn.IFNA(VLOOKUP(D56,'Products'!$A$7:$I$22,3,FALSE),"Unmapped")</x:f>
        <x:v>Gifts</x:v>
      </x:c>
      <x:c r="G56" s="2" t="n">
        <x:v>1</x:v>
      </x:c>
      <x:c r="H56" s="2" t="n">
        <x:v>0</x:v>
      </x:c>
      <x:c r="I56" s="10" t="n">
        <x:v>79.95</x:v>
      </x:c>
      <x:c r="J56" s="10" t="n">
        <x:v>0</x:v>
      </x:c>
      <x:c r="K56" s="10" t="n">
        <x:v>32</x:v>
      </x:c>
      <x:c r="L56" s="10" t="n">
        <x:f>G56*I56</x:f>
        <x:v>79.95</x:v>
      </x:c>
      <x:c r="M56" s="10" t="n">
        <x:f>ROUND((L56-J56)*H56/G56,2)</x:f>
        <x:v>0</x:v>
      </x:c>
      <x:c r="N56" s="10" t="n">
        <x:f>L56-J56-M56</x:f>
        <x:v>79.95</x:v>
      </x:c>
      <x:c r="O56" s="10" t="n">
        <x:f>(G56-H56)*K56</x:f>
        <x:v>32</x:v>
      </x:c>
      <x:c r="P56" s="10" t="n">
        <x:f>N56-O56</x:f>
        <x:v>47.95</x:v>
      </x:c>
      <x:c r="Q56" s="9" t="n">
        <x:f>A56-WEEKDAY(A56,2)+1</x:f>
        <x:v>46258</x:v>
      </x:c>
      <x:c r="R56" s="2" t="str">
        <x:f>IF(AND(A56&gt;='Review'!$B$4,A56&lt;='Review'!$D$4),"Selected","Outside")</x:f>
        <x:v>Outside</x:v>
      </x:c>
    </x:row>
    <x:row r="57" ht="20" customHeight="1">
      <x:c r="A57" s="9" t="n">
        <x:v>46264</x:v>
      </x:c>
      <x:c r="B57" s="2" t="str">
        <x:v>MM-1046</x:v>
      </x:c>
      <x:c r="C57" s="2" t="str">
        <x:v>Direct</x:v>
      </x:c>
      <x:c r="D57" s="2" t="str">
        <x:v>MUG-001</x:v>
      </x:c>
      <x:c r="E57" s="2" t="str">
        <x:f>_xlfn.IFNA(VLOOKUP(D57,'Products'!$A$7:$I$22,2,FALSE),"Unmapped")</x:f>
        <x:v>Everyday ceramic mug</x:v>
      </x:c>
      <x:c r="F57" s="2" t="str">
        <x:f>_xlfn.IFNA(VLOOKUP(D57,'Products'!$A$7:$I$22,3,FALSE),"Unmapped")</x:f>
        <x:v>Drinkware</x:v>
      </x:c>
      <x:c r="G57" s="2" t="n">
        <x:v>1</x:v>
      </x:c>
      <x:c r="H57" s="2" t="n">
        <x:v>1</x:v>
      </x:c>
      <x:c r="I57" s="10" t="n">
        <x:v>18.95</x:v>
      </x:c>
      <x:c r="J57" s="10" t="n">
        <x:v>0</x:v>
      </x:c>
      <x:c r="K57" s="10" t="n">
        <x:v>6.5</x:v>
      </x:c>
      <x:c r="L57" s="10" t="n">
        <x:f>G57*I57</x:f>
        <x:v>18.95</x:v>
      </x:c>
      <x:c r="M57" s="10" t="n">
        <x:f>ROUND((L57-J57)*H57/G57,2)</x:f>
        <x:v>18.95</x:v>
      </x:c>
      <x:c r="N57" s="10" t="n">
        <x:f>L57-J57-M57</x:f>
        <x:v>0</x:v>
      </x:c>
      <x:c r="O57" s="10" t="n">
        <x:f>(G57-H57)*K57</x:f>
        <x:v>0</x:v>
      </x:c>
      <x:c r="P57" s="10" t="n">
        <x:f>N57-O57</x:f>
        <x:v>0</x:v>
      </x:c>
      <x:c r="Q57" s="9" t="n">
        <x:f>A57-WEEKDAY(A57,2)+1</x:f>
        <x:v>46258</x:v>
      </x:c>
      <x:c r="R57" s="2" t="str">
        <x:f>IF(AND(A57&gt;='Review'!$B$4,A57&lt;='Review'!$D$4),"Selected","Outside")</x:f>
        <x:v>Outside</x:v>
      </x:c>
    </x:row>
    <x:row r="58" ht="20" customHeight="1">
      <x:c r="A58" s="9" t="n">
        <x:v>46264</x:v>
      </x:c>
      <x:c r="B58" s="2" t="str">
        <x:v>MM-1046</x:v>
      </x:c>
      <x:c r="C58" s="2" t="str">
        <x:v>Direct</x:v>
      </x:c>
      <x:c r="D58" s="2" t="str">
        <x:v>GFT-002</x:v>
      </x:c>
      <x:c r="E58" s="2" t="str">
        <x:f>_xlfn.IFNA(VLOOKUP(D58,'Products'!$A$7:$I$22,2,FALSE),"Unmapped")</x:f>
        <x:v>Cozy weekend gift box</x:v>
      </x:c>
      <x:c r="F58" s="2" t="str">
        <x:f>_xlfn.IFNA(VLOOKUP(D58,'Products'!$A$7:$I$22,3,FALSE),"Unmapped")</x:f>
        <x:v>Gifts</x:v>
      </x:c>
      <x:c r="G58" s="2" t="n">
        <x:v>3</x:v>
      </x:c>
      <x:c r="H58" s="2" t="n">
        <x:v>0</x:v>
      </x:c>
      <x:c r="I58" s="10" t="n">
        <x:v>79.95</x:v>
      </x:c>
      <x:c r="J58" s="10" t="n">
        <x:v>0</x:v>
      </x:c>
      <x:c r="K58" s="10" t="n">
        <x:v>32</x:v>
      </x:c>
      <x:c r="L58" s="10" t="n">
        <x:f>G58*I58</x:f>
        <x:v>239.85000000000002</x:v>
      </x:c>
      <x:c r="M58" s="10" t="n">
        <x:f>ROUND((L58-J58)*H58/G58,2)</x:f>
        <x:v>0</x:v>
      </x:c>
      <x:c r="N58" s="10" t="n">
        <x:f>L58-J58-M58</x:f>
        <x:v>239.85000000000002</x:v>
      </x:c>
      <x:c r="O58" s="10" t="n">
        <x:f>(G58-H58)*K58</x:f>
        <x:v>96</x:v>
      </x:c>
      <x:c r="P58" s="10" t="n">
        <x:f>N58-O58</x:f>
        <x:v>143.85000000000002</x:v>
      </x:c>
      <x:c r="Q58" s="9" t="n">
        <x:f>A58-WEEKDAY(A58,2)+1</x:f>
        <x:v>46258</x:v>
      </x:c>
      <x:c r="R58" s="2" t="str">
        <x:f>IF(AND(A58&gt;='Review'!$B$4,A58&lt;='Review'!$D$4),"Selected","Outside")</x:f>
        <x:v>Outside</x:v>
      </x:c>
    </x:row>
    <x:row r="59" ht="20" customHeight="1">
      <x:c r="A59" s="9" t="n">
        <x:v>46264</x:v>
      </x:c>
      <x:c r="B59" s="2" t="str">
        <x:v>MM-1050</x:v>
      </x:c>
      <x:c r="C59" s="2" t="str">
        <x:v>Paid Social</x:v>
      </x:c>
      <x:c r="D59" s="2" t="str">
        <x:v>MUG-001</x:v>
      </x:c>
      <x:c r="E59" s="2" t="str">
        <x:f>_xlfn.IFNA(VLOOKUP(D59,'Products'!$A$7:$I$22,2,FALSE),"Unmapped")</x:f>
        <x:v>Everyday ceramic mug</x:v>
      </x:c>
      <x:c r="F59" s="2" t="str">
        <x:f>_xlfn.IFNA(VLOOKUP(D59,'Products'!$A$7:$I$22,3,FALSE),"Unmapped")</x:f>
        <x:v>Drinkware</x:v>
      </x:c>
      <x:c r="G59" s="2" t="n">
        <x:v>2</x:v>
      </x:c>
      <x:c r="H59" s="2" t="n">
        <x:v>0</x:v>
      </x:c>
      <x:c r="I59" s="10" t="n">
        <x:v>18.95</x:v>
      </x:c>
      <x:c r="J59" s="10" t="n">
        <x:v>0</x:v>
      </x:c>
      <x:c r="K59" s="10" t="n">
        <x:v>6.5</x:v>
      </x:c>
      <x:c r="L59" s="10" t="n">
        <x:f>G59*I59</x:f>
        <x:v>37.9</x:v>
      </x:c>
      <x:c r="M59" s="10" t="n">
        <x:f>ROUND((L59-J59)*H59/G59,2)</x:f>
        <x:v>0</x:v>
      </x:c>
      <x:c r="N59" s="10" t="n">
        <x:f>L59-J59-M59</x:f>
        <x:v>37.9</x:v>
      </x:c>
      <x:c r="O59" s="10" t="n">
        <x:f>(G59-H59)*K59</x:f>
        <x:v>13</x:v>
      </x:c>
      <x:c r="P59" s="10" t="n">
        <x:f>N59-O59</x:f>
        <x:v>24.9</x:v>
      </x:c>
      <x:c r="Q59" s="9" t="n">
        <x:f>A59-WEEKDAY(A59,2)+1</x:f>
        <x:v>46258</x:v>
      </x:c>
      <x:c r="R59" s="2" t="str">
        <x:f>IF(AND(A59&gt;='Review'!$B$4,A59&lt;='Review'!$D$4),"Selected","Outside")</x:f>
        <x:v>Outside</x:v>
      </x:c>
    </x:row>
    <x:row r="60" ht="20" customHeight="1">
      <x:c r="A60" s="9" t="n">
        <x:v>46264</x:v>
      </x:c>
      <x:c r="B60" s="2" t="str">
        <x:v>MM-1050</x:v>
      </x:c>
      <x:c r="C60" s="2" t="str">
        <x:v>Paid Social</x:v>
      </x:c>
      <x:c r="D60" s="2" t="str">
        <x:v>APP-002</x:v>
      </x:c>
      <x:c r="E60" s="2" t="str">
        <x:f>_xlfn.IFNA(VLOOKUP(D60,'Products'!$A$7:$I$22,2,FALSE),"Unmapped")</x:f>
        <x:v>Weekend hoodie</x:v>
      </x:c>
      <x:c r="F60" s="2" t="str">
        <x:f>_xlfn.IFNA(VLOOKUP(D60,'Products'!$A$7:$I$22,3,FALSE),"Unmapped")</x:f>
        <x:v>Apparel</x:v>
      </x:c>
      <x:c r="G60" s="2" t="n">
        <x:v>1</x:v>
      </x:c>
      <x:c r="H60" s="2" t="n">
        <x:v>0</x:v>
      </x:c>
      <x:c r="I60" s="10" t="n">
        <x:v>69.95</x:v>
      </x:c>
      <x:c r="J60" s="10" t="n">
        <x:v>0</x:v>
      </x:c>
      <x:c r="K60" s="10" t="n">
        <x:v>28</x:v>
      </x:c>
      <x:c r="L60" s="10" t="n">
        <x:f>G60*I60</x:f>
        <x:v>69.95</x:v>
      </x:c>
      <x:c r="M60" s="10" t="n">
        <x:f>ROUND((L60-J60)*H60/G60,2)</x:f>
        <x:v>0</x:v>
      </x:c>
      <x:c r="N60" s="10" t="n">
        <x:f>L60-J60-M60</x:f>
        <x:v>69.95</x:v>
      </x:c>
      <x:c r="O60" s="10" t="n">
        <x:f>(G60-H60)*K60</x:f>
        <x:v>28</x:v>
      </x:c>
      <x:c r="P60" s="10" t="n">
        <x:f>N60-O60</x:f>
        <x:v>41.95</x:v>
      </x:c>
      <x:c r="Q60" s="9" t="n">
        <x:f>A60-WEEKDAY(A60,2)+1</x:f>
        <x:v>46258</x:v>
      </x:c>
      <x:c r="R60" s="2" t="str">
        <x:f>IF(AND(A60&gt;='Review'!$B$4,A60&lt;='Review'!$D$4),"Selected","Outside")</x:f>
        <x:v>Outside</x:v>
      </x:c>
    </x:row>
    <x:row r="61" ht="20" customHeight="1">
      <x:c r="A61" s="9" t="n">
        <x:v>46264</x:v>
      </x:c>
      <x:c r="B61" s="2" t="str">
        <x:v>MM-1055</x:v>
      </x:c>
      <x:c r="C61" s="2" t="str">
        <x:v>Email</x:v>
      </x:c>
      <x:c r="D61" s="2" t="str">
        <x:v>APP-002</x:v>
      </x:c>
      <x:c r="E61" s="2" t="str">
        <x:f>_xlfn.IFNA(VLOOKUP(D61,'Products'!$A$7:$I$22,2,FALSE),"Unmapped")</x:f>
        <x:v>Weekend hoodie</x:v>
      </x:c>
      <x:c r="F61" s="2" t="str">
        <x:f>_xlfn.IFNA(VLOOKUP(D61,'Products'!$A$7:$I$22,3,FALSE),"Unmapped")</x:f>
        <x:v>Apparel</x:v>
      </x:c>
      <x:c r="G61" s="2" t="n">
        <x:v>2</x:v>
      </x:c>
      <x:c r="H61" s="2" t="n">
        <x:v>0</x:v>
      </x:c>
      <x:c r="I61" s="10" t="n">
        <x:v>69.95</x:v>
      </x:c>
      <x:c r="J61" s="10" t="n">
        <x:v>13.99</x:v>
      </x:c>
      <x:c r="K61" s="10" t="n">
        <x:v>28</x:v>
      </x:c>
      <x:c r="L61" s="10" t="n">
        <x:f>G61*I61</x:f>
        <x:v>139.9</x:v>
      </x:c>
      <x:c r="M61" s="10" t="n">
        <x:f>ROUND((L61-J61)*H61/G61,2)</x:f>
        <x:v>0</x:v>
      </x:c>
      <x:c r="N61" s="10" t="n">
        <x:f>L61-J61-M61</x:f>
        <x:v>125.91000000000001</x:v>
      </x:c>
      <x:c r="O61" s="10" t="n">
        <x:f>(G61-H61)*K61</x:f>
        <x:v>56</x:v>
      </x:c>
      <x:c r="P61" s="10" t="n">
        <x:f>N61-O61</x:f>
        <x:v>69.91000000000001</x:v>
      </x:c>
      <x:c r="Q61" s="9" t="n">
        <x:f>A61-WEEKDAY(A61,2)+1</x:f>
        <x:v>46258</x:v>
      </x:c>
      <x:c r="R61" s="2" t="str">
        <x:f>IF(AND(A61&gt;='Review'!$B$4,A61&lt;='Review'!$D$4),"Selected","Outside")</x:f>
        <x:v>Outside</x:v>
      </x:c>
    </x:row>
    <x:row r="62" ht="20" customHeight="1">
      <x:c r="A62" s="9" t="n">
        <x:v>46264</x:v>
      </x:c>
      <x:c r="B62" s="2" t="str">
        <x:v>MM-1040</x:v>
      </x:c>
      <x:c r="C62" s="2" t="str">
        <x:v>Email</x:v>
      </x:c>
      <x:c r="D62" s="2" t="str">
        <x:v>GFT-002</x:v>
      </x:c>
      <x:c r="E62" s="2" t="str">
        <x:f>_xlfn.IFNA(VLOOKUP(D62,'Products'!$A$7:$I$22,2,FALSE),"Unmapped")</x:f>
        <x:v>Cozy weekend gift box</x:v>
      </x:c>
      <x:c r="F62" s="2" t="str">
        <x:f>_xlfn.IFNA(VLOOKUP(D62,'Products'!$A$7:$I$22,3,FALSE),"Unmapped")</x:f>
        <x:v>Gifts</x:v>
      </x:c>
      <x:c r="G62" s="2" t="n">
        <x:v>1</x:v>
      </x:c>
      <x:c r="H62" s="2" t="n">
        <x:v>1</x:v>
      </x:c>
      <x:c r="I62" s="10" t="n">
        <x:v>79.95</x:v>
      </x:c>
      <x:c r="J62" s="10" t="n">
        <x:v>7.99</x:v>
      </x:c>
      <x:c r="K62" s="10" t="n">
        <x:v>32</x:v>
      </x:c>
      <x:c r="L62" s="10" t="n">
        <x:f>G62*I62</x:f>
        <x:v>79.95</x:v>
      </x:c>
      <x:c r="M62" s="10" t="n">
        <x:f>ROUND((L62-J62)*H62/G62,2)</x:f>
        <x:v>71.96</x:v>
      </x:c>
      <x:c r="N62" s="10" t="n">
        <x:f>L62-J62-M62</x:f>
        <x:v>1.4210854715202004e-14</x:v>
      </x:c>
      <x:c r="O62" s="10" t="n">
        <x:f>(G62-H62)*K62</x:f>
        <x:v>0</x:v>
      </x:c>
      <x:c r="P62" s="10" t="n">
        <x:f>N62-O62</x:f>
        <x:v>1.4210854715202004e-14</x:v>
      </x:c>
      <x:c r="Q62" s="9" t="n">
        <x:f>A62-WEEKDAY(A62,2)+1</x:f>
        <x:v>46258</x:v>
      </x:c>
      <x:c r="R62" s="2" t="str">
        <x:f>IF(AND(A62&gt;='Review'!$B$4,A62&lt;='Review'!$D$4),"Selected","Outside")</x:f>
        <x:v>Outside</x:v>
      </x:c>
    </x:row>
    <x:row r="63" ht="20" customHeight="1">
      <x:c r="A63" s="9" t="n">
        <x:v>46264</x:v>
      </x:c>
      <x:c r="B63" s="2" t="str">
        <x:v>MM-1040</x:v>
      </x:c>
      <x:c r="C63" s="2" t="str">
        <x:v>Email</x:v>
      </x:c>
      <x:c r="D63" s="2" t="str">
        <x:v>APP-003</x:v>
      </x:c>
      <x:c r="E63" s="2" t="str">
        <x:f>_xlfn.IFNA(VLOOKUP(D63,'Products'!$A$7:$I$22,2,FALSE),"Unmapped")</x:f>
        <x:v>Coffee club tee</x:v>
      </x:c>
      <x:c r="F63" s="2" t="str">
        <x:f>_xlfn.IFNA(VLOOKUP(D63,'Products'!$A$7:$I$22,3,FALSE),"Unmapped")</x:f>
        <x:v>Apparel</x:v>
      </x:c>
      <x:c r="G63" s="2" t="n">
        <x:v>1</x:v>
      </x:c>
      <x:c r="H63" s="2" t="n">
        <x:v>0</x:v>
      </x:c>
      <x:c r="I63" s="10" t="n">
        <x:v>29.95</x:v>
      </x:c>
      <x:c r="J63" s="10" t="n">
        <x:v>2.99</x:v>
      </x:c>
      <x:c r="K63" s="10" t="n">
        <x:v>10</x:v>
      </x:c>
      <x:c r="L63" s="10" t="n">
        <x:f>G63*I63</x:f>
        <x:v>29.95</x:v>
      </x:c>
      <x:c r="M63" s="10" t="n">
        <x:f>ROUND((L63-J63)*H63/G63,2)</x:f>
        <x:v>0</x:v>
      </x:c>
      <x:c r="N63" s="10" t="n">
        <x:f>L63-J63-M63</x:f>
        <x:v>26.96</x:v>
      </x:c>
      <x:c r="O63" s="10" t="n">
        <x:f>(G63-H63)*K63</x:f>
        <x:v>10</x:v>
      </x:c>
      <x:c r="P63" s="10" t="n">
        <x:f>N63-O63</x:f>
        <x:v>16.96</x:v>
      </x:c>
      <x:c r="Q63" s="9" t="n">
        <x:f>A63-WEEKDAY(A63,2)+1</x:f>
        <x:v>46258</x:v>
      </x:c>
      <x:c r="R63" s="2" t="str">
        <x:f>IF(AND(A63&gt;='Review'!$B$4,A63&lt;='Review'!$D$4),"Selected","Outside")</x:f>
        <x:v>Outside</x:v>
      </x:c>
    </x:row>
    <x:row r="64" ht="20" customHeight="1">
      <x:c r="A64" s="9" t="n">
        <x:v>46264</x:v>
      </x:c>
      <x:c r="B64" s="2" t="str">
        <x:v>MM-1040</x:v>
      </x:c>
      <x:c r="C64" s="2" t="str">
        <x:v>Email</x:v>
      </x:c>
      <x:c r="D64" s="2" t="str">
        <x:v>HAT-001</x:v>
      </x:c>
      <x:c r="E64" s="2" t="str">
        <x:f>_xlfn.IFNA(VLOOKUP(D64,'Products'!$A$7:$I$22,2,FALSE),"Unmapped")</x:f>
        <x:v>Classic canvas cap</x:v>
      </x:c>
      <x:c r="F64" s="2" t="str">
        <x:f>_xlfn.IFNA(VLOOKUP(D64,'Products'!$A$7:$I$22,3,FALSE),"Unmapped")</x:f>
        <x:v>Accessories</x:v>
      </x:c>
      <x:c r="G64" s="2" t="n">
        <x:v>1</x:v>
      </x:c>
      <x:c r="H64" s="2" t="n">
        <x:v>0</x:v>
      </x:c>
      <x:c r="I64" s="10" t="n">
        <x:v>24.95</x:v>
      </x:c>
      <x:c r="J64" s="10" t="n">
        <x:v>2.49</x:v>
      </x:c>
      <x:c r="K64" s="10" t="n">
        <x:v>8.5</x:v>
      </x:c>
      <x:c r="L64" s="10" t="n">
        <x:f>G64*I64</x:f>
        <x:v>24.95</x:v>
      </x:c>
      <x:c r="M64" s="10" t="n">
        <x:f>ROUND((L64-J64)*H64/G64,2)</x:f>
        <x:v>0</x:v>
      </x:c>
      <x:c r="N64" s="10" t="n">
        <x:f>L64-J64-M64</x:f>
        <x:v>22.46</x:v>
      </x:c>
      <x:c r="O64" s="10" t="n">
        <x:f>(G64-H64)*K64</x:f>
        <x:v>8.5</x:v>
      </x:c>
      <x:c r="P64" s="10" t="n">
        <x:f>N64-O64</x:f>
        <x:v>13.96</x:v>
      </x:c>
      <x:c r="Q64" s="9" t="n">
        <x:f>A64-WEEKDAY(A64,2)+1</x:f>
        <x:v>46258</x:v>
      </x:c>
      <x:c r="R64" s="2" t="str">
        <x:f>IF(AND(A64&gt;='Review'!$B$4,A64&lt;='Review'!$D$4),"Selected","Outside")</x:f>
        <x:v>Outside</x:v>
      </x:c>
    </x:row>
    <x:row r="65" ht="20" customHeight="1">
      <x:c r="A65" s="9" t="n">
        <x:v>46264</x:v>
      </x:c>
      <x:c r="B65" s="2" t="str">
        <x:v>MM-1052</x:v>
      </x:c>
      <x:c r="C65" s="2" t="str">
        <x:v>Direct</x:v>
      </x:c>
      <x:c r="D65" s="2" t="str">
        <x:v>TUM-002</x:v>
      </x:c>
      <x:c r="E65" s="2" t="str">
        <x:f>_xlfn.IFNA(VLOOKUP(D65,'Products'!$A$7:$I$22,2,FALSE),"Unmapped")</x:f>
        <x:v>Cold brew glass cup</x:v>
      </x:c>
      <x:c r="F65" s="2" t="str">
        <x:f>_xlfn.IFNA(VLOOKUP(D65,'Products'!$A$7:$I$22,3,FALSE),"Unmapped")</x:f>
        <x:v>Drinkware</x:v>
      </x:c>
      <x:c r="G65" s="2" t="n">
        <x:v>1</x:v>
      </x:c>
      <x:c r="H65" s="2" t="n">
        <x:v>0</x:v>
      </x:c>
      <x:c r="I65" s="10" t="n">
        <x:v>24.95</x:v>
      </x:c>
      <x:c r="J65" s="10" t="n">
        <x:v>0</x:v>
      </x:c>
      <x:c r="K65" s="10" t="n">
        <x:v>9</x:v>
      </x:c>
      <x:c r="L65" s="10" t="n">
        <x:f>G65*I65</x:f>
        <x:v>24.95</x:v>
      </x:c>
      <x:c r="M65" s="10" t="n">
        <x:f>ROUND((L65-J65)*H65/G65,2)</x:f>
        <x:v>0</x:v>
      </x:c>
      <x:c r="N65" s="10" t="n">
        <x:f>L65-J65-M65</x:f>
        <x:v>24.95</x:v>
      </x:c>
      <x:c r="O65" s="10" t="n">
        <x:f>(G65-H65)*K65</x:f>
        <x:v>9</x:v>
      </x:c>
      <x:c r="P65" s="10" t="n">
        <x:f>N65-O65</x:f>
        <x:v>15.95</x:v>
      </x:c>
      <x:c r="Q65" s="9" t="n">
        <x:f>A65-WEEKDAY(A65,2)+1</x:f>
        <x:v>46258</x:v>
      </x:c>
      <x:c r="R65" s="2" t="str">
        <x:f>IF(AND(A65&gt;='Review'!$B$4,A65&lt;='Review'!$D$4),"Selected","Outside")</x:f>
        <x:v>Outside</x:v>
      </x:c>
    </x:row>
    <x:row r="66" ht="20" customHeight="1">
      <x:c r="A66" s="9" t="n">
        <x:v>46264</x:v>
      </x:c>
      <x:c r="B66" s="2" t="str">
        <x:v>MM-1052</x:v>
      </x:c>
      <x:c r="C66" s="2" t="str">
        <x:v>Direct</x:v>
      </x:c>
      <x:c r="D66" s="2" t="str">
        <x:v>MUG-002</x:v>
      </x:c>
      <x:c r="E66" s="2" t="str">
        <x:f>_xlfn.IFNA(VLOOKUP(D66,'Products'!$A$7:$I$22,2,FALSE),"Unmapped")</x:f>
        <x:v>Campfire enamel mug</x:v>
      </x:c>
      <x:c r="F66" s="2" t="str">
        <x:f>_xlfn.IFNA(VLOOKUP(D66,'Products'!$A$7:$I$22,3,FALSE),"Unmapped")</x:f>
        <x:v>Drinkware</x:v>
      </x:c>
      <x:c r="G66" s="2" t="n">
        <x:v>1</x:v>
      </x:c>
      <x:c r="H66" s="2" t="n">
        <x:v>0</x:v>
      </x:c>
      <x:c r="I66" s="10" t="n">
        <x:v>22.95</x:v>
      </x:c>
      <x:c r="J66" s="10" t="n">
        <x:v>0</x:v>
      </x:c>
      <x:c r="K66" s="10" t="n">
        <x:v>8.5</x:v>
      </x:c>
      <x:c r="L66" s="10" t="n">
        <x:f>G66*I66</x:f>
        <x:v>22.95</x:v>
      </x:c>
      <x:c r="M66" s="10" t="n">
        <x:f>ROUND((L66-J66)*H66/G66,2)</x:f>
        <x:v>0</x:v>
      </x:c>
      <x:c r="N66" s="10" t="n">
        <x:f>L66-J66-M66</x:f>
        <x:v>22.95</x:v>
      </x:c>
      <x:c r="O66" s="10" t="n">
        <x:f>(G66-H66)*K66</x:f>
        <x:v>8.5</x:v>
      </x:c>
      <x:c r="P66" s="10" t="n">
        <x:f>N66-O66</x:f>
        <x:v>14.45</x:v>
      </x:c>
      <x:c r="Q66" s="9" t="n">
        <x:f>A66-WEEKDAY(A66,2)+1</x:f>
        <x:v>46258</x:v>
      </x:c>
      <x:c r="R66" s="2" t="str">
        <x:f>IF(AND(A66&gt;='Review'!$B$4,A66&lt;='Review'!$D$4),"Selected","Outside")</x:f>
        <x:v>Outside</x:v>
      </x:c>
    </x:row>
    <x:row r="67" ht="20" customHeight="1">
      <x:c r="A67" s="9" t="n">
        <x:v>46264</x:v>
      </x:c>
      <x:c r="B67" s="2" t="str">
        <x:v>MM-1052</x:v>
      </x:c>
      <x:c r="C67" s="2" t="str">
        <x:v>Direct</x:v>
      </x:c>
      <x:c r="D67" s="2" t="str">
        <x:v>HAT-001</x:v>
      </x:c>
      <x:c r="E67" s="2" t="str">
        <x:f>_xlfn.IFNA(VLOOKUP(D67,'Products'!$A$7:$I$22,2,FALSE),"Unmapped")</x:f>
        <x:v>Classic canvas cap</x:v>
      </x:c>
      <x:c r="F67" s="2" t="str">
        <x:f>_xlfn.IFNA(VLOOKUP(D67,'Products'!$A$7:$I$22,3,FALSE),"Unmapped")</x:f>
        <x:v>Accessories</x:v>
      </x:c>
      <x:c r="G67" s="2" t="n">
        <x:v>1</x:v>
      </x:c>
      <x:c r="H67" s="2" t="n">
        <x:v>0</x:v>
      </x:c>
      <x:c r="I67" s="10" t="n">
        <x:v>24.95</x:v>
      </x:c>
      <x:c r="J67" s="10" t="n">
        <x:v>0</x:v>
      </x:c>
      <x:c r="K67" s="10" t="n">
        <x:v>8.5</x:v>
      </x:c>
      <x:c r="L67" s="10" t="n">
        <x:f>G67*I67</x:f>
        <x:v>24.95</x:v>
      </x:c>
      <x:c r="M67" s="10" t="n">
        <x:f>ROUND((L67-J67)*H67/G67,2)</x:f>
        <x:v>0</x:v>
      </x:c>
      <x:c r="N67" s="10" t="n">
        <x:f>L67-J67-M67</x:f>
        <x:v>24.95</x:v>
      </x:c>
      <x:c r="O67" s="10" t="n">
        <x:f>(G67-H67)*K67</x:f>
        <x:v>8.5</x:v>
      </x:c>
      <x:c r="P67" s="10" t="n">
        <x:f>N67-O67</x:f>
        <x:v>16.45</x:v>
      </x:c>
      <x:c r="Q67" s="9" t="n">
        <x:f>A67-WEEKDAY(A67,2)+1</x:f>
        <x:v>46258</x:v>
      </x:c>
      <x:c r="R67" s="2" t="str">
        <x:f>IF(AND(A67&gt;='Review'!$B$4,A67&lt;='Review'!$D$4),"Selected","Outside")</x:f>
        <x:v>Outside</x:v>
      </x:c>
    </x:row>
    <x:row r="68" ht="20" customHeight="1">
      <x:c r="A68" s="9" t="n">
        <x:v>46264</x:v>
      </x:c>
      <x:c r="B68" s="2" t="str">
        <x:v>MM-1056</x:v>
      </x:c>
      <x:c r="C68" s="2" t="str">
        <x:v>Email</x:v>
      </x:c>
      <x:c r="D68" s="2" t="str">
        <x:v>GFT-002</x:v>
      </x:c>
      <x:c r="E68" s="2" t="str">
        <x:f>_xlfn.IFNA(VLOOKUP(D68,'Products'!$A$7:$I$22,2,FALSE),"Unmapped")</x:f>
        <x:v>Cozy weekend gift box</x:v>
      </x:c>
      <x:c r="F68" s="2" t="str">
        <x:f>_xlfn.IFNA(VLOOKUP(D68,'Products'!$A$7:$I$22,3,FALSE),"Unmapped")</x:f>
        <x:v>Gifts</x:v>
      </x:c>
      <x:c r="G68" s="2" t="n">
        <x:v>1</x:v>
      </x:c>
      <x:c r="H68" s="2" t="n">
        <x:v>0</x:v>
      </x:c>
      <x:c r="I68" s="10" t="n">
        <x:v>79.95</x:v>
      </x:c>
      <x:c r="J68" s="10" t="n">
        <x:v>7.99</x:v>
      </x:c>
      <x:c r="K68" s="10" t="n">
        <x:v>32</x:v>
      </x:c>
      <x:c r="L68" s="10" t="n">
        <x:f>G68*I68</x:f>
        <x:v>79.95</x:v>
      </x:c>
      <x:c r="M68" s="10" t="n">
        <x:f>ROUND((L68-J68)*H68/G68,2)</x:f>
        <x:v>0</x:v>
      </x:c>
      <x:c r="N68" s="10" t="n">
        <x:f>L68-J68-M68</x:f>
        <x:v>71.96000000000001</x:v>
      </x:c>
      <x:c r="O68" s="10" t="n">
        <x:f>(G68-H68)*K68</x:f>
        <x:v>32</x:v>
      </x:c>
      <x:c r="P68" s="10" t="n">
        <x:f>N68-O68</x:f>
        <x:v>39.96000000000001</x:v>
      </x:c>
      <x:c r="Q68" s="9" t="n">
        <x:f>A68-WEEKDAY(A68,2)+1</x:f>
        <x:v>46258</x:v>
      </x:c>
      <x:c r="R68" s="2" t="str">
        <x:f>IF(AND(A68&gt;='Review'!$B$4,A68&lt;='Review'!$D$4),"Selected","Outside")</x:f>
        <x:v>Outside</x:v>
      </x:c>
    </x:row>
    <x:row r="69" ht="20" customHeight="1">
      <x:c r="A69" s="9" t="n">
        <x:v>46264</x:v>
      </x:c>
      <x:c r="B69" s="2" t="str">
        <x:v>MM-1039</x:v>
      </x:c>
      <x:c r="C69" s="2" t="str">
        <x:v>Organic Search</x:v>
      </x:c>
      <x:c r="D69" s="2" t="str">
        <x:v>APP-001</x:v>
      </x:c>
      <x:c r="E69" s="2" t="str">
        <x:f>_xlfn.IFNA(VLOOKUP(D69,'Products'!$A$7:$I$22,2,FALSE),"Unmapped")</x:f>
        <x:v>Everyday crewneck</x:v>
      </x:c>
      <x:c r="F69" s="2" t="str">
        <x:f>_xlfn.IFNA(VLOOKUP(D69,'Products'!$A$7:$I$22,3,FALSE),"Unmapped")</x:f>
        <x:v>Apparel</x:v>
      </x:c>
      <x:c r="G69" s="2" t="n">
        <x:v>2</x:v>
      </x:c>
      <x:c r="H69" s="2" t="n">
        <x:v>0</x:v>
      </x:c>
      <x:c r="I69" s="10" t="n">
        <x:v>54.95</x:v>
      </x:c>
      <x:c r="J69" s="10" t="n">
        <x:v>0</x:v>
      </x:c>
      <x:c r="K69" s="10" t="n">
        <x:v>22</x:v>
      </x:c>
      <x:c r="L69" s="10" t="n">
        <x:f>G69*I69</x:f>
        <x:v>109.9</x:v>
      </x:c>
      <x:c r="M69" s="10" t="n">
        <x:f>ROUND((L69-J69)*H69/G69,2)</x:f>
        <x:v>0</x:v>
      </x:c>
      <x:c r="N69" s="10" t="n">
        <x:f>L69-J69-M69</x:f>
        <x:v>109.9</x:v>
      </x:c>
      <x:c r="O69" s="10" t="n">
        <x:f>(G69-H69)*K69</x:f>
        <x:v>44</x:v>
      </x:c>
      <x:c r="P69" s="10" t="n">
        <x:f>N69-O69</x:f>
        <x:v>65.9</x:v>
      </x:c>
      <x:c r="Q69" s="9" t="n">
        <x:f>A69-WEEKDAY(A69,2)+1</x:f>
        <x:v>46258</x:v>
      </x:c>
      <x:c r="R69" s="2" t="str">
        <x:f>IF(AND(A69&gt;='Review'!$B$4,A69&lt;='Review'!$D$4),"Selected","Outside")</x:f>
        <x:v>Outside</x:v>
      </x:c>
    </x:row>
    <x:row r="70" ht="20" customHeight="1">
      <x:c r="A70" s="9" t="n">
        <x:v>46264</x:v>
      </x:c>
      <x:c r="B70" s="2" t="str">
        <x:v>MM-1039</x:v>
      </x:c>
      <x:c r="C70" s="2" t="str">
        <x:v>Organic Search</x:v>
      </x:c>
      <x:c r="D70" s="2" t="str">
        <x:v>GFT-002</x:v>
      </x:c>
      <x:c r="E70" s="2" t="str">
        <x:f>_xlfn.IFNA(VLOOKUP(D70,'Products'!$A$7:$I$22,2,FALSE),"Unmapped")</x:f>
        <x:v>Cozy weekend gift box</x:v>
      </x:c>
      <x:c r="F70" s="2" t="str">
        <x:f>_xlfn.IFNA(VLOOKUP(D70,'Products'!$A$7:$I$22,3,FALSE),"Unmapped")</x:f>
        <x:v>Gifts</x:v>
      </x:c>
      <x:c r="G70" s="2" t="n">
        <x:v>2</x:v>
      </x:c>
      <x:c r="H70" s="2" t="n">
        <x:v>0</x:v>
      </x:c>
      <x:c r="I70" s="10" t="n">
        <x:v>79.95</x:v>
      </x:c>
      <x:c r="J70" s="10" t="n">
        <x:v>0</x:v>
      </x:c>
      <x:c r="K70" s="10" t="n">
        <x:v>32</x:v>
      </x:c>
      <x:c r="L70" s="10" t="n">
        <x:f>G70*I70</x:f>
        <x:v>159.9</x:v>
      </x:c>
      <x:c r="M70" s="10" t="n">
        <x:f>ROUND((L70-J70)*H70/G70,2)</x:f>
        <x:v>0</x:v>
      </x:c>
      <x:c r="N70" s="10" t="n">
        <x:f>L70-J70-M70</x:f>
        <x:v>159.9</x:v>
      </x:c>
      <x:c r="O70" s="10" t="n">
        <x:f>(G70-H70)*K70</x:f>
        <x:v>64</x:v>
      </x:c>
      <x:c r="P70" s="10" t="n">
        <x:f>N70-O70</x:f>
        <x:v>95.9</x:v>
      </x:c>
      <x:c r="Q70" s="9" t="n">
        <x:f>A70-WEEKDAY(A70,2)+1</x:f>
        <x:v>46258</x:v>
      </x:c>
      <x:c r="R70" s="2" t="str">
        <x:f>IF(AND(A70&gt;='Review'!$B$4,A70&lt;='Review'!$D$4),"Selected","Outside")</x:f>
        <x:v>Outside</x:v>
      </x:c>
    </x:row>
    <x:row r="71" ht="20" customHeight="1">
      <x:c r="A71" s="9" t="n">
        <x:v>46264</x:v>
      </x:c>
      <x:c r="B71" s="2" t="str">
        <x:v>MM-1041</x:v>
      </x:c>
      <x:c r="C71" s="2" t="str">
        <x:v>Paid Social</x:v>
      </x:c>
      <x:c r="D71" s="2" t="str">
        <x:v>MUG-001</x:v>
      </x:c>
      <x:c r="E71" s="2" t="str">
        <x:f>_xlfn.IFNA(VLOOKUP(D71,'Products'!$A$7:$I$22,2,FALSE),"Unmapped")</x:f>
        <x:v>Everyday ceramic mug</x:v>
      </x:c>
      <x:c r="F71" s="2" t="str">
        <x:f>_xlfn.IFNA(VLOOKUP(D71,'Products'!$A$7:$I$22,3,FALSE),"Unmapped")</x:f>
        <x:v>Drinkware</x:v>
      </x:c>
      <x:c r="G71" s="2" t="n">
        <x:v>1</x:v>
      </x:c>
      <x:c r="H71" s="2" t="n">
        <x:v>0</x:v>
      </x:c>
      <x:c r="I71" s="10" t="n">
        <x:v>18.95</x:v>
      </x:c>
      <x:c r="J71" s="10" t="n">
        <x:v>0</x:v>
      </x:c>
      <x:c r="K71" s="10" t="n">
        <x:v>6.5</x:v>
      </x:c>
      <x:c r="L71" s="10" t="n">
        <x:f>G71*I71</x:f>
        <x:v>18.95</x:v>
      </x:c>
      <x:c r="M71" s="10" t="n">
        <x:f>ROUND((L71-J71)*H71/G71,2)</x:f>
        <x:v>0</x:v>
      </x:c>
      <x:c r="N71" s="10" t="n">
        <x:f>L71-J71-M71</x:f>
        <x:v>18.95</x:v>
      </x:c>
      <x:c r="O71" s="10" t="n">
        <x:f>(G71-H71)*K71</x:f>
        <x:v>6.5</x:v>
      </x:c>
      <x:c r="P71" s="10" t="n">
        <x:f>N71-O71</x:f>
        <x:v>12.45</x:v>
      </x:c>
      <x:c r="Q71" s="9" t="n">
        <x:f>A71-WEEKDAY(A71,2)+1</x:f>
        <x:v>46258</x:v>
      </x:c>
      <x:c r="R71" s="2" t="str">
        <x:f>IF(AND(A71&gt;='Review'!$B$4,A71&lt;='Review'!$D$4),"Selected","Outside")</x:f>
        <x:v>Outside</x:v>
      </x:c>
    </x:row>
    <x:row r="72" ht="20" customHeight="1">
      <x:c r="A72" s="9" t="n">
        <x:v>46264</x:v>
      </x:c>
      <x:c r="B72" s="2" t="str">
        <x:v>MM-1041</x:v>
      </x:c>
      <x:c r="C72" s="2" t="str">
        <x:v>Paid Social</x:v>
      </x:c>
      <x:c r="D72" s="2" t="str">
        <x:v>KEY-001</x:v>
      </x:c>
      <x:c r="E72" s="2" t="str">
        <x:f>_xlfn.IFNA(VLOOKUP(D72,'Products'!$A$7:$I$22,2,FALSE),"Unmapped")</x:f>
        <x:v>Maple keyring</x:v>
      </x:c>
      <x:c r="F72" s="2" t="str">
        <x:f>_xlfn.IFNA(VLOOKUP(D72,'Products'!$A$7:$I$22,3,FALSE),"Unmapped")</x:f>
        <x:v>Accessories</x:v>
      </x:c>
      <x:c r="G72" s="2" t="n">
        <x:v>1</x:v>
      </x:c>
      <x:c r="H72" s="2" t="n">
        <x:v>0</x:v>
      </x:c>
      <x:c r="I72" s="10" t="n">
        <x:v>12.95</x:v>
      </x:c>
      <x:c r="J72" s="10" t="n">
        <x:v>0</x:v>
      </x:c>
      <x:c r="K72" s="10" t="n">
        <x:v>3.5</x:v>
      </x:c>
      <x:c r="L72" s="10" t="n">
        <x:f>G72*I72</x:f>
        <x:v>12.95</x:v>
      </x:c>
      <x:c r="M72" s="10" t="n">
        <x:f>ROUND((L72-J72)*H72/G72,2)</x:f>
        <x:v>0</x:v>
      </x:c>
      <x:c r="N72" s="10" t="n">
        <x:f>L72-J72-M72</x:f>
        <x:v>12.95</x:v>
      </x:c>
      <x:c r="O72" s="10" t="n">
        <x:f>(G72-H72)*K72</x:f>
        <x:v>3.5</x:v>
      </x:c>
      <x:c r="P72" s="10" t="n">
        <x:f>N72-O72</x:f>
        <x:v>9.45</x:v>
      </x:c>
      <x:c r="Q72" s="9" t="n">
        <x:f>A72-WEEKDAY(A72,2)+1</x:f>
        <x:v>46258</x:v>
      </x:c>
      <x:c r="R72" s="2" t="str">
        <x:f>IF(AND(A72&gt;='Review'!$B$4,A72&lt;='Review'!$D$4),"Selected","Outside")</x:f>
        <x:v>Outside</x:v>
      </x:c>
    </x:row>
    <x:row r="73" ht="20" customHeight="1">
      <x:c r="A73" s="9" t="n">
        <x:v>46264</x:v>
      </x:c>
      <x:c r="B73" s="2" t="str">
        <x:v>MM-1054</x:v>
      </x:c>
      <x:c r="C73" s="2" t="str">
        <x:v>Email</x:v>
      </x:c>
      <x:c r="D73" s="2" t="str">
        <x:v>APP-002</x:v>
      </x:c>
      <x:c r="E73" s="2" t="str">
        <x:f>_xlfn.IFNA(VLOOKUP(D73,'Products'!$A$7:$I$22,2,FALSE),"Unmapped")</x:f>
        <x:v>Weekend hoodie</x:v>
      </x:c>
      <x:c r="F73" s="2" t="str">
        <x:f>_xlfn.IFNA(VLOOKUP(D73,'Products'!$A$7:$I$22,3,FALSE),"Unmapped")</x:f>
        <x:v>Apparel</x:v>
      </x:c>
      <x:c r="G73" s="2" t="n">
        <x:v>1</x:v>
      </x:c>
      <x:c r="H73" s="2" t="n">
        <x:v>0</x:v>
      </x:c>
      <x:c r="I73" s="10" t="n">
        <x:v>69.95</x:v>
      </x:c>
      <x:c r="J73" s="10" t="n">
        <x:v>6.99</x:v>
      </x:c>
      <x:c r="K73" s="10" t="n">
        <x:v>28</x:v>
      </x:c>
      <x:c r="L73" s="10" t="n">
        <x:f>G73*I73</x:f>
        <x:v>69.95</x:v>
      </x:c>
      <x:c r="M73" s="10" t="n">
        <x:f>ROUND((L73-J73)*H73/G73,2)</x:f>
        <x:v>0</x:v>
      </x:c>
      <x:c r="N73" s="10" t="n">
        <x:f>L73-J73-M73</x:f>
        <x:v>62.96</x:v>
      </x:c>
      <x:c r="O73" s="10" t="n">
        <x:f>(G73-H73)*K73</x:f>
        <x:v>28</x:v>
      </x:c>
      <x:c r="P73" s="10" t="n">
        <x:f>N73-O73</x:f>
        <x:v>34.96</x:v>
      </x:c>
      <x:c r="Q73" s="9" t="n">
        <x:f>A73-WEEKDAY(A73,2)+1</x:f>
        <x:v>46258</x:v>
      </x:c>
      <x:c r="R73" s="2" t="str">
        <x:f>IF(AND(A73&gt;='Review'!$B$4,A73&lt;='Review'!$D$4),"Selected","Outside")</x:f>
        <x:v>Outside</x:v>
      </x:c>
    </x:row>
    <x:row r="74" ht="20" customHeight="1">
      <x:c r="A74" s="9" t="n">
        <x:v>46264</x:v>
      </x:c>
      <x:c r="B74" s="2" t="str">
        <x:v>MM-1047</x:v>
      </x:c>
      <x:c r="C74" s="2" t="str">
        <x:v>Organic Search</x:v>
      </x:c>
      <x:c r="D74" s="2" t="str">
        <x:v>MUG-001</x:v>
      </x:c>
      <x:c r="E74" s="2" t="str">
        <x:f>_xlfn.IFNA(VLOOKUP(D74,'Products'!$A$7:$I$22,2,FALSE),"Unmapped")</x:f>
        <x:v>Everyday ceramic mug</x:v>
      </x:c>
      <x:c r="F74" s="2" t="str">
        <x:f>_xlfn.IFNA(VLOOKUP(D74,'Products'!$A$7:$I$22,3,FALSE),"Unmapped")</x:f>
        <x:v>Drinkware</x:v>
      </x:c>
      <x:c r="G74" s="2" t="n">
        <x:v>1</x:v>
      </x:c>
      <x:c r="H74" s="2" t="n">
        <x:v>0</x:v>
      </x:c>
      <x:c r="I74" s="10" t="n">
        <x:v>18.95</x:v>
      </x:c>
      <x:c r="J74" s="10" t="n">
        <x:v>0</x:v>
      </x:c>
      <x:c r="K74" s="10" t="n">
        <x:v>6.5</x:v>
      </x:c>
      <x:c r="L74" s="10" t="n">
        <x:f>G74*I74</x:f>
        <x:v>18.95</x:v>
      </x:c>
      <x:c r="M74" s="10" t="n">
        <x:f>ROUND((L74-J74)*H74/G74,2)</x:f>
        <x:v>0</x:v>
      </x:c>
      <x:c r="N74" s="10" t="n">
        <x:f>L74-J74-M74</x:f>
        <x:v>18.95</x:v>
      </x:c>
      <x:c r="O74" s="10" t="n">
        <x:f>(G74-H74)*K74</x:f>
        <x:v>6.5</x:v>
      </x:c>
      <x:c r="P74" s="10" t="n">
        <x:f>N74-O74</x:f>
        <x:v>12.45</x:v>
      </x:c>
      <x:c r="Q74" s="9" t="n">
        <x:f>A74-WEEKDAY(A74,2)+1</x:f>
        <x:v>46258</x:v>
      </x:c>
      <x:c r="R74" s="2" t="str">
        <x:f>IF(AND(A74&gt;='Review'!$B$4,A74&lt;='Review'!$D$4),"Selected","Outside")</x:f>
        <x:v>Outside</x:v>
      </x:c>
    </x:row>
    <x:row r="75" ht="20" customHeight="1">
      <x:c r="A75" s="9" t="n">
        <x:v>46264</x:v>
      </x:c>
      <x:c r="B75" s="2" t="str">
        <x:v>MM-1047</x:v>
      </x:c>
      <x:c r="C75" s="2" t="str">
        <x:v>Organic Search</x:v>
      </x:c>
      <x:c r="D75" s="2" t="str">
        <x:v>BOT-001</x:v>
      </x:c>
      <x:c r="E75" s="2" t="str">
        <x:f>_xlfn.IFNA(VLOOKUP(D75,'Products'!$A$7:$I$22,2,FALSE),"Unmapped")</x:f>
        <x:v>Trail water bottle</x:v>
      </x:c>
      <x:c r="F75" s="2" t="str">
        <x:f>_xlfn.IFNA(VLOOKUP(D75,'Products'!$A$7:$I$22,3,FALSE),"Unmapped")</x:f>
        <x:v>Drinkware</x:v>
      </x:c>
      <x:c r="G75" s="2" t="n">
        <x:v>3</x:v>
      </x:c>
      <x:c r="H75" s="2" t="n">
        <x:v>0</x:v>
      </x:c>
      <x:c r="I75" s="10" t="n">
        <x:v>34.95</x:v>
      </x:c>
      <x:c r="J75" s="10" t="n">
        <x:v>0</x:v>
      </x:c>
      <x:c r="K75" s="10" t="n">
        <x:v>13.5</x:v>
      </x:c>
      <x:c r="L75" s="10" t="n">
        <x:f>G75*I75</x:f>
        <x:v>104.85000000000001</x:v>
      </x:c>
      <x:c r="M75" s="10" t="n">
        <x:f>ROUND((L75-J75)*H75/G75,2)</x:f>
        <x:v>0</x:v>
      </x:c>
      <x:c r="N75" s="10" t="n">
        <x:f>L75-J75-M75</x:f>
        <x:v>104.85000000000001</x:v>
      </x:c>
      <x:c r="O75" s="10" t="n">
        <x:f>(G75-H75)*K75</x:f>
        <x:v>40.5</x:v>
      </x:c>
      <x:c r="P75" s="10" t="n">
        <x:f>N75-O75</x:f>
        <x:v>64.35000000000001</x:v>
      </x:c>
      <x:c r="Q75" s="9" t="n">
        <x:f>A75-WEEKDAY(A75,2)+1</x:f>
        <x:v>46258</x:v>
      </x:c>
      <x:c r="R75" s="2" t="str">
        <x:f>IF(AND(A75&gt;='Review'!$B$4,A75&lt;='Review'!$D$4),"Selected","Outside")</x:f>
        <x:v>Outside</x:v>
      </x:c>
    </x:row>
    <x:row r="76" ht="20" customHeight="1">
      <x:c r="A76" s="9" t="n">
        <x:v>46264</x:v>
      </x:c>
      <x:c r="B76" s="2" t="str">
        <x:v>MM-1048</x:v>
      </x:c>
      <x:c r="C76" s="2" t="str">
        <x:v>Organic Search</x:v>
      </x:c>
      <x:c r="D76" s="2" t="str">
        <x:v>PIN-001</x:v>
      </x:c>
      <x:c r="E76" s="2" t="str">
        <x:f>_xlfn.IFNA(VLOOKUP(D76,'Products'!$A$7:$I$22,2,FALSE),"Unmapped")</x:f>
        <x:v>Coffee enamel pin</x:v>
      </x:c>
      <x:c r="F76" s="2" t="str">
        <x:f>_xlfn.IFNA(VLOOKUP(D76,'Products'!$A$7:$I$22,3,FALSE),"Unmapped")</x:f>
        <x:v>Accessories</x:v>
      </x:c>
      <x:c r="G76" s="2" t="n">
        <x:v>1</x:v>
      </x:c>
      <x:c r="H76" s="2" t="n">
        <x:v>0</x:v>
      </x:c>
      <x:c r="I76" s="10" t="n">
        <x:v>9.95</x:v>
      </x:c>
      <x:c r="J76" s="10" t="n">
        <x:v>0.99</x:v>
      </x:c>
      <x:c r="K76" s="10" t="n">
        <x:v>2.5</x:v>
      </x:c>
      <x:c r="L76" s="10" t="n">
        <x:f>G76*I76</x:f>
        <x:v>9.95</x:v>
      </x:c>
      <x:c r="M76" s="10" t="n">
        <x:f>ROUND((L76-J76)*H76/G76,2)</x:f>
        <x:v>0</x:v>
      </x:c>
      <x:c r="N76" s="10" t="n">
        <x:f>L76-J76-M76</x:f>
        <x:v>8.959999999999999</x:v>
      </x:c>
      <x:c r="O76" s="10" t="n">
        <x:f>(G76-H76)*K76</x:f>
        <x:v>2.5</x:v>
      </x:c>
      <x:c r="P76" s="10" t="n">
        <x:f>N76-O76</x:f>
        <x:v>6.459999999999999</x:v>
      </x:c>
      <x:c r="Q76" s="9" t="n">
        <x:f>A76-WEEKDAY(A76,2)+1</x:f>
        <x:v>46258</x:v>
      </x:c>
      <x:c r="R76" s="2" t="str">
        <x:f>IF(AND(A76&gt;='Review'!$B$4,A76&lt;='Review'!$D$4),"Selected","Outside")</x:f>
        <x:v>Outside</x:v>
      </x:c>
    </x:row>
    <x:row r="77" ht="20" customHeight="1">
      <x:c r="A77" s="9" t="n">
        <x:v>46264</x:v>
      </x:c>
      <x:c r="B77" s="2" t="str">
        <x:v>MM-1048</x:v>
      </x:c>
      <x:c r="C77" s="2" t="str">
        <x:v>Organic Search</x:v>
      </x:c>
      <x:c r="D77" s="2" t="str">
        <x:v>TOTE-001</x:v>
      </x:c>
      <x:c r="E77" s="2" t="str">
        <x:f>_xlfn.IFNA(VLOOKUP(D77,'Products'!$A$7:$I$22,2,FALSE),"Unmapped")</x:f>
        <x:v>Market canvas tote</x:v>
      </x:c>
      <x:c r="F77" s="2" t="str">
        <x:f>_xlfn.IFNA(VLOOKUP(D77,'Products'!$A$7:$I$22,3,FALSE),"Unmapped")</x:f>
        <x:v>Accessories</x:v>
      </x:c>
      <x:c r="G77" s="2" t="n">
        <x:v>1</x:v>
      </x:c>
      <x:c r="H77" s="2" t="n">
        <x:v>0</x:v>
      </x:c>
      <x:c r="I77" s="10" t="n">
        <x:v>19.95</x:v>
      </x:c>
      <x:c r="J77" s="10" t="n">
        <x:v>0</x:v>
      </x:c>
      <x:c r="K77" s="10" t="n">
        <x:v>6</x:v>
      </x:c>
      <x:c r="L77" s="10" t="n">
        <x:f>G77*I77</x:f>
        <x:v>19.95</x:v>
      </x:c>
      <x:c r="M77" s="10" t="n">
        <x:f>ROUND((L77-J77)*H77/G77,2)</x:f>
        <x:v>0</x:v>
      </x:c>
      <x:c r="N77" s="10" t="n">
        <x:f>L77-J77-M77</x:f>
        <x:v>19.95</x:v>
      </x:c>
      <x:c r="O77" s="10" t="n">
        <x:f>(G77-H77)*K77</x:f>
        <x:v>6</x:v>
      </x:c>
      <x:c r="P77" s="10" t="n">
        <x:f>N77-O77</x:f>
        <x:v>13.95</x:v>
      </x:c>
      <x:c r="Q77" s="9" t="n">
        <x:f>A77-WEEKDAY(A77,2)+1</x:f>
        <x:v>46258</x:v>
      </x:c>
      <x:c r="R77" s="2" t="str">
        <x:f>IF(AND(A77&gt;='Review'!$B$4,A77&lt;='Review'!$D$4),"Selected","Outside")</x:f>
        <x:v>Outside</x:v>
      </x:c>
    </x:row>
    <x:row r="78" ht="20" customHeight="1">
      <x:c r="A78" s="9" t="n">
        <x:v>46264</x:v>
      </x:c>
      <x:c r="B78" s="2" t="str">
        <x:v>MM-1049</x:v>
      </x:c>
      <x:c r="C78" s="2" t="str">
        <x:v>Paid Social</x:v>
      </x:c>
      <x:c r="D78" s="2" t="str">
        <x:v>MUG-002</x:v>
      </x:c>
      <x:c r="E78" s="2" t="str">
        <x:f>_xlfn.IFNA(VLOOKUP(D78,'Products'!$A$7:$I$22,2,FALSE),"Unmapped")</x:f>
        <x:v>Campfire enamel mug</x:v>
      </x:c>
      <x:c r="F78" s="2" t="str">
        <x:f>_xlfn.IFNA(VLOOKUP(D78,'Products'!$A$7:$I$22,3,FALSE),"Unmapped")</x:f>
        <x:v>Drinkware</x:v>
      </x:c>
      <x:c r="G78" s="2" t="n">
        <x:v>1</x:v>
      </x:c>
      <x:c r="H78" s="2" t="n">
        <x:v>0</x:v>
      </x:c>
      <x:c r="I78" s="10" t="n">
        <x:v>22.95</x:v>
      </x:c>
      <x:c r="J78" s="10" t="n">
        <x:v>0</x:v>
      </x:c>
      <x:c r="K78" s="10" t="n">
        <x:v>8.5</x:v>
      </x:c>
      <x:c r="L78" s="10" t="n">
        <x:f>G78*I78</x:f>
        <x:v>22.95</x:v>
      </x:c>
      <x:c r="M78" s="10" t="n">
        <x:f>ROUND((L78-J78)*H78/G78,2)</x:f>
        <x:v>0</x:v>
      </x:c>
      <x:c r="N78" s="10" t="n">
        <x:f>L78-J78-M78</x:f>
        <x:v>22.95</x:v>
      </x:c>
      <x:c r="O78" s="10" t="n">
        <x:f>(G78-H78)*K78</x:f>
        <x:v>8.5</x:v>
      </x:c>
      <x:c r="P78" s="10" t="n">
        <x:f>N78-O78</x:f>
        <x:v>14.45</x:v>
      </x:c>
      <x:c r="Q78" s="9" t="n">
        <x:f>A78-WEEKDAY(A78,2)+1</x:f>
        <x:v>46258</x:v>
      </x:c>
      <x:c r="R78" s="2" t="str">
        <x:f>IF(AND(A78&gt;='Review'!$B$4,A78&lt;='Review'!$D$4),"Selected","Outside")</x:f>
        <x:v>Outside</x:v>
      </x:c>
    </x:row>
    <x:row r="79" ht="20" customHeight="1">
      <x:c r="A79" s="9" t="n">
        <x:v>46264</x:v>
      </x:c>
      <x:c r="B79" s="2" t="str">
        <x:v>MM-1051</x:v>
      </x:c>
      <x:c r="C79" s="2" t="str">
        <x:v>Organic Search</x:v>
      </x:c>
      <x:c r="D79" s="2" t="str">
        <x:v>HAT-001</x:v>
      </x:c>
      <x:c r="E79" s="2" t="str">
        <x:f>_xlfn.IFNA(VLOOKUP(D79,'Products'!$A$7:$I$22,2,FALSE),"Unmapped")</x:f>
        <x:v>Classic canvas cap</x:v>
      </x:c>
      <x:c r="F79" s="2" t="str">
        <x:f>_xlfn.IFNA(VLOOKUP(D79,'Products'!$A$7:$I$22,3,FALSE),"Unmapped")</x:f>
        <x:v>Accessories</x:v>
      </x:c>
      <x:c r="G79" s="2" t="n">
        <x:v>1</x:v>
      </x:c>
      <x:c r="H79" s="2" t="n">
        <x:v>0</x:v>
      </x:c>
      <x:c r="I79" s="10" t="n">
        <x:v>24.95</x:v>
      </x:c>
      <x:c r="J79" s="10" t="n">
        <x:v>0</x:v>
      </x:c>
      <x:c r="K79" s="10" t="n">
        <x:v>8.5</x:v>
      </x:c>
      <x:c r="L79" s="10" t="n">
        <x:f>G79*I79</x:f>
        <x:v>24.95</x:v>
      </x:c>
      <x:c r="M79" s="10" t="n">
        <x:f>ROUND((L79-J79)*H79/G79,2)</x:f>
        <x:v>0</x:v>
      </x:c>
      <x:c r="N79" s="10" t="n">
        <x:f>L79-J79-M79</x:f>
        <x:v>24.95</x:v>
      </x:c>
      <x:c r="O79" s="10" t="n">
        <x:f>(G79-H79)*K79</x:f>
        <x:v>8.5</x:v>
      </x:c>
      <x:c r="P79" s="10" t="n">
        <x:f>N79-O79</x:f>
        <x:v>16.45</x:v>
      </x:c>
      <x:c r="Q79" s="9" t="n">
        <x:f>A79-WEEKDAY(A79,2)+1</x:f>
        <x:v>46258</x:v>
      </x:c>
      <x:c r="R79" s="2" t="str">
        <x:f>IF(AND(A79&gt;='Review'!$B$4,A79&lt;='Review'!$D$4),"Selected","Outside")</x:f>
        <x:v>Outside</x:v>
      </x:c>
    </x:row>
    <x:row r="80" ht="20" customHeight="1">
      <x:c r="A80" s="9" t="n">
        <x:v>46264</x:v>
      </x:c>
      <x:c r="B80" s="2" t="str">
        <x:v>MM-1044</x:v>
      </x:c>
      <x:c r="C80" s="2" t="str">
        <x:v>Organic Search</x:v>
      </x:c>
      <x:c r="D80" s="2" t="str">
        <x:v>APP-003</x:v>
      </x:c>
      <x:c r="E80" s="2" t="str">
        <x:f>_xlfn.IFNA(VLOOKUP(D80,'Products'!$A$7:$I$22,2,FALSE),"Unmapped")</x:f>
        <x:v>Coffee club tee</x:v>
      </x:c>
      <x:c r="F80" s="2" t="str">
        <x:f>_xlfn.IFNA(VLOOKUP(D80,'Products'!$A$7:$I$22,3,FALSE),"Unmapped")</x:f>
        <x:v>Apparel</x:v>
      </x:c>
      <x:c r="G80" s="2" t="n">
        <x:v>1</x:v>
      </x:c>
      <x:c r="H80" s="2" t="n">
        <x:v>0</x:v>
      </x:c>
      <x:c r="I80" s="10" t="n">
        <x:v>29.95</x:v>
      </x:c>
      <x:c r="J80" s="10" t="n">
        <x:v>0</x:v>
      </x:c>
      <x:c r="K80" s="10" t="n">
        <x:v>10</x:v>
      </x:c>
      <x:c r="L80" s="10" t="n">
        <x:f>G80*I80</x:f>
        <x:v>29.95</x:v>
      </x:c>
      <x:c r="M80" s="10" t="n">
        <x:f>ROUND((L80-J80)*H80/G80,2)</x:f>
        <x:v>0</x:v>
      </x:c>
      <x:c r="N80" s="10" t="n">
        <x:f>L80-J80-M80</x:f>
        <x:v>29.95</x:v>
      </x:c>
      <x:c r="O80" s="10" t="n">
        <x:f>(G80-H80)*K80</x:f>
        <x:v>10</x:v>
      </x:c>
      <x:c r="P80" s="10" t="n">
        <x:f>N80-O80</x:f>
        <x:v>19.95</x:v>
      </x:c>
      <x:c r="Q80" s="9" t="n">
        <x:f>A80-WEEKDAY(A80,2)+1</x:f>
        <x:v>46258</x:v>
      </x:c>
      <x:c r="R80" s="2" t="str">
        <x:f>IF(AND(A80&gt;='Review'!$B$4,A80&lt;='Review'!$D$4),"Selected","Outside")</x:f>
        <x:v>Outside</x:v>
      </x:c>
    </x:row>
    <x:row r="81" ht="20" customHeight="1">
      <x:c r="A81" s="9" t="n">
        <x:v>46264</x:v>
      </x:c>
      <x:c r="B81" s="2" t="str">
        <x:v>MM-1044</x:v>
      </x:c>
      <x:c r="C81" s="2" t="str">
        <x:v>Organic Search</x:v>
      </x:c>
      <x:c r="D81" s="2" t="str">
        <x:v>TOTE-001</x:v>
      </x:c>
      <x:c r="E81" s="2" t="str">
        <x:f>_xlfn.IFNA(VLOOKUP(D81,'Products'!$A$7:$I$22,2,FALSE),"Unmapped")</x:f>
        <x:v>Market canvas tote</x:v>
      </x:c>
      <x:c r="F81" s="2" t="str">
        <x:f>_xlfn.IFNA(VLOOKUP(D81,'Products'!$A$7:$I$22,3,FALSE),"Unmapped")</x:f>
        <x:v>Accessories</x:v>
      </x:c>
      <x:c r="G81" s="2" t="n">
        <x:v>1</x:v>
      </x:c>
      <x:c r="H81" s="2" t="n">
        <x:v>0</x:v>
      </x:c>
      <x:c r="I81" s="10" t="n">
        <x:v>19.95</x:v>
      </x:c>
      <x:c r="J81" s="10" t="n">
        <x:v>0</x:v>
      </x:c>
      <x:c r="K81" s="10" t="n">
        <x:v>6</x:v>
      </x:c>
      <x:c r="L81" s="10" t="n">
        <x:f>G81*I81</x:f>
        <x:v>19.95</x:v>
      </x:c>
      <x:c r="M81" s="10" t="n">
        <x:f>ROUND((L81-J81)*H81/G81,2)</x:f>
        <x:v>0</x:v>
      </x:c>
      <x:c r="N81" s="10" t="n">
        <x:f>L81-J81-M81</x:f>
        <x:v>19.95</x:v>
      </x:c>
      <x:c r="O81" s="10" t="n">
        <x:f>(G81-H81)*K81</x:f>
        <x:v>6</x:v>
      </x:c>
      <x:c r="P81" s="10" t="n">
        <x:f>N81-O81</x:f>
        <x:v>13.95</x:v>
      </x:c>
      <x:c r="Q81" s="9" t="n">
        <x:f>A81-WEEKDAY(A81,2)+1</x:f>
        <x:v>46258</x:v>
      </x:c>
      <x:c r="R81" s="2" t="str">
        <x:f>IF(AND(A81&gt;='Review'!$B$4,A81&lt;='Review'!$D$4),"Selected","Outside")</x:f>
        <x:v>Outside</x:v>
      </x:c>
    </x:row>
    <x:row r="82" ht="20" customHeight="1">
      <x:c r="A82" s="9" t="n">
        <x:v>46264</x:v>
      </x:c>
      <x:c r="B82" s="2" t="str">
        <x:v>MM-1044</x:v>
      </x:c>
      <x:c r="C82" s="2" t="str">
        <x:v>Organic Search</x:v>
      </x:c>
      <x:c r="D82" s="2" t="str">
        <x:v>TUM-002</x:v>
      </x:c>
      <x:c r="E82" s="2" t="str">
        <x:f>_xlfn.IFNA(VLOOKUP(D82,'Products'!$A$7:$I$22,2,FALSE),"Unmapped")</x:f>
        <x:v>Cold brew glass cup</x:v>
      </x:c>
      <x:c r="F82" s="2" t="str">
        <x:f>_xlfn.IFNA(VLOOKUP(D82,'Products'!$A$7:$I$22,3,FALSE),"Unmapped")</x:f>
        <x:v>Drinkware</x:v>
      </x:c>
      <x:c r="G82" s="2" t="n">
        <x:v>1</x:v>
      </x:c>
      <x:c r="H82" s="2" t="n">
        <x:v>0</x:v>
      </x:c>
      <x:c r="I82" s="10" t="n">
        <x:v>24.95</x:v>
      </x:c>
      <x:c r="J82" s="10" t="n">
        <x:v>0</x:v>
      </x:c>
      <x:c r="K82" s="10" t="n">
        <x:v>9</x:v>
      </x:c>
      <x:c r="L82" s="10" t="n">
        <x:f>G82*I82</x:f>
        <x:v>24.95</x:v>
      </x:c>
      <x:c r="M82" s="10" t="n">
        <x:f>ROUND((L82-J82)*H82/G82,2)</x:f>
        <x:v>0</x:v>
      </x:c>
      <x:c r="N82" s="10" t="n">
        <x:f>L82-J82-M82</x:f>
        <x:v>24.95</x:v>
      </x:c>
      <x:c r="O82" s="10" t="n">
        <x:f>(G82-H82)*K82</x:f>
        <x:v>9</x:v>
      </x:c>
      <x:c r="P82" s="10" t="n">
        <x:f>N82-O82</x:f>
        <x:v>15.95</x:v>
      </x:c>
      <x:c r="Q82" s="9" t="n">
        <x:f>A82-WEEKDAY(A82,2)+1</x:f>
        <x:v>46258</x:v>
      </x:c>
      <x:c r="R82" s="2" t="str">
        <x:f>IF(AND(A82&gt;='Review'!$B$4,A82&lt;='Review'!$D$4),"Selected","Outside")</x:f>
        <x:v>Outside</x:v>
      </x:c>
    </x:row>
    <x:row r="83" ht="20" customHeight="1">
      <x:c r="A83" s="9" t="n">
        <x:v>46264</x:v>
      </x:c>
      <x:c r="B83" s="2" t="str">
        <x:v>MM-1043</x:v>
      </x:c>
      <x:c r="C83" s="2" t="str">
        <x:v>Direct</x:v>
      </x:c>
      <x:c r="D83" s="2" t="str">
        <x:v>MUG-002</x:v>
      </x:c>
      <x:c r="E83" s="2" t="str">
        <x:f>_xlfn.IFNA(VLOOKUP(D83,'Products'!$A$7:$I$22,2,FALSE),"Unmapped")</x:f>
        <x:v>Campfire enamel mug</x:v>
      </x:c>
      <x:c r="F83" s="2" t="str">
        <x:f>_xlfn.IFNA(VLOOKUP(D83,'Products'!$A$7:$I$22,3,FALSE),"Unmapped")</x:f>
        <x:v>Drinkware</x:v>
      </x:c>
      <x:c r="G83" s="2" t="n">
        <x:v>2</x:v>
      </x:c>
      <x:c r="H83" s="2" t="n">
        <x:v>0</x:v>
      </x:c>
      <x:c r="I83" s="10" t="n">
        <x:v>22.95</x:v>
      </x:c>
      <x:c r="J83" s="10" t="n">
        <x:v>0</x:v>
      </x:c>
      <x:c r="K83" s="10" t="n">
        <x:v>8.5</x:v>
      </x:c>
      <x:c r="L83" s="10" t="n">
        <x:f>G83*I83</x:f>
        <x:v>45.9</x:v>
      </x:c>
      <x:c r="M83" s="10" t="n">
        <x:f>ROUND((L83-J83)*H83/G83,2)</x:f>
        <x:v>0</x:v>
      </x:c>
      <x:c r="N83" s="10" t="n">
        <x:f>L83-J83-M83</x:f>
        <x:v>45.9</x:v>
      </x:c>
      <x:c r="O83" s="10" t="n">
        <x:f>(G83-H83)*K83</x:f>
        <x:v>17</x:v>
      </x:c>
      <x:c r="P83" s="10" t="n">
        <x:f>N83-O83</x:f>
        <x:v>28.9</x:v>
      </x:c>
      <x:c r="Q83" s="9" t="n">
        <x:f>A83-WEEKDAY(A83,2)+1</x:f>
        <x:v>46258</x:v>
      </x:c>
      <x:c r="R83" s="2" t="str">
        <x:f>IF(AND(A83&gt;='Review'!$B$4,A83&lt;='Review'!$D$4),"Selected","Outside")</x:f>
        <x:v>Outside</x:v>
      </x:c>
    </x:row>
    <x:row r="84" ht="20" customHeight="1">
      <x:c r="A84" s="9" t="n">
        <x:v>46264</x:v>
      </x:c>
      <x:c r="B84" s="2" t="str">
        <x:v>MM-1057</x:v>
      </x:c>
      <x:c r="C84" s="2" t="str">
        <x:v>Organic Search</x:v>
      </x:c>
      <x:c r="D84" s="2" t="str">
        <x:v>MUG-002</x:v>
      </x:c>
      <x:c r="E84" s="2" t="str">
        <x:f>_xlfn.IFNA(VLOOKUP(D84,'Products'!$A$7:$I$22,2,FALSE),"Unmapped")</x:f>
        <x:v>Campfire enamel mug</x:v>
      </x:c>
      <x:c r="F84" s="2" t="str">
        <x:f>_xlfn.IFNA(VLOOKUP(D84,'Products'!$A$7:$I$22,3,FALSE),"Unmapped")</x:f>
        <x:v>Drinkware</x:v>
      </x:c>
      <x:c r="G84" s="2" t="n">
        <x:v>1</x:v>
      </x:c>
      <x:c r="H84" s="2" t="n">
        <x:v>0</x:v>
      </x:c>
      <x:c r="I84" s="10" t="n">
        <x:v>22.95</x:v>
      </x:c>
      <x:c r="J84" s="10" t="n">
        <x:v>0</x:v>
      </x:c>
      <x:c r="K84" s="10" t="n">
        <x:v>8.5</x:v>
      </x:c>
      <x:c r="L84" s="10" t="n">
        <x:f>G84*I84</x:f>
        <x:v>22.95</x:v>
      </x:c>
      <x:c r="M84" s="10" t="n">
        <x:f>ROUND((L84-J84)*H84/G84,2)</x:f>
        <x:v>0</x:v>
      </x:c>
      <x:c r="N84" s="10" t="n">
        <x:f>L84-J84-M84</x:f>
        <x:v>22.95</x:v>
      </x:c>
      <x:c r="O84" s="10" t="n">
        <x:f>(G84-H84)*K84</x:f>
        <x:v>8.5</x:v>
      </x:c>
      <x:c r="P84" s="10" t="n">
        <x:f>N84-O84</x:f>
        <x:v>14.45</x:v>
      </x:c>
      <x:c r="Q84" s="9" t="n">
        <x:f>A84-WEEKDAY(A84,2)+1</x:f>
        <x:v>46258</x:v>
      </x:c>
      <x:c r="R84" s="2" t="str">
        <x:f>IF(AND(A84&gt;='Review'!$B$4,A84&lt;='Review'!$D$4),"Selected","Outside")</x:f>
        <x:v>Outside</x:v>
      </x:c>
    </x:row>
    <x:row r="85" ht="20" customHeight="1">
      <x:c r="A85" s="9" t="n">
        <x:v>46264</x:v>
      </x:c>
      <x:c r="B85" s="2" t="str">
        <x:v>MM-1057</x:v>
      </x:c>
      <x:c r="C85" s="2" t="str">
        <x:v>Organic Search</x:v>
      </x:c>
      <x:c r="D85" s="2" t="str">
        <x:v>APP-002</x:v>
      </x:c>
      <x:c r="E85" s="2" t="str">
        <x:f>_xlfn.IFNA(VLOOKUP(D85,'Products'!$A$7:$I$22,2,FALSE),"Unmapped")</x:f>
        <x:v>Weekend hoodie</x:v>
      </x:c>
      <x:c r="F85" s="2" t="str">
        <x:f>_xlfn.IFNA(VLOOKUP(D85,'Products'!$A$7:$I$22,3,FALSE),"Unmapped")</x:f>
        <x:v>Apparel</x:v>
      </x:c>
      <x:c r="G85" s="2" t="n">
        <x:v>3</x:v>
      </x:c>
      <x:c r="H85" s="2" t="n">
        <x:v>0</x:v>
      </x:c>
      <x:c r="I85" s="10" t="n">
        <x:v>69.95</x:v>
      </x:c>
      <x:c r="J85" s="10" t="n">
        <x:v>0</x:v>
      </x:c>
      <x:c r="K85" s="10" t="n">
        <x:v>28</x:v>
      </x:c>
      <x:c r="L85" s="10" t="n">
        <x:f>G85*I85</x:f>
        <x:v>209.85000000000002</x:v>
      </x:c>
      <x:c r="M85" s="10" t="n">
        <x:f>ROUND((L85-J85)*H85/G85,2)</x:f>
        <x:v>0</x:v>
      </x:c>
      <x:c r="N85" s="10" t="n">
        <x:f>L85-J85-M85</x:f>
        <x:v>209.85000000000002</x:v>
      </x:c>
      <x:c r="O85" s="10" t="n">
        <x:f>(G85-H85)*K85</x:f>
        <x:v>84</x:v>
      </x:c>
      <x:c r="P85" s="10" t="n">
        <x:f>N85-O85</x:f>
        <x:v>125.85000000000002</x:v>
      </x:c>
      <x:c r="Q85" s="9" t="n">
        <x:f>A85-WEEKDAY(A85,2)+1</x:f>
        <x:v>46258</x:v>
      </x:c>
      <x:c r="R85" s="2" t="str">
        <x:f>IF(AND(A85&gt;='Review'!$B$4,A85&lt;='Review'!$D$4),"Selected","Outside")</x:f>
        <x:v>Outside</x:v>
      </x:c>
    </x:row>
    <x:row r="86" ht="20" customHeight="1">
      <x:c r="A86" s="9" t="n">
        <x:v>46264</x:v>
      </x:c>
      <x:c r="B86" s="2" t="str">
        <x:v>MM-1053</x:v>
      </x:c>
      <x:c r="C86" s="2" t="str">
        <x:v>Organic Search</x:v>
      </x:c>
      <x:c r="D86" s="2" t="str">
        <x:v>MUG-002</x:v>
      </x:c>
      <x:c r="E86" s="2" t="str">
        <x:f>_xlfn.IFNA(VLOOKUP(D86,'Products'!$A$7:$I$22,2,FALSE),"Unmapped")</x:f>
        <x:v>Campfire enamel mug</x:v>
      </x:c>
      <x:c r="F86" s="2" t="str">
        <x:f>_xlfn.IFNA(VLOOKUP(D86,'Products'!$A$7:$I$22,3,FALSE),"Unmapped")</x:f>
        <x:v>Drinkware</x:v>
      </x:c>
      <x:c r="G86" s="2" t="n">
        <x:v>2</x:v>
      </x:c>
      <x:c r="H86" s="2" t="n">
        <x:v>0</x:v>
      </x:c>
      <x:c r="I86" s="10" t="n">
        <x:v>22.95</x:v>
      </x:c>
      <x:c r="J86" s="10" t="n">
        <x:v>0</x:v>
      </x:c>
      <x:c r="K86" s="10" t="n">
        <x:v>8.5</x:v>
      </x:c>
      <x:c r="L86" s="10" t="n">
        <x:f>G86*I86</x:f>
        <x:v>45.9</x:v>
      </x:c>
      <x:c r="M86" s="10" t="n">
        <x:f>ROUND((L86-J86)*H86/G86,2)</x:f>
        <x:v>0</x:v>
      </x:c>
      <x:c r="N86" s="10" t="n">
        <x:f>L86-J86-M86</x:f>
        <x:v>45.9</x:v>
      </x:c>
      <x:c r="O86" s="10" t="n">
        <x:f>(G86-H86)*K86</x:f>
        <x:v>17</x:v>
      </x:c>
      <x:c r="P86" s="10" t="n">
        <x:f>N86-O86</x:f>
        <x:v>28.9</x:v>
      </x:c>
      <x:c r="Q86" s="9" t="n">
        <x:f>A86-WEEKDAY(A86,2)+1</x:f>
        <x:v>46258</x:v>
      </x:c>
      <x:c r="R86" s="2" t="str">
        <x:f>IF(AND(A86&gt;='Review'!$B$4,A86&lt;='Review'!$D$4),"Selected","Outside")</x:f>
        <x:v>Outside</x:v>
      </x:c>
    </x:row>
    <x:row r="87" ht="20" customHeight="1">
      <x:c r="A87" s="9" t="n">
        <x:v>46265</x:v>
      </x:c>
      <x:c r="B87" s="2" t="str">
        <x:v>MM-1069</x:v>
      </x:c>
      <x:c r="C87" s="2" t="str">
        <x:v>Paid Social</x:v>
      </x:c>
      <x:c r="D87" s="2" t="str">
        <x:v>HAT-001</x:v>
      </x:c>
      <x:c r="E87" s="2" t="str">
        <x:f>_xlfn.IFNA(VLOOKUP(D87,'Products'!$A$7:$I$22,2,FALSE),"Unmapped")</x:f>
        <x:v>Classic canvas cap</x:v>
      </x:c>
      <x:c r="F87" s="2" t="str">
        <x:f>_xlfn.IFNA(VLOOKUP(D87,'Products'!$A$7:$I$22,3,FALSE),"Unmapped")</x:f>
        <x:v>Accessories</x:v>
      </x:c>
      <x:c r="G87" s="2" t="n">
        <x:v>1</x:v>
      </x:c>
      <x:c r="H87" s="2" t="n">
        <x:v>0</x:v>
      </x:c>
      <x:c r="I87" s="10" t="n">
        <x:v>24.95</x:v>
      </x:c>
      <x:c r="J87" s="10" t="n">
        <x:v>0</x:v>
      </x:c>
      <x:c r="K87" s="10" t="n">
        <x:v>8.5</x:v>
      </x:c>
      <x:c r="L87" s="10" t="n">
        <x:f>G87*I87</x:f>
        <x:v>24.95</x:v>
      </x:c>
      <x:c r="M87" s="10" t="n">
        <x:f>ROUND((L87-J87)*H87/G87,2)</x:f>
        <x:v>0</x:v>
      </x:c>
      <x:c r="N87" s="10" t="n">
        <x:f>L87-J87-M87</x:f>
        <x:v>24.95</x:v>
      </x:c>
      <x:c r="O87" s="10" t="n">
        <x:f>(G87-H87)*K87</x:f>
        <x:v>8.5</x:v>
      </x:c>
      <x:c r="P87" s="10" t="n">
        <x:f>N87-O87</x:f>
        <x:v>16.45</x:v>
      </x:c>
      <x:c r="Q87" s="9" t="n">
        <x:f>A87-WEEKDAY(A87,2)+1</x:f>
        <x:v>46265</x:v>
      </x:c>
      <x:c r="R87" s="2" t="str">
        <x:f>IF(AND(A87&gt;='Review'!$B$4,A87&lt;='Review'!$D$4),"Selected","Outside")</x:f>
        <x:v>Outside</x:v>
      </x:c>
    </x:row>
    <x:row r="88" ht="20" customHeight="1">
      <x:c r="A88" s="9" t="n">
        <x:v>46265</x:v>
      </x:c>
      <x:c r="B88" s="2" t="str">
        <x:v>MM-1069</x:v>
      </x:c>
      <x:c r="C88" s="2" t="str">
        <x:v>Paid Social</x:v>
      </x:c>
      <x:c r="D88" s="2" t="str">
        <x:v>KEY-001</x:v>
      </x:c>
      <x:c r="E88" s="2" t="str">
        <x:f>_xlfn.IFNA(VLOOKUP(D88,'Products'!$A$7:$I$22,2,FALSE),"Unmapped")</x:f>
        <x:v>Maple keyring</x:v>
      </x:c>
      <x:c r="F88" s="2" t="str">
        <x:f>_xlfn.IFNA(VLOOKUP(D88,'Products'!$A$7:$I$22,3,FALSE),"Unmapped")</x:f>
        <x:v>Accessories</x:v>
      </x:c>
      <x:c r="G88" s="2" t="n">
        <x:v>1</x:v>
      </x:c>
      <x:c r="H88" s="2" t="n">
        <x:v>0</x:v>
      </x:c>
      <x:c r="I88" s="10" t="n">
        <x:v>12.95</x:v>
      </x:c>
      <x:c r="J88" s="10" t="n">
        <x:v>0</x:v>
      </x:c>
      <x:c r="K88" s="10" t="n">
        <x:v>3.5</x:v>
      </x:c>
      <x:c r="L88" s="10" t="n">
        <x:f>G88*I88</x:f>
        <x:v>12.95</x:v>
      </x:c>
      <x:c r="M88" s="10" t="n">
        <x:f>ROUND((L88-J88)*H88/G88,2)</x:f>
        <x:v>0</x:v>
      </x:c>
      <x:c r="N88" s="10" t="n">
        <x:f>L88-J88-M88</x:f>
        <x:v>12.95</x:v>
      </x:c>
      <x:c r="O88" s="10" t="n">
        <x:f>(G88-H88)*K88</x:f>
        <x:v>3.5</x:v>
      </x:c>
      <x:c r="P88" s="10" t="n">
        <x:f>N88-O88</x:f>
        <x:v>9.45</x:v>
      </x:c>
      <x:c r="Q88" s="9" t="n">
        <x:f>A88-WEEKDAY(A88,2)+1</x:f>
        <x:v>46265</x:v>
      </x:c>
      <x:c r="R88" s="2" t="str">
        <x:f>IF(AND(A88&gt;='Review'!$B$4,A88&lt;='Review'!$D$4),"Selected","Outside")</x:f>
        <x:v>Outside</x:v>
      </x:c>
    </x:row>
    <x:row r="89" ht="20" customHeight="1">
      <x:c r="A89" s="9" t="n">
        <x:v>46265</x:v>
      </x:c>
      <x:c r="B89" s="2" t="str">
        <x:v>MM-1067</x:v>
      </x:c>
      <x:c r="C89" s="2" t="str">
        <x:v>Paid Social</x:v>
      </x:c>
      <x:c r="D89" s="2" t="str">
        <x:v>HAT-001</x:v>
      </x:c>
      <x:c r="E89" s="2" t="str">
        <x:f>_xlfn.IFNA(VLOOKUP(D89,'Products'!$A$7:$I$22,2,FALSE),"Unmapped")</x:f>
        <x:v>Classic canvas cap</x:v>
      </x:c>
      <x:c r="F89" s="2" t="str">
        <x:f>_xlfn.IFNA(VLOOKUP(D89,'Products'!$A$7:$I$22,3,FALSE),"Unmapped")</x:f>
        <x:v>Accessories</x:v>
      </x:c>
      <x:c r="G89" s="2" t="n">
        <x:v>3</x:v>
      </x:c>
      <x:c r="H89" s="2" t="n">
        <x:v>0</x:v>
      </x:c>
      <x:c r="I89" s="10" t="n">
        <x:v>24.95</x:v>
      </x:c>
      <x:c r="J89" s="10" t="n">
        <x:v>0</x:v>
      </x:c>
      <x:c r="K89" s="10" t="n">
        <x:v>8.5</x:v>
      </x:c>
      <x:c r="L89" s="10" t="n">
        <x:f>G89*I89</x:f>
        <x:v>74.85</x:v>
      </x:c>
      <x:c r="M89" s="10" t="n">
        <x:f>ROUND((L89-J89)*H89/G89,2)</x:f>
        <x:v>0</x:v>
      </x:c>
      <x:c r="N89" s="10" t="n">
        <x:f>L89-J89-M89</x:f>
        <x:v>74.85</x:v>
      </x:c>
      <x:c r="O89" s="10" t="n">
        <x:f>(G89-H89)*K89</x:f>
        <x:v>25.5</x:v>
      </x:c>
      <x:c r="P89" s="10" t="n">
        <x:f>N89-O89</x:f>
        <x:v>49.349999999999994</x:v>
      </x:c>
      <x:c r="Q89" s="9" t="n">
        <x:f>A89-WEEKDAY(A89,2)+1</x:f>
        <x:v>46265</x:v>
      </x:c>
      <x:c r="R89" s="2" t="str">
        <x:f>IF(AND(A89&gt;='Review'!$B$4,A89&lt;='Review'!$D$4),"Selected","Outside")</x:f>
        <x:v>Outside</x:v>
      </x:c>
    </x:row>
    <x:row r="90" ht="20" customHeight="1">
      <x:c r="A90" s="9" t="n">
        <x:v>46265</x:v>
      </x:c>
      <x:c r="B90" s="2" t="str">
        <x:v>MM-1070</x:v>
      </x:c>
      <x:c r="C90" s="2" t="str">
        <x:v>Direct</x:v>
      </x:c>
      <x:c r="D90" s="2" t="str">
        <x:v>PIN-001</x:v>
      </x:c>
      <x:c r="E90" s="2" t="str">
        <x:f>_xlfn.IFNA(VLOOKUP(D90,'Products'!$A$7:$I$22,2,FALSE),"Unmapped")</x:f>
        <x:v>Coffee enamel pin</x:v>
      </x:c>
      <x:c r="F90" s="2" t="str">
        <x:f>_xlfn.IFNA(VLOOKUP(D90,'Products'!$A$7:$I$22,3,FALSE),"Unmapped")</x:f>
        <x:v>Accessories</x:v>
      </x:c>
      <x:c r="G90" s="2" t="n">
        <x:v>1</x:v>
      </x:c>
      <x:c r="H90" s="2" t="n">
        <x:v>0</x:v>
      </x:c>
      <x:c r="I90" s="10" t="n">
        <x:v>9.95</x:v>
      </x:c>
      <x:c r="J90" s="10" t="n">
        <x:v>0</x:v>
      </x:c>
      <x:c r="K90" s="10" t="n">
        <x:v>2.5</x:v>
      </x:c>
      <x:c r="L90" s="10" t="n">
        <x:f>G90*I90</x:f>
        <x:v>9.95</x:v>
      </x:c>
      <x:c r="M90" s="10" t="n">
        <x:f>ROUND((L90-J90)*H90/G90,2)</x:f>
        <x:v>0</x:v>
      </x:c>
      <x:c r="N90" s="10" t="n">
        <x:f>L90-J90-M90</x:f>
        <x:v>9.95</x:v>
      </x:c>
      <x:c r="O90" s="10" t="n">
        <x:f>(G90-H90)*K90</x:f>
        <x:v>2.5</x:v>
      </x:c>
      <x:c r="P90" s="10" t="n">
        <x:f>N90-O90</x:f>
        <x:v>7.449999999999999</x:v>
      </x:c>
      <x:c r="Q90" s="9" t="n">
        <x:f>A90-WEEKDAY(A90,2)+1</x:f>
        <x:v>46265</x:v>
      </x:c>
      <x:c r="R90" s="2" t="str">
        <x:f>IF(AND(A90&gt;='Review'!$B$4,A90&lt;='Review'!$D$4),"Selected","Outside")</x:f>
        <x:v>Outside</x:v>
      </x:c>
    </x:row>
    <x:row r="91" ht="20" customHeight="1">
      <x:c r="A91" s="9" t="n">
        <x:v>46265</x:v>
      </x:c>
      <x:c r="B91" s="2" t="str">
        <x:v>MM-1072</x:v>
      </x:c>
      <x:c r="C91" s="2" t="str">
        <x:v>Organic Search</x:v>
      </x:c>
      <x:c r="D91" s="2" t="str">
        <x:v>PIN-001</x:v>
      </x:c>
      <x:c r="E91" s="2" t="str">
        <x:f>_xlfn.IFNA(VLOOKUP(D91,'Products'!$A$7:$I$22,2,FALSE),"Unmapped")</x:f>
        <x:v>Coffee enamel pin</x:v>
      </x:c>
      <x:c r="F91" s="2" t="str">
        <x:f>_xlfn.IFNA(VLOOKUP(D91,'Products'!$A$7:$I$22,3,FALSE),"Unmapped")</x:f>
        <x:v>Accessories</x:v>
      </x:c>
      <x:c r="G91" s="2" t="n">
        <x:v>3</x:v>
      </x:c>
      <x:c r="H91" s="2" t="n">
        <x:v>0</x:v>
      </x:c>
      <x:c r="I91" s="10" t="n">
        <x:v>9.95</x:v>
      </x:c>
      <x:c r="J91" s="10" t="n">
        <x:v>0</x:v>
      </x:c>
      <x:c r="K91" s="10" t="n">
        <x:v>2.5</x:v>
      </x:c>
      <x:c r="L91" s="10" t="n">
        <x:f>G91*I91</x:f>
        <x:v>29.849999999999998</x:v>
      </x:c>
      <x:c r="M91" s="10" t="n">
        <x:f>ROUND((L91-J91)*H91/G91,2)</x:f>
        <x:v>0</x:v>
      </x:c>
      <x:c r="N91" s="10" t="n">
        <x:f>L91-J91-M91</x:f>
        <x:v>29.849999999999998</x:v>
      </x:c>
      <x:c r="O91" s="10" t="n">
        <x:f>(G91-H91)*K91</x:f>
        <x:v>7.5</x:v>
      </x:c>
      <x:c r="P91" s="10" t="n">
        <x:f>N91-O91</x:f>
        <x:v>22.349999999999998</x:v>
      </x:c>
      <x:c r="Q91" s="9" t="n">
        <x:f>A91-WEEKDAY(A91,2)+1</x:f>
        <x:v>46265</x:v>
      </x:c>
      <x:c r="R91" s="2" t="str">
        <x:f>IF(AND(A91&gt;='Review'!$B$4,A91&lt;='Review'!$D$4),"Selected","Outside")</x:f>
        <x:v>Outside</x:v>
      </x:c>
    </x:row>
    <x:row r="92" ht="20" customHeight="1">
      <x:c r="A92" s="9" t="n">
        <x:v>46265</x:v>
      </x:c>
      <x:c r="B92" s="2" t="str">
        <x:v>MM-1063</x:v>
      </x:c>
      <x:c r="C92" s="2" t="str">
        <x:v>Email</x:v>
      </x:c>
      <x:c r="D92" s="2" t="str">
        <x:v>APP-001</x:v>
      </x:c>
      <x:c r="E92" s="2" t="str">
        <x:f>_xlfn.IFNA(VLOOKUP(D92,'Products'!$A$7:$I$22,2,FALSE),"Unmapped")</x:f>
        <x:v>Everyday crewneck</x:v>
      </x:c>
      <x:c r="F92" s="2" t="str">
        <x:f>_xlfn.IFNA(VLOOKUP(D92,'Products'!$A$7:$I$22,3,FALSE),"Unmapped")</x:f>
        <x:v>Apparel</x:v>
      </x:c>
      <x:c r="G92" s="2" t="n">
        <x:v>1</x:v>
      </x:c>
      <x:c r="H92" s="2" t="n">
        <x:v>0</x:v>
      </x:c>
      <x:c r="I92" s="10" t="n">
        <x:v>54.95</x:v>
      </x:c>
      <x:c r="J92" s="10" t="n">
        <x:v>5.49</x:v>
      </x:c>
      <x:c r="K92" s="10" t="n">
        <x:v>22</x:v>
      </x:c>
      <x:c r="L92" s="10" t="n">
        <x:f>G92*I92</x:f>
        <x:v>54.95</x:v>
      </x:c>
      <x:c r="M92" s="10" t="n">
        <x:f>ROUND((L92-J92)*H92/G92,2)</x:f>
        <x:v>0</x:v>
      </x:c>
      <x:c r="N92" s="10" t="n">
        <x:f>L92-J92-M92</x:f>
        <x:v>49.46</x:v>
      </x:c>
      <x:c r="O92" s="10" t="n">
        <x:f>(G92-H92)*K92</x:f>
        <x:v>22</x:v>
      </x:c>
      <x:c r="P92" s="10" t="n">
        <x:f>N92-O92</x:f>
        <x:v>27.46</x:v>
      </x:c>
      <x:c r="Q92" s="9" t="n">
        <x:f>A92-WEEKDAY(A92,2)+1</x:f>
        <x:v>46265</x:v>
      </x:c>
      <x:c r="R92" s="2" t="str">
        <x:f>IF(AND(A92&gt;='Review'!$B$4,A92&lt;='Review'!$D$4),"Selected","Outside")</x:f>
        <x:v>Outside</x:v>
      </x:c>
    </x:row>
    <x:row r="93" ht="20" customHeight="1">
      <x:c r="A93" s="9" t="n">
        <x:v>46265</x:v>
      </x:c>
      <x:c r="B93" s="2" t="str">
        <x:v>MM-1077</x:v>
      </x:c>
      <x:c r="C93" s="2" t="str">
        <x:v>Direct</x:v>
      </x:c>
      <x:c r="D93" s="2" t="str">
        <x:v>GFT-001</x:v>
      </x:c>
      <x:c r="E93" s="2" t="str">
        <x:f>_xlfn.IFNA(VLOOKUP(D93,'Products'!$A$7:$I$22,2,FALSE),"Unmapped")</x:f>
        <x:v>Morning ritual gift set</x:v>
      </x:c>
      <x:c r="F93" s="2" t="str">
        <x:f>_xlfn.IFNA(VLOOKUP(D93,'Products'!$A$7:$I$22,3,FALSE),"Unmapped")</x:f>
        <x:v>Gifts</x:v>
      </x:c>
      <x:c r="G93" s="2" t="n">
        <x:v>1</x:v>
      </x:c>
      <x:c r="H93" s="2" t="n">
        <x:v>0</x:v>
      </x:c>
      <x:c r="I93" s="10" t="n">
        <x:v>59.95</x:v>
      </x:c>
      <x:c r="J93" s="10" t="n">
        <x:v>0</x:v>
      </x:c>
      <x:c r="K93" s="10" t="n">
        <x:v>24</x:v>
      </x:c>
      <x:c r="L93" s="10" t="n">
        <x:f>G93*I93</x:f>
        <x:v>59.95</x:v>
      </x:c>
      <x:c r="M93" s="10" t="n">
        <x:f>ROUND((L93-J93)*H93/G93,2)</x:f>
        <x:v>0</x:v>
      </x:c>
      <x:c r="N93" s="10" t="n">
        <x:f>L93-J93-M93</x:f>
        <x:v>59.95</x:v>
      </x:c>
      <x:c r="O93" s="10" t="n">
        <x:f>(G93-H93)*K93</x:f>
        <x:v>24</x:v>
      </x:c>
      <x:c r="P93" s="10" t="n">
        <x:f>N93-O93</x:f>
        <x:v>35.95</x:v>
      </x:c>
      <x:c r="Q93" s="9" t="n">
        <x:f>A93-WEEKDAY(A93,2)+1</x:f>
        <x:v>46265</x:v>
      </x:c>
      <x:c r="R93" s="2" t="str">
        <x:f>IF(AND(A93&gt;='Review'!$B$4,A93&lt;='Review'!$D$4),"Selected","Outside")</x:f>
        <x:v>Outside</x:v>
      </x:c>
    </x:row>
    <x:row r="94" ht="20" customHeight="1">
      <x:c r="A94" s="9" t="n">
        <x:v>46265</x:v>
      </x:c>
      <x:c r="B94" s="2" t="str">
        <x:v>MM-1058</x:v>
      </x:c>
      <x:c r="C94" s="2" t="str">
        <x:v>Organic Search</x:v>
      </x:c>
      <x:c r="D94" s="2" t="str">
        <x:v>MUG-001</x:v>
      </x:c>
      <x:c r="E94" s="2" t="str">
        <x:f>_xlfn.IFNA(VLOOKUP(D94,'Products'!$A$7:$I$22,2,FALSE),"Unmapped")</x:f>
        <x:v>Everyday ceramic mug</x:v>
      </x:c>
      <x:c r="F94" s="2" t="str">
        <x:f>_xlfn.IFNA(VLOOKUP(D94,'Products'!$A$7:$I$22,3,FALSE),"Unmapped")</x:f>
        <x:v>Drinkware</x:v>
      </x:c>
      <x:c r="G94" s="2" t="n">
        <x:v>1</x:v>
      </x:c>
      <x:c r="H94" s="2" t="n">
        <x:v>0</x:v>
      </x:c>
      <x:c r="I94" s="10" t="n">
        <x:v>18.95</x:v>
      </x:c>
      <x:c r="J94" s="10" t="n">
        <x:v>0</x:v>
      </x:c>
      <x:c r="K94" s="10" t="n">
        <x:v>6.5</x:v>
      </x:c>
      <x:c r="L94" s="10" t="n">
        <x:f>G94*I94</x:f>
        <x:v>18.95</x:v>
      </x:c>
      <x:c r="M94" s="10" t="n">
        <x:f>ROUND((L94-J94)*H94/G94,2)</x:f>
        <x:v>0</x:v>
      </x:c>
      <x:c r="N94" s="10" t="n">
        <x:f>L94-J94-M94</x:f>
        <x:v>18.95</x:v>
      </x:c>
      <x:c r="O94" s="10" t="n">
        <x:f>(G94-H94)*K94</x:f>
        <x:v>6.5</x:v>
      </x:c>
      <x:c r="P94" s="10" t="n">
        <x:f>N94-O94</x:f>
        <x:v>12.45</x:v>
      </x:c>
      <x:c r="Q94" s="9" t="n">
        <x:f>A94-WEEKDAY(A94,2)+1</x:f>
        <x:v>46265</x:v>
      </x:c>
      <x:c r="R94" s="2" t="str">
        <x:f>IF(AND(A94&gt;='Review'!$B$4,A94&lt;='Review'!$D$4),"Selected","Outside")</x:f>
        <x:v>Outside</x:v>
      </x:c>
    </x:row>
    <x:row r="95" ht="20" customHeight="1">
      <x:c r="A95" s="9" t="n">
        <x:v>46265</x:v>
      </x:c>
      <x:c r="B95" s="2" t="str">
        <x:v>MM-1058</x:v>
      </x:c>
      <x:c r="C95" s="2" t="str">
        <x:v>Organic Search</x:v>
      </x:c>
      <x:c r="D95" s="2" t="str">
        <x:v>BOT-001</x:v>
      </x:c>
      <x:c r="E95" s="2" t="str">
        <x:f>_xlfn.IFNA(VLOOKUP(D95,'Products'!$A$7:$I$22,2,FALSE),"Unmapped")</x:f>
        <x:v>Trail water bottle</x:v>
      </x:c>
      <x:c r="F95" s="2" t="str">
        <x:f>_xlfn.IFNA(VLOOKUP(D95,'Products'!$A$7:$I$22,3,FALSE),"Unmapped")</x:f>
        <x:v>Drinkware</x:v>
      </x:c>
      <x:c r="G95" s="2" t="n">
        <x:v>1</x:v>
      </x:c>
      <x:c r="H95" s="2" t="n">
        <x:v>0</x:v>
      </x:c>
      <x:c r="I95" s="10" t="n">
        <x:v>34.95</x:v>
      </x:c>
      <x:c r="J95" s="10" t="n">
        <x:v>0</x:v>
      </x:c>
      <x:c r="K95" s="10" t="n">
        <x:v>13.5</x:v>
      </x:c>
      <x:c r="L95" s="10" t="n">
        <x:f>G95*I95</x:f>
        <x:v>34.95</x:v>
      </x:c>
      <x:c r="M95" s="10" t="n">
        <x:f>ROUND((L95-J95)*H95/G95,2)</x:f>
        <x:v>0</x:v>
      </x:c>
      <x:c r="N95" s="10" t="n">
        <x:f>L95-J95-M95</x:f>
        <x:v>34.95</x:v>
      </x:c>
      <x:c r="O95" s="10" t="n">
        <x:f>(G95-H95)*K95</x:f>
        <x:v>13.5</x:v>
      </x:c>
      <x:c r="P95" s="10" t="n">
        <x:f>N95-O95</x:f>
        <x:v>21.450000000000003</x:v>
      </x:c>
      <x:c r="Q95" s="9" t="n">
        <x:f>A95-WEEKDAY(A95,2)+1</x:f>
        <x:v>46265</x:v>
      </x:c>
      <x:c r="R95" s="2" t="str">
        <x:f>IF(AND(A95&gt;='Review'!$B$4,A95&lt;='Review'!$D$4),"Selected","Outside")</x:f>
        <x:v>Outside</x:v>
      </x:c>
    </x:row>
    <x:row r="96" ht="20" customHeight="1">
      <x:c r="A96" s="9" t="n">
        <x:v>46265</x:v>
      </x:c>
      <x:c r="B96" s="2" t="str">
        <x:v>MM-1059</x:v>
      </x:c>
      <x:c r="C96" s="2" t="str">
        <x:v>Email</x:v>
      </x:c>
      <x:c r="D96" s="2" t="str">
        <x:v>TOTE-001</x:v>
      </x:c>
      <x:c r="E96" s="2" t="str">
        <x:f>_xlfn.IFNA(VLOOKUP(D96,'Products'!$A$7:$I$22,2,FALSE),"Unmapped")</x:f>
        <x:v>Market canvas tote</x:v>
      </x:c>
      <x:c r="F96" s="2" t="str">
        <x:f>_xlfn.IFNA(VLOOKUP(D96,'Products'!$A$7:$I$22,3,FALSE),"Unmapped")</x:f>
        <x:v>Accessories</x:v>
      </x:c>
      <x:c r="G96" s="2" t="n">
        <x:v>1</x:v>
      </x:c>
      <x:c r="H96" s="2" t="n">
        <x:v>0</x:v>
      </x:c>
      <x:c r="I96" s="10" t="n">
        <x:v>19.95</x:v>
      </x:c>
      <x:c r="J96" s="10" t="n">
        <x:v>1.99</x:v>
      </x:c>
      <x:c r="K96" s="10" t="n">
        <x:v>6</x:v>
      </x:c>
      <x:c r="L96" s="10" t="n">
        <x:f>G96*I96</x:f>
        <x:v>19.95</x:v>
      </x:c>
      <x:c r="M96" s="10" t="n">
        <x:f>ROUND((L96-J96)*H96/G96,2)</x:f>
        <x:v>0</x:v>
      </x:c>
      <x:c r="N96" s="10" t="n">
        <x:f>L96-J96-M96</x:f>
        <x:v>17.96</x:v>
      </x:c>
      <x:c r="O96" s="10" t="n">
        <x:f>(G96-H96)*K96</x:f>
        <x:v>6</x:v>
      </x:c>
      <x:c r="P96" s="10" t="n">
        <x:f>N96-O96</x:f>
        <x:v>11.96</x:v>
      </x:c>
      <x:c r="Q96" s="9" t="n">
        <x:f>A96-WEEKDAY(A96,2)+1</x:f>
        <x:v>46265</x:v>
      </x:c>
      <x:c r="R96" s="2" t="str">
        <x:f>IF(AND(A96&gt;='Review'!$B$4,A96&lt;='Review'!$D$4),"Selected","Outside")</x:f>
        <x:v>Outside</x:v>
      </x:c>
    </x:row>
    <x:row r="97" ht="20" customHeight="1">
      <x:c r="A97" s="9" t="n">
        <x:v>46265</x:v>
      </x:c>
      <x:c r="B97" s="2" t="str">
        <x:v>MM-1059</x:v>
      </x:c>
      <x:c r="C97" s="2" t="str">
        <x:v>Email</x:v>
      </x:c>
      <x:c r="D97" s="2" t="str">
        <x:v>MUG-002</x:v>
      </x:c>
      <x:c r="E97" s="2" t="str">
        <x:f>_xlfn.IFNA(VLOOKUP(D97,'Products'!$A$7:$I$22,2,FALSE),"Unmapped")</x:f>
        <x:v>Campfire enamel mug</x:v>
      </x:c>
      <x:c r="F97" s="2" t="str">
        <x:f>_xlfn.IFNA(VLOOKUP(D97,'Products'!$A$7:$I$22,3,FALSE),"Unmapped")</x:f>
        <x:v>Drinkware</x:v>
      </x:c>
      <x:c r="G97" s="2" t="n">
        <x:v>1</x:v>
      </x:c>
      <x:c r="H97" s="2" t="n">
        <x:v>0</x:v>
      </x:c>
      <x:c r="I97" s="10" t="n">
        <x:v>22.95</x:v>
      </x:c>
      <x:c r="J97" s="10" t="n">
        <x:v>2.29</x:v>
      </x:c>
      <x:c r="K97" s="10" t="n">
        <x:v>8.5</x:v>
      </x:c>
      <x:c r="L97" s="10" t="n">
        <x:f>G97*I97</x:f>
        <x:v>22.95</x:v>
      </x:c>
      <x:c r="M97" s="10" t="n">
        <x:f>ROUND((L97-J97)*H97/G97,2)</x:f>
        <x:v>0</x:v>
      </x:c>
      <x:c r="N97" s="10" t="n">
        <x:f>L97-J97-M97</x:f>
        <x:v>20.66</x:v>
      </x:c>
      <x:c r="O97" s="10" t="n">
        <x:f>(G97-H97)*K97</x:f>
        <x:v>8.5</x:v>
      </x:c>
      <x:c r="P97" s="10" t="n">
        <x:f>N97-O97</x:f>
        <x:v>12.16</x:v>
      </x:c>
      <x:c r="Q97" s="9" t="n">
        <x:f>A97-WEEKDAY(A97,2)+1</x:f>
        <x:v>46265</x:v>
      </x:c>
      <x:c r="R97" s="2" t="str">
        <x:f>IF(AND(A97&gt;='Review'!$B$4,A97&lt;='Review'!$D$4),"Selected","Outside")</x:f>
        <x:v>Outside</x:v>
      </x:c>
    </x:row>
    <x:row r="98" ht="20" customHeight="1">
      <x:c r="A98" s="9" t="n">
        <x:v>46265</x:v>
      </x:c>
      <x:c r="B98" s="2" t="str">
        <x:v>MM-1059</x:v>
      </x:c>
      <x:c r="C98" s="2" t="str">
        <x:v>Email</x:v>
      </x:c>
      <x:c r="D98" s="2" t="str">
        <x:v>KEY-001</x:v>
      </x:c>
      <x:c r="E98" s="2" t="str">
        <x:f>_xlfn.IFNA(VLOOKUP(D98,'Products'!$A$7:$I$22,2,FALSE),"Unmapped")</x:f>
        <x:v>Maple keyring</x:v>
      </x:c>
      <x:c r="F98" s="2" t="str">
        <x:f>_xlfn.IFNA(VLOOKUP(D98,'Products'!$A$7:$I$22,3,FALSE),"Unmapped")</x:f>
        <x:v>Accessories</x:v>
      </x:c>
      <x:c r="G98" s="2" t="n">
        <x:v>1</x:v>
      </x:c>
      <x:c r="H98" s="2" t="n">
        <x:v>0</x:v>
      </x:c>
      <x:c r="I98" s="10" t="n">
        <x:v>12.95</x:v>
      </x:c>
      <x:c r="J98" s="10" t="n">
        <x:v>1.29</x:v>
      </x:c>
      <x:c r="K98" s="10" t="n">
        <x:v>3.5</x:v>
      </x:c>
      <x:c r="L98" s="10" t="n">
        <x:f>G98*I98</x:f>
        <x:v>12.95</x:v>
      </x:c>
      <x:c r="M98" s="10" t="n">
        <x:f>ROUND((L98-J98)*H98/G98,2)</x:f>
        <x:v>0</x:v>
      </x:c>
      <x:c r="N98" s="10" t="n">
        <x:f>L98-J98-M98</x:f>
        <x:v>11.66</x:v>
      </x:c>
      <x:c r="O98" s="10" t="n">
        <x:f>(G98-H98)*K98</x:f>
        <x:v>3.5</x:v>
      </x:c>
      <x:c r="P98" s="10" t="n">
        <x:f>N98-O98</x:f>
        <x:v>8.16</x:v>
      </x:c>
      <x:c r="Q98" s="9" t="n">
        <x:f>A98-WEEKDAY(A98,2)+1</x:f>
        <x:v>46265</x:v>
      </x:c>
      <x:c r="R98" s="2" t="str">
        <x:f>IF(AND(A98&gt;='Review'!$B$4,A98&lt;='Review'!$D$4),"Selected","Outside")</x:f>
        <x:v>Outside</x:v>
      </x:c>
    </x:row>
    <x:row r="99" ht="20" customHeight="1">
      <x:c r="A99" s="9" t="n">
        <x:v>46265</x:v>
      </x:c>
      <x:c r="B99" s="2" t="str">
        <x:v>MM-1080</x:v>
      </x:c>
      <x:c r="C99" s="2" t="str">
        <x:v>Organic Search</x:v>
      </x:c>
      <x:c r="D99" s="2" t="str">
        <x:v>HAT-001</x:v>
      </x:c>
      <x:c r="E99" s="2" t="str">
        <x:f>_xlfn.IFNA(VLOOKUP(D99,'Products'!$A$7:$I$22,2,FALSE),"Unmapped")</x:f>
        <x:v>Classic canvas cap</x:v>
      </x:c>
      <x:c r="F99" s="2" t="str">
        <x:f>_xlfn.IFNA(VLOOKUP(D99,'Products'!$A$7:$I$22,3,FALSE),"Unmapped")</x:f>
        <x:v>Accessories</x:v>
      </x:c>
      <x:c r="G99" s="2" t="n">
        <x:v>2</x:v>
      </x:c>
      <x:c r="H99" s="2" t="n">
        <x:v>0</x:v>
      </x:c>
      <x:c r="I99" s="10" t="n">
        <x:v>24.95</x:v>
      </x:c>
      <x:c r="J99" s="10" t="n">
        <x:v>0</x:v>
      </x:c>
      <x:c r="K99" s="10" t="n">
        <x:v>8.5</x:v>
      </x:c>
      <x:c r="L99" s="10" t="n">
        <x:f>G99*I99</x:f>
        <x:v>49.9</x:v>
      </x:c>
      <x:c r="M99" s="10" t="n">
        <x:f>ROUND((L99-J99)*H99/G99,2)</x:f>
        <x:v>0</x:v>
      </x:c>
      <x:c r="N99" s="10" t="n">
        <x:f>L99-J99-M99</x:f>
        <x:v>49.9</x:v>
      </x:c>
      <x:c r="O99" s="10" t="n">
        <x:f>(G99-H99)*K99</x:f>
        <x:v>17</x:v>
      </x:c>
      <x:c r="P99" s="10" t="n">
        <x:f>N99-O99</x:f>
        <x:v>32.9</x:v>
      </x:c>
      <x:c r="Q99" s="9" t="n">
        <x:f>A99-WEEKDAY(A99,2)+1</x:f>
        <x:v>46265</x:v>
      </x:c>
      <x:c r="R99" s="2" t="str">
        <x:f>IF(AND(A99&gt;='Review'!$B$4,A99&lt;='Review'!$D$4),"Selected","Outside")</x:f>
        <x:v>Outside</x:v>
      </x:c>
    </x:row>
    <x:row r="100" ht="20" customHeight="1">
      <x:c r="A100" s="9" t="n">
        <x:v>46265</x:v>
      </x:c>
      <x:c r="B100" s="2" t="str">
        <x:v>MM-1079</x:v>
      </x:c>
      <x:c r="C100" s="2" t="str">
        <x:v>Email</x:v>
      </x:c>
      <x:c r="D100" s="2" t="str">
        <x:v>GFT-002</x:v>
      </x:c>
      <x:c r="E100" s="2" t="str">
        <x:f>_xlfn.IFNA(VLOOKUP(D100,'Products'!$A$7:$I$22,2,FALSE),"Unmapped")</x:f>
        <x:v>Cozy weekend gift box</x:v>
      </x:c>
      <x:c r="F100" s="2" t="str">
        <x:f>_xlfn.IFNA(VLOOKUP(D100,'Products'!$A$7:$I$22,3,FALSE),"Unmapped")</x:f>
        <x:v>Gifts</x:v>
      </x:c>
      <x:c r="G100" s="2" t="n">
        <x:v>1</x:v>
      </x:c>
      <x:c r="H100" s="2" t="n">
        <x:v>0</x:v>
      </x:c>
      <x:c r="I100" s="10" t="n">
        <x:v>79.95</x:v>
      </x:c>
      <x:c r="J100" s="10" t="n">
        <x:v>7.99</x:v>
      </x:c>
      <x:c r="K100" s="10" t="n">
        <x:v>32</x:v>
      </x:c>
      <x:c r="L100" s="10" t="n">
        <x:f>G100*I100</x:f>
        <x:v>79.95</x:v>
      </x:c>
      <x:c r="M100" s="10" t="n">
        <x:f>ROUND((L100-J100)*H100/G100,2)</x:f>
        <x:v>0</x:v>
      </x:c>
      <x:c r="N100" s="10" t="n">
        <x:f>L100-J100-M100</x:f>
        <x:v>71.96000000000001</x:v>
      </x:c>
      <x:c r="O100" s="10" t="n">
        <x:f>(G100-H100)*K100</x:f>
        <x:v>32</x:v>
      </x:c>
      <x:c r="P100" s="10" t="n">
        <x:f>N100-O100</x:f>
        <x:v>39.96000000000001</x:v>
      </x:c>
      <x:c r="Q100" s="9" t="n">
        <x:f>A100-WEEKDAY(A100,2)+1</x:f>
        <x:v>46265</x:v>
      </x:c>
      <x:c r="R100" s="2" t="str">
        <x:f>IF(AND(A100&gt;='Review'!$B$4,A100&lt;='Review'!$D$4),"Selected","Outside")</x:f>
        <x:v>Outside</x:v>
      </x:c>
    </x:row>
    <x:row r="101" ht="20" customHeight="1">
      <x:c r="A101" s="9" t="n">
        <x:v>46265</x:v>
      </x:c>
      <x:c r="B101" s="2" t="str">
        <x:v>MM-1079</x:v>
      </x:c>
      <x:c r="C101" s="2" t="str">
        <x:v>Email</x:v>
      </x:c>
      <x:c r="D101" s="2" t="str">
        <x:v>MUG-001</x:v>
      </x:c>
      <x:c r="E101" s="2" t="str">
        <x:f>_xlfn.IFNA(VLOOKUP(D101,'Products'!$A$7:$I$22,2,FALSE),"Unmapped")</x:f>
        <x:v>Everyday ceramic mug</x:v>
      </x:c>
      <x:c r="F101" s="2" t="str">
        <x:f>_xlfn.IFNA(VLOOKUP(D101,'Products'!$A$7:$I$22,3,FALSE),"Unmapped")</x:f>
        <x:v>Drinkware</x:v>
      </x:c>
      <x:c r="G101" s="2" t="n">
        <x:v>1</x:v>
      </x:c>
      <x:c r="H101" s="2" t="n">
        <x:v>0</x:v>
      </x:c>
      <x:c r="I101" s="10" t="n">
        <x:v>18.95</x:v>
      </x:c>
      <x:c r="J101" s="10" t="n">
        <x:v>1.89</x:v>
      </x:c>
      <x:c r="K101" s="10" t="n">
        <x:v>6.5</x:v>
      </x:c>
      <x:c r="L101" s="10" t="n">
        <x:f>G101*I101</x:f>
        <x:v>18.95</x:v>
      </x:c>
      <x:c r="M101" s="10" t="n">
        <x:f>ROUND((L101-J101)*H101/G101,2)</x:f>
        <x:v>0</x:v>
      </x:c>
      <x:c r="N101" s="10" t="n">
        <x:f>L101-J101-M101</x:f>
        <x:v>17.06</x:v>
      </x:c>
      <x:c r="O101" s="10" t="n">
        <x:f>(G101-H101)*K101</x:f>
        <x:v>6.5</x:v>
      </x:c>
      <x:c r="P101" s="10" t="n">
        <x:f>N101-O101</x:f>
        <x:v>10.559999999999999</x:v>
      </x:c>
      <x:c r="Q101" s="9" t="n">
        <x:f>A101-WEEKDAY(A101,2)+1</x:f>
        <x:v>46265</x:v>
      </x:c>
      <x:c r="R101" s="2" t="str">
        <x:f>IF(AND(A101&gt;='Review'!$B$4,A101&lt;='Review'!$D$4),"Selected","Outside")</x:f>
        <x:v>Outside</x:v>
      </x:c>
    </x:row>
    <x:row r="102" ht="20" customHeight="1">
      <x:c r="A102" s="9" t="n">
        <x:v>46265</x:v>
      </x:c>
      <x:c r="B102" s="2" t="str">
        <x:v>MM-1062</x:v>
      </x:c>
      <x:c r="C102" s="2" t="str">
        <x:v>Direct</x:v>
      </x:c>
      <x:c r="D102" s="2" t="str">
        <x:v>APP-002</x:v>
      </x:c>
      <x:c r="E102" s="2" t="str">
        <x:f>_xlfn.IFNA(VLOOKUP(D102,'Products'!$A$7:$I$22,2,FALSE),"Unmapped")</x:f>
        <x:v>Weekend hoodie</x:v>
      </x:c>
      <x:c r="F102" s="2" t="str">
        <x:f>_xlfn.IFNA(VLOOKUP(D102,'Products'!$A$7:$I$22,3,FALSE),"Unmapped")</x:f>
        <x:v>Apparel</x:v>
      </x:c>
      <x:c r="G102" s="2" t="n">
        <x:v>2</x:v>
      </x:c>
      <x:c r="H102" s="2" t="n">
        <x:v>0</x:v>
      </x:c>
      <x:c r="I102" s="10" t="n">
        <x:v>69.95</x:v>
      </x:c>
      <x:c r="J102" s="10" t="n">
        <x:v>0</x:v>
      </x:c>
      <x:c r="K102" s="10" t="n">
        <x:v>28</x:v>
      </x:c>
      <x:c r="L102" s="10" t="n">
        <x:f>G102*I102</x:f>
        <x:v>139.9</x:v>
      </x:c>
      <x:c r="M102" s="10" t="n">
        <x:f>ROUND((L102-J102)*H102/G102,2)</x:f>
        <x:v>0</x:v>
      </x:c>
      <x:c r="N102" s="10" t="n">
        <x:f>L102-J102-M102</x:f>
        <x:v>139.9</x:v>
      </x:c>
      <x:c r="O102" s="10" t="n">
        <x:f>(G102-H102)*K102</x:f>
        <x:v>56</x:v>
      </x:c>
      <x:c r="P102" s="10" t="n">
        <x:f>N102-O102</x:f>
        <x:v>83.9</x:v>
      </x:c>
      <x:c r="Q102" s="9" t="n">
        <x:f>A102-WEEKDAY(A102,2)+1</x:f>
        <x:v>46265</x:v>
      </x:c>
      <x:c r="R102" s="2" t="str">
        <x:f>IF(AND(A102&gt;='Review'!$B$4,A102&lt;='Review'!$D$4),"Selected","Outside")</x:f>
        <x:v>Outside</x:v>
      </x:c>
    </x:row>
    <x:row r="103" ht="20" customHeight="1">
      <x:c r="A103" s="9" t="n">
        <x:v>46265</x:v>
      </x:c>
      <x:c r="B103" s="2" t="str">
        <x:v>MM-1068</x:v>
      </x:c>
      <x:c r="C103" s="2" t="str">
        <x:v>Paid Social</x:v>
      </x:c>
      <x:c r="D103" s="2" t="str">
        <x:v>GFT-001</x:v>
      </x:c>
      <x:c r="E103" s="2" t="str">
        <x:f>_xlfn.IFNA(VLOOKUP(D103,'Products'!$A$7:$I$22,2,FALSE),"Unmapped")</x:f>
        <x:v>Morning ritual gift set</x:v>
      </x:c>
      <x:c r="F103" s="2" t="str">
        <x:f>_xlfn.IFNA(VLOOKUP(D103,'Products'!$A$7:$I$22,3,FALSE),"Unmapped")</x:f>
        <x:v>Gifts</x:v>
      </x:c>
      <x:c r="G103" s="2" t="n">
        <x:v>1</x:v>
      </x:c>
      <x:c r="H103" s="2" t="n">
        <x:v>0</x:v>
      </x:c>
      <x:c r="I103" s="10" t="n">
        <x:v>59.95</x:v>
      </x:c>
      <x:c r="J103" s="10" t="n">
        <x:v>0</x:v>
      </x:c>
      <x:c r="K103" s="10" t="n">
        <x:v>24</x:v>
      </x:c>
      <x:c r="L103" s="10" t="n">
        <x:f>G103*I103</x:f>
        <x:v>59.95</x:v>
      </x:c>
      <x:c r="M103" s="10" t="n">
        <x:f>ROUND((L103-J103)*H103/G103,2)</x:f>
        <x:v>0</x:v>
      </x:c>
      <x:c r="N103" s="10" t="n">
        <x:f>L103-J103-M103</x:f>
        <x:v>59.95</x:v>
      </x:c>
      <x:c r="O103" s="10" t="n">
        <x:f>(G103-H103)*K103</x:f>
        <x:v>24</x:v>
      </x:c>
      <x:c r="P103" s="10" t="n">
        <x:f>N103-O103</x:f>
        <x:v>35.95</x:v>
      </x:c>
      <x:c r="Q103" s="9" t="n">
        <x:f>A103-WEEKDAY(A103,2)+1</x:f>
        <x:v>46265</x:v>
      </x:c>
      <x:c r="R103" s="2" t="str">
        <x:f>IF(AND(A103&gt;='Review'!$B$4,A103&lt;='Review'!$D$4),"Selected","Outside")</x:f>
        <x:v>Outside</x:v>
      </x:c>
    </x:row>
    <x:row r="104" ht="20" customHeight="1">
      <x:c r="A104" s="9" t="n">
        <x:v>46265</x:v>
      </x:c>
      <x:c r="B104" s="2" t="str">
        <x:v>MM-1065</x:v>
      </x:c>
      <x:c r="C104" s="2" t="str">
        <x:v>Organic Search</x:v>
      </x:c>
      <x:c r="D104" s="2" t="str">
        <x:v>MUG-001</x:v>
      </x:c>
      <x:c r="E104" s="2" t="str">
        <x:f>_xlfn.IFNA(VLOOKUP(D104,'Products'!$A$7:$I$22,2,FALSE),"Unmapped")</x:f>
        <x:v>Everyday ceramic mug</x:v>
      </x:c>
      <x:c r="F104" s="2" t="str">
        <x:f>_xlfn.IFNA(VLOOKUP(D104,'Products'!$A$7:$I$22,3,FALSE),"Unmapped")</x:f>
        <x:v>Drinkware</x:v>
      </x:c>
      <x:c r="G104" s="2" t="n">
        <x:v>2</x:v>
      </x:c>
      <x:c r="H104" s="2" t="n">
        <x:v>0</x:v>
      </x:c>
      <x:c r="I104" s="10" t="n">
        <x:v>18.95</x:v>
      </x:c>
      <x:c r="J104" s="10" t="n">
        <x:v>0</x:v>
      </x:c>
      <x:c r="K104" s="10" t="n">
        <x:v>6.5</x:v>
      </x:c>
      <x:c r="L104" s="10" t="n">
        <x:f>G104*I104</x:f>
        <x:v>37.9</x:v>
      </x:c>
      <x:c r="M104" s="10" t="n">
        <x:f>ROUND((L104-J104)*H104/G104,2)</x:f>
        <x:v>0</x:v>
      </x:c>
      <x:c r="N104" s="10" t="n">
        <x:f>L104-J104-M104</x:f>
        <x:v>37.9</x:v>
      </x:c>
      <x:c r="O104" s="10" t="n">
        <x:f>(G104-H104)*K104</x:f>
        <x:v>13</x:v>
      </x:c>
      <x:c r="P104" s="10" t="n">
        <x:f>N104-O104</x:f>
        <x:v>24.9</x:v>
      </x:c>
      <x:c r="Q104" s="9" t="n">
        <x:f>A104-WEEKDAY(A104,2)+1</x:f>
        <x:v>46265</x:v>
      </x:c>
      <x:c r="R104" s="2" t="str">
        <x:f>IF(AND(A104&gt;='Review'!$B$4,A104&lt;='Review'!$D$4),"Selected","Outside")</x:f>
        <x:v>Outside</x:v>
      </x:c>
    </x:row>
    <x:row r="105" ht="20" customHeight="1">
      <x:c r="A105" s="9" t="n">
        <x:v>46265</x:v>
      </x:c>
      <x:c r="B105" s="2" t="str">
        <x:v>MM-1076</x:v>
      </x:c>
      <x:c r="C105" s="2" t="str">
        <x:v>Email</x:v>
      </x:c>
      <x:c r="D105" s="2" t="str">
        <x:v>GFT-001</x:v>
      </x:c>
      <x:c r="E105" s="2" t="str">
        <x:f>_xlfn.IFNA(VLOOKUP(D105,'Products'!$A$7:$I$22,2,FALSE),"Unmapped")</x:f>
        <x:v>Morning ritual gift set</x:v>
      </x:c>
      <x:c r="F105" s="2" t="str">
        <x:f>_xlfn.IFNA(VLOOKUP(D105,'Products'!$A$7:$I$22,3,FALSE),"Unmapped")</x:f>
        <x:v>Gifts</x:v>
      </x:c>
      <x:c r="G105" s="2" t="n">
        <x:v>2</x:v>
      </x:c>
      <x:c r="H105" s="2" t="n">
        <x:v>0</x:v>
      </x:c>
      <x:c r="I105" s="10" t="n">
        <x:v>59.95</x:v>
      </x:c>
      <x:c r="J105" s="10" t="n">
        <x:v>11.99</x:v>
      </x:c>
      <x:c r="K105" s="10" t="n">
        <x:v>24</x:v>
      </x:c>
      <x:c r="L105" s="10" t="n">
        <x:f>G105*I105</x:f>
        <x:v>119.9</x:v>
      </x:c>
      <x:c r="M105" s="10" t="n">
        <x:f>ROUND((L105-J105)*H105/G105,2)</x:f>
        <x:v>0</x:v>
      </x:c>
      <x:c r="N105" s="10" t="n">
        <x:f>L105-J105-M105</x:f>
        <x:v>107.91000000000001</x:v>
      </x:c>
      <x:c r="O105" s="10" t="n">
        <x:f>(G105-H105)*K105</x:f>
        <x:v>48</x:v>
      </x:c>
      <x:c r="P105" s="10" t="n">
        <x:f>N105-O105</x:f>
        <x:v>59.91000000000001</x:v>
      </x:c>
      <x:c r="Q105" s="9" t="n">
        <x:f>A105-WEEKDAY(A105,2)+1</x:f>
        <x:v>46265</x:v>
      </x:c>
      <x:c r="R105" s="2" t="str">
        <x:f>IF(AND(A105&gt;='Review'!$B$4,A105&lt;='Review'!$D$4),"Selected","Outside")</x:f>
        <x:v>Outside</x:v>
      </x:c>
    </x:row>
    <x:row r="106" ht="20" customHeight="1">
      <x:c r="A106" s="9" t="n">
        <x:v>46265</x:v>
      </x:c>
      <x:c r="B106" s="2" t="str">
        <x:v>MM-1074</x:v>
      </x:c>
      <x:c r="C106" s="2" t="str">
        <x:v>Organic Search</x:v>
      </x:c>
      <x:c r="D106" s="2" t="str">
        <x:v>PIN-001</x:v>
      </x:c>
      <x:c r="E106" s="2" t="str">
        <x:f>_xlfn.IFNA(VLOOKUP(D106,'Products'!$A$7:$I$22,2,FALSE),"Unmapped")</x:f>
        <x:v>Coffee enamel pin</x:v>
      </x:c>
      <x:c r="F106" s="2" t="str">
        <x:f>_xlfn.IFNA(VLOOKUP(D106,'Products'!$A$7:$I$22,3,FALSE),"Unmapped")</x:f>
        <x:v>Accessories</x:v>
      </x:c>
      <x:c r="G106" s="2" t="n">
        <x:v>1</x:v>
      </x:c>
      <x:c r="H106" s="2" t="n">
        <x:v>0</x:v>
      </x:c>
      <x:c r="I106" s="10" t="n">
        <x:v>9.95</x:v>
      </x:c>
      <x:c r="J106" s="10" t="n">
        <x:v>0</x:v>
      </x:c>
      <x:c r="K106" s="10" t="n">
        <x:v>2.5</x:v>
      </x:c>
      <x:c r="L106" s="10" t="n">
        <x:f>G106*I106</x:f>
        <x:v>9.95</x:v>
      </x:c>
      <x:c r="M106" s="10" t="n">
        <x:f>ROUND((L106-J106)*H106/G106,2)</x:f>
        <x:v>0</x:v>
      </x:c>
      <x:c r="N106" s="10" t="n">
        <x:f>L106-J106-M106</x:f>
        <x:v>9.95</x:v>
      </x:c>
      <x:c r="O106" s="10" t="n">
        <x:f>(G106-H106)*K106</x:f>
        <x:v>2.5</x:v>
      </x:c>
      <x:c r="P106" s="10" t="n">
        <x:f>N106-O106</x:f>
        <x:v>7.449999999999999</x:v>
      </x:c>
      <x:c r="Q106" s="9" t="n">
        <x:f>A106-WEEKDAY(A106,2)+1</x:f>
        <x:v>46265</x:v>
      </x:c>
      <x:c r="R106" s="2" t="str">
        <x:f>IF(AND(A106&gt;='Review'!$B$4,A106&lt;='Review'!$D$4),"Selected","Outside")</x:f>
        <x:v>Outside</x:v>
      </x:c>
    </x:row>
    <x:row r="107" ht="20" customHeight="1">
      <x:c r="A107" s="9" t="n">
        <x:v>46265</x:v>
      </x:c>
      <x:c r="B107" s="2" t="str">
        <x:v>MM-1074</x:v>
      </x:c>
      <x:c r="C107" s="2" t="str">
        <x:v>Organic Search</x:v>
      </x:c>
      <x:c r="D107" s="2" t="str">
        <x:v>TUM-002</x:v>
      </x:c>
      <x:c r="E107" s="2" t="str">
        <x:f>_xlfn.IFNA(VLOOKUP(D107,'Products'!$A$7:$I$22,2,FALSE),"Unmapped")</x:f>
        <x:v>Cold brew glass cup</x:v>
      </x:c>
      <x:c r="F107" s="2" t="str">
        <x:f>_xlfn.IFNA(VLOOKUP(D107,'Products'!$A$7:$I$22,3,FALSE),"Unmapped")</x:f>
        <x:v>Drinkware</x:v>
      </x:c>
      <x:c r="G107" s="2" t="n">
        <x:v>1</x:v>
      </x:c>
      <x:c r="H107" s="2" t="n">
        <x:v>0</x:v>
      </x:c>
      <x:c r="I107" s="10" t="n">
        <x:v>24.95</x:v>
      </x:c>
      <x:c r="J107" s="10" t="n">
        <x:v>0</x:v>
      </x:c>
      <x:c r="K107" s="10" t="n">
        <x:v>9</x:v>
      </x:c>
      <x:c r="L107" s="10" t="n">
        <x:f>G107*I107</x:f>
        <x:v>24.95</x:v>
      </x:c>
      <x:c r="M107" s="10" t="n">
        <x:f>ROUND((L107-J107)*H107/G107,2)</x:f>
        <x:v>0</x:v>
      </x:c>
      <x:c r="N107" s="10" t="n">
        <x:f>L107-J107-M107</x:f>
        <x:v>24.95</x:v>
      </x:c>
      <x:c r="O107" s="10" t="n">
        <x:f>(G107-H107)*K107</x:f>
        <x:v>9</x:v>
      </x:c>
      <x:c r="P107" s="10" t="n">
        <x:f>N107-O107</x:f>
        <x:v>15.95</x:v>
      </x:c>
      <x:c r="Q107" s="9" t="n">
        <x:f>A107-WEEKDAY(A107,2)+1</x:f>
        <x:v>46265</x:v>
      </x:c>
      <x:c r="R107" s="2" t="str">
        <x:f>IF(AND(A107&gt;='Review'!$B$4,A107&lt;='Review'!$D$4),"Selected","Outside")</x:f>
        <x:v>Outside</x:v>
      </x:c>
    </x:row>
    <x:row r="108" ht="20" customHeight="1">
      <x:c r="A108" s="9" t="n">
        <x:v>46265</x:v>
      </x:c>
      <x:c r="B108" s="2" t="str">
        <x:v>MM-1075</x:v>
      </x:c>
      <x:c r="C108" s="2" t="str">
        <x:v>Direct</x:v>
      </x:c>
      <x:c r="D108" s="2" t="str">
        <x:v>TOTE-001</x:v>
      </x:c>
      <x:c r="E108" s="2" t="str">
        <x:f>_xlfn.IFNA(VLOOKUP(D108,'Products'!$A$7:$I$22,2,FALSE),"Unmapped")</x:f>
        <x:v>Market canvas tote</x:v>
      </x:c>
      <x:c r="F108" s="2" t="str">
        <x:f>_xlfn.IFNA(VLOOKUP(D108,'Products'!$A$7:$I$22,3,FALSE),"Unmapped")</x:f>
        <x:v>Accessories</x:v>
      </x:c>
      <x:c r="G108" s="2" t="n">
        <x:v>1</x:v>
      </x:c>
      <x:c r="H108" s="2" t="n">
        <x:v>0</x:v>
      </x:c>
      <x:c r="I108" s="10" t="n">
        <x:v>19.95</x:v>
      </x:c>
      <x:c r="J108" s="10" t="n">
        <x:v>1.99</x:v>
      </x:c>
      <x:c r="K108" s="10" t="n">
        <x:v>6</x:v>
      </x:c>
      <x:c r="L108" s="10" t="n">
        <x:f>G108*I108</x:f>
        <x:v>19.95</x:v>
      </x:c>
      <x:c r="M108" s="10" t="n">
        <x:f>ROUND((L108-J108)*H108/G108,2)</x:f>
        <x:v>0</x:v>
      </x:c>
      <x:c r="N108" s="10" t="n">
        <x:f>L108-J108-M108</x:f>
        <x:v>17.96</x:v>
      </x:c>
      <x:c r="O108" s="10" t="n">
        <x:f>(G108-H108)*K108</x:f>
        <x:v>6</x:v>
      </x:c>
      <x:c r="P108" s="10" t="n">
        <x:f>N108-O108</x:f>
        <x:v>11.96</x:v>
      </x:c>
      <x:c r="Q108" s="9" t="n">
        <x:f>A108-WEEKDAY(A108,2)+1</x:f>
        <x:v>46265</x:v>
      </x:c>
      <x:c r="R108" s="2" t="str">
        <x:f>IF(AND(A108&gt;='Review'!$B$4,A108&lt;='Review'!$D$4),"Selected","Outside")</x:f>
        <x:v>Outside</x:v>
      </x:c>
    </x:row>
    <x:row r="109" ht="20" customHeight="1">
      <x:c r="A109" s="9" t="n">
        <x:v>46265</x:v>
      </x:c>
      <x:c r="B109" s="2" t="str">
        <x:v>MM-1078</x:v>
      </x:c>
      <x:c r="C109" s="2" t="str">
        <x:v>Organic Search</x:v>
      </x:c>
      <x:c r="D109" s="2" t="str">
        <x:v>APP-002</x:v>
      </x:c>
      <x:c r="E109" s="2" t="str">
        <x:f>_xlfn.IFNA(VLOOKUP(D109,'Products'!$A$7:$I$22,2,FALSE),"Unmapped")</x:f>
        <x:v>Weekend hoodie</x:v>
      </x:c>
      <x:c r="F109" s="2" t="str">
        <x:f>_xlfn.IFNA(VLOOKUP(D109,'Products'!$A$7:$I$22,3,FALSE),"Unmapped")</x:f>
        <x:v>Apparel</x:v>
      </x:c>
      <x:c r="G109" s="2" t="n">
        <x:v>1</x:v>
      </x:c>
      <x:c r="H109" s="2" t="n">
        <x:v>0</x:v>
      </x:c>
      <x:c r="I109" s="10" t="n">
        <x:v>69.95</x:v>
      </x:c>
      <x:c r="J109" s="10" t="n">
        <x:v>0</x:v>
      </x:c>
      <x:c r="K109" s="10" t="n">
        <x:v>28</x:v>
      </x:c>
      <x:c r="L109" s="10" t="n">
        <x:f>G109*I109</x:f>
        <x:v>69.95</x:v>
      </x:c>
      <x:c r="M109" s="10" t="n">
        <x:f>ROUND((L109-J109)*H109/G109,2)</x:f>
        <x:v>0</x:v>
      </x:c>
      <x:c r="N109" s="10" t="n">
        <x:f>L109-J109-M109</x:f>
        <x:v>69.95</x:v>
      </x:c>
      <x:c r="O109" s="10" t="n">
        <x:f>(G109-H109)*K109</x:f>
        <x:v>28</x:v>
      </x:c>
      <x:c r="P109" s="10" t="n">
        <x:f>N109-O109</x:f>
        <x:v>41.95</x:v>
      </x:c>
      <x:c r="Q109" s="9" t="n">
        <x:f>A109-WEEKDAY(A109,2)+1</x:f>
        <x:v>46265</x:v>
      </x:c>
      <x:c r="R109" s="2" t="str">
        <x:f>IF(AND(A109&gt;='Review'!$B$4,A109&lt;='Review'!$D$4),"Selected","Outside")</x:f>
        <x:v>Outside</x:v>
      </x:c>
    </x:row>
    <x:row r="110" ht="20" customHeight="1">
      <x:c r="A110" s="9" t="n">
        <x:v>46265</x:v>
      </x:c>
      <x:c r="B110" s="2" t="str">
        <x:v>MM-1060</x:v>
      </x:c>
      <x:c r="C110" s="2" t="str">
        <x:v>Organic Search</x:v>
      </x:c>
      <x:c r="D110" s="2" t="str">
        <x:v>GFT-002</x:v>
      </x:c>
      <x:c r="E110" s="2" t="str">
        <x:f>_xlfn.IFNA(VLOOKUP(D110,'Products'!$A$7:$I$22,2,FALSE),"Unmapped")</x:f>
        <x:v>Cozy weekend gift box</x:v>
      </x:c>
      <x:c r="F110" s="2" t="str">
        <x:f>_xlfn.IFNA(VLOOKUP(D110,'Products'!$A$7:$I$22,3,FALSE),"Unmapped")</x:f>
        <x:v>Gifts</x:v>
      </x:c>
      <x:c r="G110" s="2" t="n">
        <x:v>1</x:v>
      </x:c>
      <x:c r="H110" s="2" t="n">
        <x:v>0</x:v>
      </x:c>
      <x:c r="I110" s="10" t="n">
        <x:v>79.95</x:v>
      </x:c>
      <x:c r="J110" s="10" t="n">
        <x:v>0</x:v>
      </x:c>
      <x:c r="K110" s="10" t="n">
        <x:v>32</x:v>
      </x:c>
      <x:c r="L110" s="10" t="n">
        <x:f>G110*I110</x:f>
        <x:v>79.95</x:v>
      </x:c>
      <x:c r="M110" s="10" t="n">
        <x:f>ROUND((L110-J110)*H110/G110,2)</x:f>
        <x:v>0</x:v>
      </x:c>
      <x:c r="N110" s="10" t="n">
        <x:f>L110-J110-M110</x:f>
        <x:v>79.95</x:v>
      </x:c>
      <x:c r="O110" s="10" t="n">
        <x:f>(G110-H110)*K110</x:f>
        <x:v>32</x:v>
      </x:c>
      <x:c r="P110" s="10" t="n">
        <x:f>N110-O110</x:f>
        <x:v>47.95</x:v>
      </x:c>
      <x:c r="Q110" s="9" t="n">
        <x:f>A110-WEEKDAY(A110,2)+1</x:f>
        <x:v>46265</x:v>
      </x:c>
      <x:c r="R110" s="2" t="str">
        <x:f>IF(AND(A110&gt;='Review'!$B$4,A110&lt;='Review'!$D$4),"Selected","Outside")</x:f>
        <x:v>Outside</x:v>
      </x:c>
    </x:row>
    <x:row r="111" ht="20" customHeight="1">
      <x:c r="A111" s="9" t="n">
        <x:v>46265</x:v>
      </x:c>
      <x:c r="B111" s="2" t="str">
        <x:v>MM-1071</x:v>
      </x:c>
      <x:c r="C111" s="2" t="str">
        <x:v>Direct</x:v>
      </x:c>
      <x:c r="D111" s="2" t="str">
        <x:v>MUG-002</x:v>
      </x:c>
      <x:c r="E111" s="2" t="str">
        <x:f>_xlfn.IFNA(VLOOKUP(D111,'Products'!$A$7:$I$22,2,FALSE),"Unmapped")</x:f>
        <x:v>Campfire enamel mug</x:v>
      </x:c>
      <x:c r="F111" s="2" t="str">
        <x:f>_xlfn.IFNA(VLOOKUP(D111,'Products'!$A$7:$I$22,3,FALSE),"Unmapped")</x:f>
        <x:v>Drinkware</x:v>
      </x:c>
      <x:c r="G111" s="2" t="n">
        <x:v>1</x:v>
      </x:c>
      <x:c r="H111" s="2" t="n">
        <x:v>0</x:v>
      </x:c>
      <x:c r="I111" s="10" t="n">
        <x:v>22.95</x:v>
      </x:c>
      <x:c r="J111" s="10" t="n">
        <x:v>0</x:v>
      </x:c>
      <x:c r="K111" s="10" t="n">
        <x:v>8.5</x:v>
      </x:c>
      <x:c r="L111" s="10" t="n">
        <x:f>G111*I111</x:f>
        <x:v>22.95</x:v>
      </x:c>
      <x:c r="M111" s="10" t="n">
        <x:f>ROUND((L111-J111)*H111/G111,2)</x:f>
        <x:v>0</x:v>
      </x:c>
      <x:c r="N111" s="10" t="n">
        <x:f>L111-J111-M111</x:f>
        <x:v>22.95</x:v>
      </x:c>
      <x:c r="O111" s="10" t="n">
        <x:f>(G111-H111)*K111</x:f>
        <x:v>8.5</x:v>
      </x:c>
      <x:c r="P111" s="10" t="n">
        <x:f>N111-O111</x:f>
        <x:v>14.45</x:v>
      </x:c>
      <x:c r="Q111" s="9" t="n">
        <x:f>A111-WEEKDAY(A111,2)+1</x:f>
        <x:v>46265</x:v>
      </x:c>
      <x:c r="R111" s="2" t="str">
        <x:f>IF(AND(A111&gt;='Review'!$B$4,A111&lt;='Review'!$D$4),"Selected","Outside")</x:f>
        <x:v>Outside</x:v>
      </x:c>
    </x:row>
    <x:row r="112" ht="20" customHeight="1">
      <x:c r="A112" s="9" t="n">
        <x:v>46265</x:v>
      </x:c>
      <x:c r="B112" s="2" t="str">
        <x:v>MM-1073</x:v>
      </x:c>
      <x:c r="C112" s="2" t="str">
        <x:v>Paid Social</x:v>
      </x:c>
      <x:c r="D112" s="2" t="str">
        <x:v>KEY-001</x:v>
      </x:c>
      <x:c r="E112" s="2" t="str">
        <x:f>_xlfn.IFNA(VLOOKUP(D112,'Products'!$A$7:$I$22,2,FALSE),"Unmapped")</x:f>
        <x:v>Maple keyring</x:v>
      </x:c>
      <x:c r="F112" s="2" t="str">
        <x:f>_xlfn.IFNA(VLOOKUP(D112,'Products'!$A$7:$I$22,3,FALSE),"Unmapped")</x:f>
        <x:v>Accessories</x:v>
      </x:c>
      <x:c r="G112" s="2" t="n">
        <x:v>1</x:v>
      </x:c>
      <x:c r="H112" s="2" t="n">
        <x:v>0</x:v>
      </x:c>
      <x:c r="I112" s="10" t="n">
        <x:v>12.95</x:v>
      </x:c>
      <x:c r="J112" s="10" t="n">
        <x:v>0</x:v>
      </x:c>
      <x:c r="K112" s="10" t="n">
        <x:v>3.5</x:v>
      </x:c>
      <x:c r="L112" s="10" t="n">
        <x:f>G112*I112</x:f>
        <x:v>12.95</x:v>
      </x:c>
      <x:c r="M112" s="10" t="n">
        <x:f>ROUND((L112-J112)*H112/G112,2)</x:f>
        <x:v>0</x:v>
      </x:c>
      <x:c r="N112" s="10" t="n">
        <x:f>L112-J112-M112</x:f>
        <x:v>12.95</x:v>
      </x:c>
      <x:c r="O112" s="10" t="n">
        <x:f>(G112-H112)*K112</x:f>
        <x:v>3.5</x:v>
      </x:c>
      <x:c r="P112" s="10" t="n">
        <x:f>N112-O112</x:f>
        <x:v>9.45</x:v>
      </x:c>
      <x:c r="Q112" s="9" t="n">
        <x:f>A112-WEEKDAY(A112,2)+1</x:f>
        <x:v>46265</x:v>
      </x:c>
      <x:c r="R112" s="2" t="str">
        <x:f>IF(AND(A112&gt;='Review'!$B$4,A112&lt;='Review'!$D$4),"Selected","Outside")</x:f>
        <x:v>Outside</x:v>
      </x:c>
    </x:row>
    <x:row r="113" ht="20" customHeight="1">
      <x:c r="A113" s="9" t="n">
        <x:v>46265</x:v>
      </x:c>
      <x:c r="B113" s="2" t="str">
        <x:v>MM-1073</x:v>
      </x:c>
      <x:c r="C113" s="2" t="str">
        <x:v>Paid Social</x:v>
      </x:c>
      <x:c r="D113" s="2" t="str">
        <x:v>TUM-002</x:v>
      </x:c>
      <x:c r="E113" s="2" t="str">
        <x:f>_xlfn.IFNA(VLOOKUP(D113,'Products'!$A$7:$I$22,2,FALSE),"Unmapped")</x:f>
        <x:v>Cold brew glass cup</x:v>
      </x:c>
      <x:c r="F113" s="2" t="str">
        <x:f>_xlfn.IFNA(VLOOKUP(D113,'Products'!$A$7:$I$22,3,FALSE),"Unmapped")</x:f>
        <x:v>Drinkware</x:v>
      </x:c>
      <x:c r="G113" s="2" t="n">
        <x:v>2</x:v>
      </x:c>
      <x:c r="H113" s="2" t="n">
        <x:v>0</x:v>
      </x:c>
      <x:c r="I113" s="10" t="n">
        <x:v>24.95</x:v>
      </x:c>
      <x:c r="J113" s="10" t="n">
        <x:v>0</x:v>
      </x:c>
      <x:c r="K113" s="10" t="n">
        <x:v>9</x:v>
      </x:c>
      <x:c r="L113" s="10" t="n">
        <x:f>G113*I113</x:f>
        <x:v>49.9</x:v>
      </x:c>
      <x:c r="M113" s="10" t="n">
        <x:f>ROUND((L113-J113)*H113/G113,2)</x:f>
        <x:v>0</x:v>
      </x:c>
      <x:c r="N113" s="10" t="n">
        <x:f>L113-J113-M113</x:f>
        <x:v>49.9</x:v>
      </x:c>
      <x:c r="O113" s="10" t="n">
        <x:f>(G113-H113)*K113</x:f>
        <x:v>18</x:v>
      </x:c>
      <x:c r="P113" s="10" t="n">
        <x:f>N113-O113</x:f>
        <x:v>31.9</x:v>
      </x:c>
      <x:c r="Q113" s="9" t="n">
        <x:f>A113-WEEKDAY(A113,2)+1</x:f>
        <x:v>46265</x:v>
      </x:c>
      <x:c r="R113" s="2" t="str">
        <x:f>IF(AND(A113&gt;='Review'!$B$4,A113&lt;='Review'!$D$4),"Selected","Outside")</x:f>
        <x:v>Outside</x:v>
      </x:c>
    </x:row>
    <x:row r="114" ht="20" customHeight="1">
      <x:c r="A114" s="9" t="n">
        <x:v>46265</x:v>
      </x:c>
      <x:c r="B114" s="2" t="str">
        <x:v>MM-1061</x:v>
      </x:c>
      <x:c r="C114" s="2" t="str">
        <x:v>Organic Search</x:v>
      </x:c>
      <x:c r="D114" s="2" t="str">
        <x:v>HAT-001</x:v>
      </x:c>
      <x:c r="E114" s="2" t="str">
        <x:f>_xlfn.IFNA(VLOOKUP(D114,'Products'!$A$7:$I$22,2,FALSE),"Unmapped")</x:f>
        <x:v>Classic canvas cap</x:v>
      </x:c>
      <x:c r="F114" s="2" t="str">
        <x:f>_xlfn.IFNA(VLOOKUP(D114,'Products'!$A$7:$I$22,3,FALSE),"Unmapped")</x:f>
        <x:v>Accessories</x:v>
      </x:c>
      <x:c r="G114" s="2" t="n">
        <x:v>1</x:v>
      </x:c>
      <x:c r="H114" s="2" t="n">
        <x:v>0</x:v>
      </x:c>
      <x:c r="I114" s="10" t="n">
        <x:v>24.95</x:v>
      </x:c>
      <x:c r="J114" s="10" t="n">
        <x:v>0</x:v>
      </x:c>
      <x:c r="K114" s="10" t="n">
        <x:v>8.5</x:v>
      </x:c>
      <x:c r="L114" s="10" t="n">
        <x:f>G114*I114</x:f>
        <x:v>24.95</x:v>
      </x:c>
      <x:c r="M114" s="10" t="n">
        <x:f>ROUND((L114-J114)*H114/G114,2)</x:f>
        <x:v>0</x:v>
      </x:c>
      <x:c r="N114" s="10" t="n">
        <x:f>L114-J114-M114</x:f>
        <x:v>24.95</x:v>
      </x:c>
      <x:c r="O114" s="10" t="n">
        <x:f>(G114-H114)*K114</x:f>
        <x:v>8.5</x:v>
      </x:c>
      <x:c r="P114" s="10" t="n">
        <x:f>N114-O114</x:f>
        <x:v>16.45</x:v>
      </x:c>
      <x:c r="Q114" s="9" t="n">
        <x:f>A114-WEEKDAY(A114,2)+1</x:f>
        <x:v>46265</x:v>
      </x:c>
      <x:c r="R114" s="2" t="str">
        <x:f>IF(AND(A114&gt;='Review'!$B$4,A114&lt;='Review'!$D$4),"Selected","Outside")</x:f>
        <x:v>Outside</x:v>
      </x:c>
    </x:row>
    <x:row r="115" ht="20" customHeight="1">
      <x:c r="A115" s="9" t="n">
        <x:v>46265</x:v>
      </x:c>
      <x:c r="B115" s="2" t="str">
        <x:v>MM-1066</x:v>
      </x:c>
      <x:c r="C115" s="2" t="str">
        <x:v>Direct</x:v>
      </x:c>
      <x:c r="D115" s="2" t="str">
        <x:v>KEY-001</x:v>
      </x:c>
      <x:c r="E115" s="2" t="str">
        <x:f>_xlfn.IFNA(VLOOKUP(D115,'Products'!$A$7:$I$22,2,FALSE),"Unmapped")</x:f>
        <x:v>Maple keyring</x:v>
      </x:c>
      <x:c r="F115" s="2" t="str">
        <x:f>_xlfn.IFNA(VLOOKUP(D115,'Products'!$A$7:$I$22,3,FALSE),"Unmapped")</x:f>
        <x:v>Accessories</x:v>
      </x:c>
      <x:c r="G115" s="2" t="n">
        <x:v>1</x:v>
      </x:c>
      <x:c r="H115" s="2" t="n">
        <x:v>0</x:v>
      </x:c>
      <x:c r="I115" s="10" t="n">
        <x:v>12.95</x:v>
      </x:c>
      <x:c r="J115" s="10" t="n">
        <x:v>1.29</x:v>
      </x:c>
      <x:c r="K115" s="10" t="n">
        <x:v>3.5</x:v>
      </x:c>
      <x:c r="L115" s="10" t="n">
        <x:f>G115*I115</x:f>
        <x:v>12.95</x:v>
      </x:c>
      <x:c r="M115" s="10" t="n">
        <x:f>ROUND((L115-J115)*H115/G115,2)</x:f>
        <x:v>0</x:v>
      </x:c>
      <x:c r="N115" s="10" t="n">
        <x:f>L115-J115-M115</x:f>
        <x:v>11.66</x:v>
      </x:c>
      <x:c r="O115" s="10" t="n">
        <x:f>(G115-H115)*K115</x:f>
        <x:v>3.5</x:v>
      </x:c>
      <x:c r="P115" s="10" t="n">
        <x:f>N115-O115</x:f>
        <x:v>8.16</x:v>
      </x:c>
      <x:c r="Q115" s="9" t="n">
        <x:f>A115-WEEKDAY(A115,2)+1</x:f>
        <x:v>46265</x:v>
      </x:c>
      <x:c r="R115" s="2" t="str">
        <x:f>IF(AND(A115&gt;='Review'!$B$4,A115&lt;='Review'!$D$4),"Selected","Outside")</x:f>
        <x:v>Outside</x:v>
      </x:c>
    </x:row>
    <x:row r="116" ht="20" customHeight="1">
      <x:c r="A116" s="9" t="n">
        <x:v>46266</x:v>
      </x:c>
      <x:c r="B116" s="2" t="str">
        <x:v>MM-1085</x:v>
      </x:c>
      <x:c r="C116" s="2" t="str">
        <x:v>Organic Search</x:v>
      </x:c>
      <x:c r="D116" s="2" t="str">
        <x:v>TUM-001</x:v>
      </x:c>
      <x:c r="E116" s="2" t="str">
        <x:f>_xlfn.IFNA(VLOOKUP(D116,'Products'!$A$7:$I$22,2,FALSE),"Unmapped")</x:f>
        <x:v>Maple travel tumbler</x:v>
      </x:c>
      <x:c r="F116" s="2" t="str">
        <x:f>_xlfn.IFNA(VLOOKUP(D116,'Products'!$A$7:$I$22,3,FALSE),"Unmapped")</x:f>
        <x:v>Drinkware</x:v>
      </x:c>
      <x:c r="G116" s="2" t="n">
        <x:v>1</x:v>
      </x:c>
      <x:c r="H116" s="2" t="n">
        <x:v>0</x:v>
      </x:c>
      <x:c r="I116" s="10" t="n">
        <x:v>32.95</x:v>
      </x:c>
      <x:c r="J116" s="10" t="n">
        <x:v>0</x:v>
      </x:c>
      <x:c r="K116" s="10" t="n">
        <x:v>12</x:v>
      </x:c>
      <x:c r="L116" s="10" t="n">
        <x:f>G116*I116</x:f>
        <x:v>32.95</x:v>
      </x:c>
      <x:c r="M116" s="10" t="n">
        <x:f>ROUND((L116-J116)*H116/G116,2)</x:f>
        <x:v>0</x:v>
      </x:c>
      <x:c r="N116" s="10" t="n">
        <x:f>L116-J116-M116</x:f>
        <x:v>32.95</x:v>
      </x:c>
      <x:c r="O116" s="10" t="n">
        <x:f>(G116-H116)*K116</x:f>
        <x:v>12</x:v>
      </x:c>
      <x:c r="P116" s="10" t="n">
        <x:f>N116-O116</x:f>
        <x:v>20.950000000000003</x:v>
      </x:c>
      <x:c r="Q116" s="9" t="n">
        <x:f>A116-WEEKDAY(A116,2)+1</x:f>
        <x:v>46265</x:v>
      </x:c>
      <x:c r="R116" s="2" t="str">
        <x:f>IF(AND(A116&gt;='Review'!$B$4,A116&lt;='Review'!$D$4),"Selected","Outside")</x:f>
        <x:v>Outside</x:v>
      </x:c>
    </x:row>
    <x:row r="117" ht="20" customHeight="1">
      <x:c r="A117" s="9" t="n">
        <x:v>46266</x:v>
      </x:c>
      <x:c r="B117" s="2" t="str">
        <x:v>MM-1085</x:v>
      </x:c>
      <x:c r="C117" s="2" t="str">
        <x:v>Organic Search</x:v>
      </x:c>
      <x:c r="D117" s="2" t="str">
        <x:v>GFT-001</x:v>
      </x:c>
      <x:c r="E117" s="2" t="str">
        <x:f>_xlfn.IFNA(VLOOKUP(D117,'Products'!$A$7:$I$22,2,FALSE),"Unmapped")</x:f>
        <x:v>Morning ritual gift set</x:v>
      </x:c>
      <x:c r="F117" s="2" t="str">
        <x:f>_xlfn.IFNA(VLOOKUP(D117,'Products'!$A$7:$I$22,3,FALSE),"Unmapped")</x:f>
        <x:v>Gifts</x:v>
      </x:c>
      <x:c r="G117" s="2" t="n">
        <x:v>1</x:v>
      </x:c>
      <x:c r="H117" s="2" t="n">
        <x:v>0</x:v>
      </x:c>
      <x:c r="I117" s="10" t="n">
        <x:v>59.95</x:v>
      </x:c>
      <x:c r="J117" s="10" t="n">
        <x:v>0</x:v>
      </x:c>
      <x:c r="K117" s="10" t="n">
        <x:v>24</x:v>
      </x:c>
      <x:c r="L117" s="10" t="n">
        <x:f>G117*I117</x:f>
        <x:v>59.95</x:v>
      </x:c>
      <x:c r="M117" s="10" t="n">
        <x:f>ROUND((L117-J117)*H117/G117,2)</x:f>
        <x:v>0</x:v>
      </x:c>
      <x:c r="N117" s="10" t="n">
        <x:f>L117-J117-M117</x:f>
        <x:v>59.95</x:v>
      </x:c>
      <x:c r="O117" s="10" t="n">
        <x:f>(G117-H117)*K117</x:f>
        <x:v>24</x:v>
      </x:c>
      <x:c r="P117" s="10" t="n">
        <x:f>N117-O117</x:f>
        <x:v>35.95</x:v>
      </x:c>
      <x:c r="Q117" s="9" t="n">
        <x:f>A117-WEEKDAY(A117,2)+1</x:f>
        <x:v>46265</x:v>
      </x:c>
      <x:c r="R117" s="2" t="str">
        <x:f>IF(AND(A117&gt;='Review'!$B$4,A117&lt;='Review'!$D$4),"Selected","Outside")</x:f>
        <x:v>Outside</x:v>
      </x:c>
    </x:row>
    <x:row r="118" ht="20" customHeight="1">
      <x:c r="A118" s="9" t="n">
        <x:v>46266</x:v>
      </x:c>
      <x:c r="B118" s="2" t="str">
        <x:v>MM-1089</x:v>
      </x:c>
      <x:c r="C118" s="2" t="str">
        <x:v>Email</x:v>
      </x:c>
      <x:c r="D118" s="2" t="str">
        <x:v>APP-003</x:v>
      </x:c>
      <x:c r="E118" s="2" t="str">
        <x:f>_xlfn.IFNA(VLOOKUP(D118,'Products'!$A$7:$I$22,2,FALSE),"Unmapped")</x:f>
        <x:v>Coffee club tee</x:v>
      </x:c>
      <x:c r="F118" s="2" t="str">
        <x:f>_xlfn.IFNA(VLOOKUP(D118,'Products'!$A$7:$I$22,3,FALSE),"Unmapped")</x:f>
        <x:v>Apparel</x:v>
      </x:c>
      <x:c r="G118" s="2" t="n">
        <x:v>1</x:v>
      </x:c>
      <x:c r="H118" s="2" t="n">
        <x:v>0</x:v>
      </x:c>
      <x:c r="I118" s="10" t="n">
        <x:v>29.95</x:v>
      </x:c>
      <x:c r="J118" s="10" t="n">
        <x:v>2.99</x:v>
      </x:c>
      <x:c r="K118" s="10" t="n">
        <x:v>10</x:v>
      </x:c>
      <x:c r="L118" s="10" t="n">
        <x:f>G118*I118</x:f>
        <x:v>29.95</x:v>
      </x:c>
      <x:c r="M118" s="10" t="n">
        <x:f>ROUND((L118-J118)*H118/G118,2)</x:f>
        <x:v>0</x:v>
      </x:c>
      <x:c r="N118" s="10" t="n">
        <x:f>L118-J118-M118</x:f>
        <x:v>26.96</x:v>
      </x:c>
      <x:c r="O118" s="10" t="n">
        <x:f>(G118-H118)*K118</x:f>
        <x:v>10</x:v>
      </x:c>
      <x:c r="P118" s="10" t="n">
        <x:f>N118-O118</x:f>
        <x:v>16.96</x:v>
      </x:c>
      <x:c r="Q118" s="9" t="n">
        <x:f>A118-WEEKDAY(A118,2)+1</x:f>
        <x:v>46265</x:v>
      </x:c>
      <x:c r="R118" s="2" t="str">
        <x:f>IF(AND(A118&gt;='Review'!$B$4,A118&lt;='Review'!$D$4),"Selected","Outside")</x:f>
        <x:v>Outside</x:v>
      </x:c>
    </x:row>
    <x:row r="119" ht="20" customHeight="1">
      <x:c r="A119" s="9" t="n">
        <x:v>46266</x:v>
      </x:c>
      <x:c r="B119" s="2" t="str">
        <x:v>MM-1098</x:v>
      </x:c>
      <x:c r="C119" s="2" t="str">
        <x:v>Email</x:v>
      </x:c>
      <x:c r="D119" s="2" t="str">
        <x:v>GFT-002</x:v>
      </x:c>
      <x:c r="E119" s="2" t="str">
        <x:f>_xlfn.IFNA(VLOOKUP(D119,'Products'!$A$7:$I$22,2,FALSE),"Unmapped")</x:f>
        <x:v>Cozy weekend gift box</x:v>
      </x:c>
      <x:c r="F119" s="2" t="str">
        <x:f>_xlfn.IFNA(VLOOKUP(D119,'Products'!$A$7:$I$22,3,FALSE),"Unmapped")</x:f>
        <x:v>Gifts</x:v>
      </x:c>
      <x:c r="G119" s="2" t="n">
        <x:v>1</x:v>
      </x:c>
      <x:c r="H119" s="2" t="n">
        <x:v>0</x:v>
      </x:c>
      <x:c r="I119" s="10" t="n">
        <x:v>79.95</x:v>
      </x:c>
      <x:c r="J119" s="10" t="n">
        <x:v>7.99</x:v>
      </x:c>
      <x:c r="K119" s="10" t="n">
        <x:v>32</x:v>
      </x:c>
      <x:c r="L119" s="10" t="n">
        <x:f>G119*I119</x:f>
        <x:v>79.95</x:v>
      </x:c>
      <x:c r="M119" s="10" t="n">
        <x:f>ROUND((L119-J119)*H119/G119,2)</x:f>
        <x:v>0</x:v>
      </x:c>
      <x:c r="N119" s="10" t="n">
        <x:f>L119-J119-M119</x:f>
        <x:v>71.96000000000001</x:v>
      </x:c>
      <x:c r="O119" s="10" t="n">
        <x:f>(G119-H119)*K119</x:f>
        <x:v>32</x:v>
      </x:c>
      <x:c r="P119" s="10" t="n">
        <x:f>N119-O119</x:f>
        <x:v>39.96000000000001</x:v>
      </x:c>
      <x:c r="Q119" s="9" t="n">
        <x:f>A119-WEEKDAY(A119,2)+1</x:f>
        <x:v>46265</x:v>
      </x:c>
      <x:c r="R119" s="2" t="str">
        <x:f>IF(AND(A119&gt;='Review'!$B$4,A119&lt;='Review'!$D$4),"Selected","Outside")</x:f>
        <x:v>Outside</x:v>
      </x:c>
    </x:row>
    <x:row r="120" ht="20" customHeight="1">
      <x:c r="A120" s="9" t="n">
        <x:v>46266</x:v>
      </x:c>
      <x:c r="B120" s="2" t="str">
        <x:v>MM-1095</x:v>
      </x:c>
      <x:c r="C120" s="2" t="str">
        <x:v>Paid Social</x:v>
      </x:c>
      <x:c r="D120" s="2" t="str">
        <x:v>TUM-001</x:v>
      </x:c>
      <x:c r="E120" s="2" t="str">
        <x:f>_xlfn.IFNA(VLOOKUP(D120,'Products'!$A$7:$I$22,2,FALSE),"Unmapped")</x:f>
        <x:v>Maple travel tumbler</x:v>
      </x:c>
      <x:c r="F120" s="2" t="str">
        <x:f>_xlfn.IFNA(VLOOKUP(D120,'Products'!$A$7:$I$22,3,FALSE),"Unmapped")</x:f>
        <x:v>Drinkware</x:v>
      </x:c>
      <x:c r="G120" s="2" t="n">
        <x:v>1</x:v>
      </x:c>
      <x:c r="H120" s="2" t="n">
        <x:v>0</x:v>
      </x:c>
      <x:c r="I120" s="10" t="n">
        <x:v>32.95</x:v>
      </x:c>
      <x:c r="J120" s="10" t="n">
        <x:v>0</x:v>
      </x:c>
      <x:c r="K120" s="10" t="n">
        <x:v>12</x:v>
      </x:c>
      <x:c r="L120" s="10" t="n">
        <x:f>G120*I120</x:f>
        <x:v>32.95</x:v>
      </x:c>
      <x:c r="M120" s="10" t="n">
        <x:f>ROUND((L120-J120)*H120/G120,2)</x:f>
        <x:v>0</x:v>
      </x:c>
      <x:c r="N120" s="10" t="n">
        <x:f>L120-J120-M120</x:f>
        <x:v>32.95</x:v>
      </x:c>
      <x:c r="O120" s="10" t="n">
        <x:f>(G120-H120)*K120</x:f>
        <x:v>12</x:v>
      </x:c>
      <x:c r="P120" s="10" t="n">
        <x:f>N120-O120</x:f>
        <x:v>20.950000000000003</x:v>
      </x:c>
      <x:c r="Q120" s="9" t="n">
        <x:f>A120-WEEKDAY(A120,2)+1</x:f>
        <x:v>46265</x:v>
      </x:c>
      <x:c r="R120" s="2" t="str">
        <x:f>IF(AND(A120&gt;='Review'!$B$4,A120&lt;='Review'!$D$4),"Selected","Outside")</x:f>
        <x:v>Outside</x:v>
      </x:c>
    </x:row>
    <x:row r="121" ht="20" customHeight="1">
      <x:c r="A121" s="9" t="n">
        <x:v>46266</x:v>
      </x:c>
      <x:c r="B121" s="2" t="str">
        <x:v>MM-1081</x:v>
      </x:c>
      <x:c r="C121" s="2" t="str">
        <x:v>Direct</x:v>
      </x:c>
      <x:c r="D121" s="2" t="str">
        <x:v>TUM-001</x:v>
      </x:c>
      <x:c r="E121" s="2" t="str">
        <x:f>_xlfn.IFNA(VLOOKUP(D121,'Products'!$A$7:$I$22,2,FALSE),"Unmapped")</x:f>
        <x:v>Maple travel tumbler</x:v>
      </x:c>
      <x:c r="F121" s="2" t="str">
        <x:f>_xlfn.IFNA(VLOOKUP(D121,'Products'!$A$7:$I$22,3,FALSE),"Unmapped")</x:f>
        <x:v>Drinkware</x:v>
      </x:c>
      <x:c r="G121" s="2" t="n">
        <x:v>1</x:v>
      </x:c>
      <x:c r="H121" s="2" t="n">
        <x:v>0</x:v>
      </x:c>
      <x:c r="I121" s="10" t="n">
        <x:v>32.95</x:v>
      </x:c>
      <x:c r="J121" s="10" t="n">
        <x:v>0</x:v>
      </x:c>
      <x:c r="K121" s="10" t="n">
        <x:v>12</x:v>
      </x:c>
      <x:c r="L121" s="10" t="n">
        <x:f>G121*I121</x:f>
        <x:v>32.95</x:v>
      </x:c>
      <x:c r="M121" s="10" t="n">
        <x:f>ROUND((L121-J121)*H121/G121,2)</x:f>
        <x:v>0</x:v>
      </x:c>
      <x:c r="N121" s="10" t="n">
        <x:f>L121-J121-M121</x:f>
        <x:v>32.95</x:v>
      </x:c>
      <x:c r="O121" s="10" t="n">
        <x:f>(G121-H121)*K121</x:f>
        <x:v>12</x:v>
      </x:c>
      <x:c r="P121" s="10" t="n">
        <x:f>N121-O121</x:f>
        <x:v>20.950000000000003</x:v>
      </x:c>
      <x:c r="Q121" s="9" t="n">
        <x:f>A121-WEEKDAY(A121,2)+1</x:f>
        <x:v>46265</x:v>
      </x:c>
      <x:c r="R121" s="2" t="str">
        <x:f>IF(AND(A121&gt;='Review'!$B$4,A121&lt;='Review'!$D$4),"Selected","Outside")</x:f>
        <x:v>Outside</x:v>
      </x:c>
    </x:row>
    <x:row r="122" ht="20" customHeight="1">
      <x:c r="A122" s="9" t="n">
        <x:v>46266</x:v>
      </x:c>
      <x:c r="B122" s="2" t="str">
        <x:v>MM-1081</x:v>
      </x:c>
      <x:c r="C122" s="2" t="str">
        <x:v>Direct</x:v>
      </x:c>
      <x:c r="D122" s="2" t="str">
        <x:v>TOTE-001</x:v>
      </x:c>
      <x:c r="E122" s="2" t="str">
        <x:f>_xlfn.IFNA(VLOOKUP(D122,'Products'!$A$7:$I$22,2,FALSE),"Unmapped")</x:f>
        <x:v>Market canvas tote</x:v>
      </x:c>
      <x:c r="F122" s="2" t="str">
        <x:f>_xlfn.IFNA(VLOOKUP(D122,'Products'!$A$7:$I$22,3,FALSE),"Unmapped")</x:f>
        <x:v>Accessories</x:v>
      </x:c>
      <x:c r="G122" s="2" t="n">
        <x:v>1</x:v>
      </x:c>
      <x:c r="H122" s="2" t="n">
        <x:v>0</x:v>
      </x:c>
      <x:c r="I122" s="10" t="n">
        <x:v>19.95</x:v>
      </x:c>
      <x:c r="J122" s="10" t="n">
        <x:v>0</x:v>
      </x:c>
      <x:c r="K122" s="10" t="n">
        <x:v>6</x:v>
      </x:c>
      <x:c r="L122" s="10" t="n">
        <x:f>G122*I122</x:f>
        <x:v>19.95</x:v>
      </x:c>
      <x:c r="M122" s="10" t="n">
        <x:f>ROUND((L122-J122)*H122/G122,2)</x:f>
        <x:v>0</x:v>
      </x:c>
      <x:c r="N122" s="10" t="n">
        <x:f>L122-J122-M122</x:f>
        <x:v>19.95</x:v>
      </x:c>
      <x:c r="O122" s="10" t="n">
        <x:f>(G122-H122)*K122</x:f>
        <x:v>6</x:v>
      </x:c>
      <x:c r="P122" s="10" t="n">
        <x:f>N122-O122</x:f>
        <x:v>13.95</x:v>
      </x:c>
      <x:c r="Q122" s="9" t="n">
        <x:f>A122-WEEKDAY(A122,2)+1</x:f>
        <x:v>46265</x:v>
      </x:c>
      <x:c r="R122" s="2" t="str">
        <x:f>IF(AND(A122&gt;='Review'!$B$4,A122&lt;='Review'!$D$4),"Selected","Outside")</x:f>
        <x:v>Outside</x:v>
      </x:c>
    </x:row>
    <x:row r="123" ht="20" customHeight="1">
      <x:c r="A123" s="9" t="n">
        <x:v>46266</x:v>
      </x:c>
      <x:c r="B123" s="2" t="str">
        <x:v>MM-1084</x:v>
      </x:c>
      <x:c r="C123" s="2" t="str">
        <x:v>Organic Search</x:v>
      </x:c>
      <x:c r="D123" s="2" t="str">
        <x:v>BOT-001</x:v>
      </x:c>
      <x:c r="E123" s="2" t="str">
        <x:f>_xlfn.IFNA(VLOOKUP(D123,'Products'!$A$7:$I$22,2,FALSE),"Unmapped")</x:f>
        <x:v>Trail water bottle</x:v>
      </x:c>
      <x:c r="F123" s="2" t="str">
        <x:f>_xlfn.IFNA(VLOOKUP(D123,'Products'!$A$7:$I$22,3,FALSE),"Unmapped")</x:f>
        <x:v>Drinkware</x:v>
      </x:c>
      <x:c r="G123" s="2" t="n">
        <x:v>1</x:v>
      </x:c>
      <x:c r="H123" s="2" t="n">
        <x:v>0</x:v>
      </x:c>
      <x:c r="I123" s="10" t="n">
        <x:v>34.95</x:v>
      </x:c>
      <x:c r="J123" s="10" t="n">
        <x:v>0</x:v>
      </x:c>
      <x:c r="K123" s="10" t="n">
        <x:v>13.5</x:v>
      </x:c>
      <x:c r="L123" s="10" t="n">
        <x:f>G123*I123</x:f>
        <x:v>34.95</x:v>
      </x:c>
      <x:c r="M123" s="10" t="n">
        <x:f>ROUND((L123-J123)*H123/G123,2)</x:f>
        <x:v>0</x:v>
      </x:c>
      <x:c r="N123" s="10" t="n">
        <x:f>L123-J123-M123</x:f>
        <x:v>34.95</x:v>
      </x:c>
      <x:c r="O123" s="10" t="n">
        <x:f>(G123-H123)*K123</x:f>
        <x:v>13.5</x:v>
      </x:c>
      <x:c r="P123" s="10" t="n">
        <x:f>N123-O123</x:f>
        <x:v>21.450000000000003</x:v>
      </x:c>
      <x:c r="Q123" s="9" t="n">
        <x:f>A123-WEEKDAY(A123,2)+1</x:f>
        <x:v>46265</x:v>
      </x:c>
      <x:c r="R123" s="2" t="str">
        <x:f>IF(AND(A123&gt;='Review'!$B$4,A123&lt;='Review'!$D$4),"Selected","Outside")</x:f>
        <x:v>Outside</x:v>
      </x:c>
    </x:row>
    <x:row r="124" ht="20" customHeight="1">
      <x:c r="A124" s="9" t="n">
        <x:v>46266</x:v>
      </x:c>
      <x:c r="B124" s="2" t="str">
        <x:v>MM-1088</x:v>
      </x:c>
      <x:c r="C124" s="2" t="str">
        <x:v>Organic Search</x:v>
      </x:c>
      <x:c r="D124" s="2" t="str">
        <x:v>MUG-001</x:v>
      </x:c>
      <x:c r="E124" s="2" t="str">
        <x:f>_xlfn.IFNA(VLOOKUP(D124,'Products'!$A$7:$I$22,2,FALSE),"Unmapped")</x:f>
        <x:v>Everyday ceramic mug</x:v>
      </x:c>
      <x:c r="F124" s="2" t="str">
        <x:f>_xlfn.IFNA(VLOOKUP(D124,'Products'!$A$7:$I$22,3,FALSE),"Unmapped")</x:f>
        <x:v>Drinkware</x:v>
      </x:c>
      <x:c r="G124" s="2" t="n">
        <x:v>1</x:v>
      </x:c>
      <x:c r="H124" s="2" t="n">
        <x:v>0</x:v>
      </x:c>
      <x:c r="I124" s="10" t="n">
        <x:v>18.95</x:v>
      </x:c>
      <x:c r="J124" s="10" t="n">
        <x:v>0</x:v>
      </x:c>
      <x:c r="K124" s="10" t="n">
        <x:v>6.5</x:v>
      </x:c>
      <x:c r="L124" s="10" t="n">
        <x:f>G124*I124</x:f>
        <x:v>18.95</x:v>
      </x:c>
      <x:c r="M124" s="10" t="n">
        <x:f>ROUND((L124-J124)*H124/G124,2)</x:f>
        <x:v>0</x:v>
      </x:c>
      <x:c r="N124" s="10" t="n">
        <x:f>L124-J124-M124</x:f>
        <x:v>18.95</x:v>
      </x:c>
      <x:c r="O124" s="10" t="n">
        <x:f>(G124-H124)*K124</x:f>
        <x:v>6.5</x:v>
      </x:c>
      <x:c r="P124" s="10" t="n">
        <x:f>N124-O124</x:f>
        <x:v>12.45</x:v>
      </x:c>
      <x:c r="Q124" s="9" t="n">
        <x:f>A124-WEEKDAY(A124,2)+1</x:f>
        <x:v>46265</x:v>
      </x:c>
      <x:c r="R124" s="2" t="str">
        <x:f>IF(AND(A124&gt;='Review'!$B$4,A124&lt;='Review'!$D$4),"Selected","Outside")</x:f>
        <x:v>Outside</x:v>
      </x:c>
    </x:row>
    <x:row r="125" ht="20" customHeight="1">
      <x:c r="A125" s="9" t="n">
        <x:v>46266</x:v>
      </x:c>
      <x:c r="B125" s="2" t="str">
        <x:v>MM-1088</x:v>
      </x:c>
      <x:c r="C125" s="2" t="str">
        <x:v>Organic Search</x:v>
      </x:c>
      <x:c r="D125" s="2" t="str">
        <x:v>TOTE-001</x:v>
      </x:c>
      <x:c r="E125" s="2" t="str">
        <x:f>_xlfn.IFNA(VLOOKUP(D125,'Products'!$A$7:$I$22,2,FALSE),"Unmapped")</x:f>
        <x:v>Market canvas tote</x:v>
      </x:c>
      <x:c r="F125" s="2" t="str">
        <x:f>_xlfn.IFNA(VLOOKUP(D125,'Products'!$A$7:$I$22,3,FALSE),"Unmapped")</x:f>
        <x:v>Accessories</x:v>
      </x:c>
      <x:c r="G125" s="2" t="n">
        <x:v>1</x:v>
      </x:c>
      <x:c r="H125" s="2" t="n">
        <x:v>0</x:v>
      </x:c>
      <x:c r="I125" s="10" t="n">
        <x:v>19.95</x:v>
      </x:c>
      <x:c r="J125" s="10" t="n">
        <x:v>0</x:v>
      </x:c>
      <x:c r="K125" s="10" t="n">
        <x:v>6</x:v>
      </x:c>
      <x:c r="L125" s="10" t="n">
        <x:f>G125*I125</x:f>
        <x:v>19.95</x:v>
      </x:c>
      <x:c r="M125" s="10" t="n">
        <x:f>ROUND((L125-J125)*H125/G125,2)</x:f>
        <x:v>0</x:v>
      </x:c>
      <x:c r="N125" s="10" t="n">
        <x:f>L125-J125-M125</x:f>
        <x:v>19.95</x:v>
      </x:c>
      <x:c r="O125" s="10" t="n">
        <x:f>(G125-H125)*K125</x:f>
        <x:v>6</x:v>
      </x:c>
      <x:c r="P125" s="10" t="n">
        <x:f>N125-O125</x:f>
        <x:v>13.95</x:v>
      </x:c>
      <x:c r="Q125" s="9" t="n">
        <x:f>A125-WEEKDAY(A125,2)+1</x:f>
        <x:v>46265</x:v>
      </x:c>
      <x:c r="R125" s="2" t="str">
        <x:f>IF(AND(A125&gt;='Review'!$B$4,A125&lt;='Review'!$D$4),"Selected","Outside")</x:f>
        <x:v>Outside</x:v>
      </x:c>
    </x:row>
    <x:row r="126" ht="20" customHeight="1">
      <x:c r="A126" s="9" t="n">
        <x:v>46266</x:v>
      </x:c>
      <x:c r="B126" s="2" t="str">
        <x:v>MM-1090</x:v>
      </x:c>
      <x:c r="C126" s="2" t="str">
        <x:v>Direct</x:v>
      </x:c>
      <x:c r="D126" s="2" t="str">
        <x:v>GFT-002</x:v>
      </x:c>
      <x:c r="E126" s="2" t="str">
        <x:f>_xlfn.IFNA(VLOOKUP(D126,'Products'!$A$7:$I$22,2,FALSE),"Unmapped")</x:f>
        <x:v>Cozy weekend gift box</x:v>
      </x:c>
      <x:c r="F126" s="2" t="str">
        <x:f>_xlfn.IFNA(VLOOKUP(D126,'Products'!$A$7:$I$22,3,FALSE),"Unmapped")</x:f>
        <x:v>Gifts</x:v>
      </x:c>
      <x:c r="G126" s="2" t="n">
        <x:v>1</x:v>
      </x:c>
      <x:c r="H126" s="2" t="n">
        <x:v>0</x:v>
      </x:c>
      <x:c r="I126" s="10" t="n">
        <x:v>79.95</x:v>
      </x:c>
      <x:c r="J126" s="10" t="n">
        <x:v>0</x:v>
      </x:c>
      <x:c r="K126" s="10" t="n">
        <x:v>32</x:v>
      </x:c>
      <x:c r="L126" s="10" t="n">
        <x:f>G126*I126</x:f>
        <x:v>79.95</x:v>
      </x:c>
      <x:c r="M126" s="10" t="n">
        <x:f>ROUND((L126-J126)*H126/G126,2)</x:f>
        <x:v>0</x:v>
      </x:c>
      <x:c r="N126" s="10" t="n">
        <x:f>L126-J126-M126</x:f>
        <x:v>79.95</x:v>
      </x:c>
      <x:c r="O126" s="10" t="n">
        <x:f>(G126-H126)*K126</x:f>
        <x:v>32</x:v>
      </x:c>
      <x:c r="P126" s="10" t="n">
        <x:f>N126-O126</x:f>
        <x:v>47.95</x:v>
      </x:c>
      <x:c r="Q126" s="9" t="n">
        <x:f>A126-WEEKDAY(A126,2)+1</x:f>
        <x:v>46265</x:v>
      </x:c>
      <x:c r="R126" s="2" t="str">
        <x:f>IF(AND(A126&gt;='Review'!$B$4,A126&lt;='Review'!$D$4),"Selected","Outside")</x:f>
        <x:v>Outside</x:v>
      </x:c>
    </x:row>
    <x:row r="127" ht="20" customHeight="1">
      <x:c r="A127" s="9" t="n">
        <x:v>46266</x:v>
      </x:c>
      <x:c r="B127" s="2" t="str">
        <x:v>MM-1091</x:v>
      </x:c>
      <x:c r="C127" s="2" t="str">
        <x:v>Direct</x:v>
      </x:c>
      <x:c r="D127" s="2" t="str">
        <x:v>TUM-001</x:v>
      </x:c>
      <x:c r="E127" s="2" t="str">
        <x:f>_xlfn.IFNA(VLOOKUP(D127,'Products'!$A$7:$I$22,2,FALSE),"Unmapped")</x:f>
        <x:v>Maple travel tumbler</x:v>
      </x:c>
      <x:c r="F127" s="2" t="str">
        <x:f>_xlfn.IFNA(VLOOKUP(D127,'Products'!$A$7:$I$22,3,FALSE),"Unmapped")</x:f>
        <x:v>Drinkware</x:v>
      </x:c>
      <x:c r="G127" s="2" t="n">
        <x:v>1</x:v>
      </x:c>
      <x:c r="H127" s="2" t="n">
        <x:v>0</x:v>
      </x:c>
      <x:c r="I127" s="10" t="n">
        <x:v>32.95</x:v>
      </x:c>
      <x:c r="J127" s="10" t="n">
        <x:v>0</x:v>
      </x:c>
      <x:c r="K127" s="10" t="n">
        <x:v>12</x:v>
      </x:c>
      <x:c r="L127" s="10" t="n">
        <x:f>G127*I127</x:f>
        <x:v>32.95</x:v>
      </x:c>
      <x:c r="M127" s="10" t="n">
        <x:f>ROUND((L127-J127)*H127/G127,2)</x:f>
        <x:v>0</x:v>
      </x:c>
      <x:c r="N127" s="10" t="n">
        <x:f>L127-J127-M127</x:f>
        <x:v>32.95</x:v>
      </x:c>
      <x:c r="O127" s="10" t="n">
        <x:f>(G127-H127)*K127</x:f>
        <x:v>12</x:v>
      </x:c>
      <x:c r="P127" s="10" t="n">
        <x:f>N127-O127</x:f>
        <x:v>20.950000000000003</x:v>
      </x:c>
      <x:c r="Q127" s="9" t="n">
        <x:f>A127-WEEKDAY(A127,2)+1</x:f>
        <x:v>46265</x:v>
      </x:c>
      <x:c r="R127" s="2" t="str">
        <x:f>IF(AND(A127&gt;='Review'!$B$4,A127&lt;='Review'!$D$4),"Selected","Outside")</x:f>
        <x:v>Outside</x:v>
      </x:c>
    </x:row>
    <x:row r="128" ht="20" customHeight="1">
      <x:c r="A128" s="9" t="n">
        <x:v>46266</x:v>
      </x:c>
      <x:c r="B128" s="2" t="str">
        <x:v>MM-1091</x:v>
      </x:c>
      <x:c r="C128" s="2" t="str">
        <x:v>Direct</x:v>
      </x:c>
      <x:c r="D128" s="2" t="str">
        <x:v>PIN-001</x:v>
      </x:c>
      <x:c r="E128" s="2" t="str">
        <x:f>_xlfn.IFNA(VLOOKUP(D128,'Products'!$A$7:$I$22,2,FALSE),"Unmapped")</x:f>
        <x:v>Coffee enamel pin</x:v>
      </x:c>
      <x:c r="F128" s="2" t="str">
        <x:f>_xlfn.IFNA(VLOOKUP(D128,'Products'!$A$7:$I$22,3,FALSE),"Unmapped")</x:f>
        <x:v>Accessories</x:v>
      </x:c>
      <x:c r="G128" s="2" t="n">
        <x:v>3</x:v>
      </x:c>
      <x:c r="H128" s="2" t="n">
        <x:v>0</x:v>
      </x:c>
      <x:c r="I128" s="10" t="n">
        <x:v>9.95</x:v>
      </x:c>
      <x:c r="J128" s="10" t="n">
        <x:v>0</x:v>
      </x:c>
      <x:c r="K128" s="10" t="n">
        <x:v>2.5</x:v>
      </x:c>
      <x:c r="L128" s="10" t="n">
        <x:f>G128*I128</x:f>
        <x:v>29.849999999999998</x:v>
      </x:c>
      <x:c r="M128" s="10" t="n">
        <x:f>ROUND((L128-J128)*H128/G128,2)</x:f>
        <x:v>0</x:v>
      </x:c>
      <x:c r="N128" s="10" t="n">
        <x:f>L128-J128-M128</x:f>
        <x:v>29.849999999999998</x:v>
      </x:c>
      <x:c r="O128" s="10" t="n">
        <x:f>(G128-H128)*K128</x:f>
        <x:v>7.5</x:v>
      </x:c>
      <x:c r="P128" s="10" t="n">
        <x:f>N128-O128</x:f>
        <x:v>22.349999999999998</x:v>
      </x:c>
      <x:c r="Q128" s="9" t="n">
        <x:f>A128-WEEKDAY(A128,2)+1</x:f>
        <x:v>46265</x:v>
      </x:c>
      <x:c r="R128" s="2" t="str">
        <x:f>IF(AND(A128&gt;='Review'!$B$4,A128&lt;='Review'!$D$4),"Selected","Outside")</x:f>
        <x:v>Outside</x:v>
      </x:c>
    </x:row>
    <x:row r="129" ht="20" customHeight="1">
      <x:c r="A129" s="9" t="n">
        <x:v>46266</x:v>
      </x:c>
      <x:c r="B129" s="2" t="str">
        <x:v>MM-1091</x:v>
      </x:c>
      <x:c r="C129" s="2" t="str">
        <x:v>Direct</x:v>
      </x:c>
      <x:c r="D129" s="2" t="str">
        <x:v>BOT-001</x:v>
      </x:c>
      <x:c r="E129" s="2" t="str">
        <x:f>_xlfn.IFNA(VLOOKUP(D129,'Products'!$A$7:$I$22,2,FALSE),"Unmapped")</x:f>
        <x:v>Trail water bottle</x:v>
      </x:c>
      <x:c r="F129" s="2" t="str">
        <x:f>_xlfn.IFNA(VLOOKUP(D129,'Products'!$A$7:$I$22,3,FALSE),"Unmapped")</x:f>
        <x:v>Drinkware</x:v>
      </x:c>
      <x:c r="G129" s="2" t="n">
        <x:v>1</x:v>
      </x:c>
      <x:c r="H129" s="2" t="n">
        <x:v>1</x:v>
      </x:c>
      <x:c r="I129" s="10" t="n">
        <x:v>34.95</x:v>
      </x:c>
      <x:c r="J129" s="10" t="n">
        <x:v>0</x:v>
      </x:c>
      <x:c r="K129" s="10" t="n">
        <x:v>13.5</x:v>
      </x:c>
      <x:c r="L129" s="10" t="n">
        <x:f>G129*I129</x:f>
        <x:v>34.95</x:v>
      </x:c>
      <x:c r="M129" s="10" t="n">
        <x:f>ROUND((L129-J129)*H129/G129,2)</x:f>
        <x:v>34.95</x:v>
      </x:c>
      <x:c r="N129" s="10" t="n">
        <x:f>L129-J129-M129</x:f>
        <x:v>0</x:v>
      </x:c>
      <x:c r="O129" s="10" t="n">
        <x:f>(G129-H129)*K129</x:f>
        <x:v>0</x:v>
      </x:c>
      <x:c r="P129" s="10" t="n">
        <x:f>N129-O129</x:f>
        <x:v>0</x:v>
      </x:c>
      <x:c r="Q129" s="9" t="n">
        <x:f>A129-WEEKDAY(A129,2)+1</x:f>
        <x:v>46265</x:v>
      </x:c>
      <x:c r="R129" s="2" t="str">
        <x:f>IF(AND(A129&gt;='Review'!$B$4,A129&lt;='Review'!$D$4),"Selected","Outside")</x:f>
        <x:v>Outside</x:v>
      </x:c>
    </x:row>
    <x:row r="130" ht="20" customHeight="1">
      <x:c r="A130" s="9" t="n">
        <x:v>46266</x:v>
      </x:c>
      <x:c r="B130" s="2" t="str">
        <x:v>MM-1087</x:v>
      </x:c>
      <x:c r="C130" s="2" t="str">
        <x:v>Paid Social</x:v>
      </x:c>
      <x:c r="D130" s="2" t="str">
        <x:v>TUM-001</x:v>
      </x:c>
      <x:c r="E130" s="2" t="str">
        <x:f>_xlfn.IFNA(VLOOKUP(D130,'Products'!$A$7:$I$22,2,FALSE),"Unmapped")</x:f>
        <x:v>Maple travel tumbler</x:v>
      </x:c>
      <x:c r="F130" s="2" t="str">
        <x:f>_xlfn.IFNA(VLOOKUP(D130,'Products'!$A$7:$I$22,3,FALSE),"Unmapped")</x:f>
        <x:v>Drinkware</x:v>
      </x:c>
      <x:c r="G130" s="2" t="n">
        <x:v>3</x:v>
      </x:c>
      <x:c r="H130" s="2" t="n">
        <x:v>0</x:v>
      </x:c>
      <x:c r="I130" s="10" t="n">
        <x:v>32.95</x:v>
      </x:c>
      <x:c r="J130" s="10" t="n">
        <x:v>0</x:v>
      </x:c>
      <x:c r="K130" s="10" t="n">
        <x:v>12</x:v>
      </x:c>
      <x:c r="L130" s="10" t="n">
        <x:f>G130*I130</x:f>
        <x:v>98.85000000000001</x:v>
      </x:c>
      <x:c r="M130" s="10" t="n">
        <x:f>ROUND((L130-J130)*H130/G130,2)</x:f>
        <x:v>0</x:v>
      </x:c>
      <x:c r="N130" s="10" t="n">
        <x:f>L130-J130-M130</x:f>
        <x:v>98.85000000000001</x:v>
      </x:c>
      <x:c r="O130" s="10" t="n">
        <x:f>(G130-H130)*K130</x:f>
        <x:v>36</x:v>
      </x:c>
      <x:c r="P130" s="10" t="n">
        <x:f>N130-O130</x:f>
        <x:v>62.85000000000001</x:v>
      </x:c>
      <x:c r="Q130" s="9" t="n">
        <x:f>A130-WEEKDAY(A130,2)+1</x:f>
        <x:v>46265</x:v>
      </x:c>
      <x:c r="R130" s="2" t="str">
        <x:f>IF(AND(A130&gt;='Review'!$B$4,A130&lt;='Review'!$D$4),"Selected","Outside")</x:f>
        <x:v>Outside</x:v>
      </x:c>
    </x:row>
    <x:row r="131" ht="20" customHeight="1">
      <x:c r="A131" s="9" t="n">
        <x:v>46266</x:v>
      </x:c>
      <x:c r="B131" s="2" t="str">
        <x:v>MM-1086</x:v>
      </x:c>
      <x:c r="C131" s="2" t="str">
        <x:v>Email</x:v>
      </x:c>
      <x:c r="D131" s="2" t="str">
        <x:v>KEY-001</x:v>
      </x:c>
      <x:c r="E131" s="2" t="str">
        <x:f>_xlfn.IFNA(VLOOKUP(D131,'Products'!$A$7:$I$22,2,FALSE),"Unmapped")</x:f>
        <x:v>Maple keyring</x:v>
      </x:c>
      <x:c r="F131" s="2" t="str">
        <x:f>_xlfn.IFNA(VLOOKUP(D131,'Products'!$A$7:$I$22,3,FALSE),"Unmapped")</x:f>
        <x:v>Accessories</x:v>
      </x:c>
      <x:c r="G131" s="2" t="n">
        <x:v>1</x:v>
      </x:c>
      <x:c r="H131" s="2" t="n">
        <x:v>0</x:v>
      </x:c>
      <x:c r="I131" s="10" t="n">
        <x:v>12.95</x:v>
      </x:c>
      <x:c r="J131" s="10" t="n">
        <x:v>1.29</x:v>
      </x:c>
      <x:c r="K131" s="10" t="n">
        <x:v>3.5</x:v>
      </x:c>
      <x:c r="L131" s="10" t="n">
        <x:f>G131*I131</x:f>
        <x:v>12.95</x:v>
      </x:c>
      <x:c r="M131" s="10" t="n">
        <x:f>ROUND((L131-J131)*H131/G131,2)</x:f>
        <x:v>0</x:v>
      </x:c>
      <x:c r="N131" s="10" t="n">
        <x:f>L131-J131-M131</x:f>
        <x:v>11.66</x:v>
      </x:c>
      <x:c r="O131" s="10" t="n">
        <x:f>(G131-H131)*K131</x:f>
        <x:v>3.5</x:v>
      </x:c>
      <x:c r="P131" s="10" t="n">
        <x:f>N131-O131</x:f>
        <x:v>8.16</x:v>
      </x:c>
      <x:c r="Q131" s="9" t="n">
        <x:f>A131-WEEKDAY(A131,2)+1</x:f>
        <x:v>46265</x:v>
      </x:c>
      <x:c r="R131" s="2" t="str">
        <x:f>IF(AND(A131&gt;='Review'!$B$4,A131&lt;='Review'!$D$4),"Selected","Outside")</x:f>
        <x:v>Outside</x:v>
      </x:c>
    </x:row>
    <x:row r="132" ht="20" customHeight="1">
      <x:c r="A132" s="9" t="n">
        <x:v>46266</x:v>
      </x:c>
      <x:c r="B132" s="2" t="str">
        <x:v>MM-1083</x:v>
      </x:c>
      <x:c r="C132" s="2" t="str">
        <x:v>Organic Search</x:v>
      </x:c>
      <x:c r="D132" s="2" t="str">
        <x:v>MUG-001</x:v>
      </x:c>
      <x:c r="E132" s="2" t="str">
        <x:f>_xlfn.IFNA(VLOOKUP(D132,'Products'!$A$7:$I$22,2,FALSE),"Unmapped")</x:f>
        <x:v>Everyday ceramic mug</x:v>
      </x:c>
      <x:c r="F132" s="2" t="str">
        <x:f>_xlfn.IFNA(VLOOKUP(D132,'Products'!$A$7:$I$22,3,FALSE),"Unmapped")</x:f>
        <x:v>Drinkware</x:v>
      </x:c>
      <x:c r="G132" s="2" t="n">
        <x:v>1</x:v>
      </x:c>
      <x:c r="H132" s="2" t="n">
        <x:v>1</x:v>
      </x:c>
      <x:c r="I132" s="10" t="n">
        <x:v>18.95</x:v>
      </x:c>
      <x:c r="J132" s="10" t="n">
        <x:v>0</x:v>
      </x:c>
      <x:c r="K132" s="10" t="n">
        <x:v>6.5</x:v>
      </x:c>
      <x:c r="L132" s="10" t="n">
        <x:f>G132*I132</x:f>
        <x:v>18.95</x:v>
      </x:c>
      <x:c r="M132" s="10" t="n">
        <x:f>ROUND((L132-J132)*H132/G132,2)</x:f>
        <x:v>18.95</x:v>
      </x:c>
      <x:c r="N132" s="10" t="n">
        <x:f>L132-J132-M132</x:f>
        <x:v>0</x:v>
      </x:c>
      <x:c r="O132" s="10" t="n">
        <x:f>(G132-H132)*K132</x:f>
        <x:v>0</x:v>
      </x:c>
      <x:c r="P132" s="10" t="n">
        <x:f>N132-O132</x:f>
        <x:v>0</x:v>
      </x:c>
      <x:c r="Q132" s="9" t="n">
        <x:f>A132-WEEKDAY(A132,2)+1</x:f>
        <x:v>46265</x:v>
      </x:c>
      <x:c r="R132" s="2" t="str">
        <x:f>IF(AND(A132&gt;='Review'!$B$4,A132&lt;='Review'!$D$4),"Selected","Outside")</x:f>
        <x:v>Outside</x:v>
      </x:c>
    </x:row>
    <x:row r="133" ht="20" customHeight="1">
      <x:c r="A133" s="9" t="n">
        <x:v>46266</x:v>
      </x:c>
      <x:c r="B133" s="2" t="str">
        <x:v>MM-1082</x:v>
      </x:c>
      <x:c r="C133" s="2" t="str">
        <x:v>Email</x:v>
      </x:c>
      <x:c r="D133" s="2" t="str">
        <x:v>MUG-001</x:v>
      </x:c>
      <x:c r="E133" s="2" t="str">
        <x:f>_xlfn.IFNA(VLOOKUP(D133,'Products'!$A$7:$I$22,2,FALSE),"Unmapped")</x:f>
        <x:v>Everyday ceramic mug</x:v>
      </x:c>
      <x:c r="F133" s="2" t="str">
        <x:f>_xlfn.IFNA(VLOOKUP(D133,'Products'!$A$7:$I$22,3,FALSE),"Unmapped")</x:f>
        <x:v>Drinkware</x:v>
      </x:c>
      <x:c r="G133" s="2" t="n">
        <x:v>2</x:v>
      </x:c>
      <x:c r="H133" s="2" t="n">
        <x:v>0</x:v>
      </x:c>
      <x:c r="I133" s="10" t="n">
        <x:v>18.95</x:v>
      </x:c>
      <x:c r="J133" s="10" t="n">
        <x:v>3.79</x:v>
      </x:c>
      <x:c r="K133" s="10" t="n">
        <x:v>6.5</x:v>
      </x:c>
      <x:c r="L133" s="10" t="n">
        <x:f>G133*I133</x:f>
        <x:v>37.9</x:v>
      </x:c>
      <x:c r="M133" s="10" t="n">
        <x:f>ROUND((L133-J133)*H133/G133,2)</x:f>
        <x:v>0</x:v>
      </x:c>
      <x:c r="N133" s="10" t="n">
        <x:f>L133-J133-M133</x:f>
        <x:v>34.11</x:v>
      </x:c>
      <x:c r="O133" s="10" t="n">
        <x:f>(G133-H133)*K133</x:f>
        <x:v>13</x:v>
      </x:c>
      <x:c r="P133" s="10" t="n">
        <x:f>N133-O133</x:f>
        <x:v>21.11</x:v>
      </x:c>
      <x:c r="Q133" s="9" t="n">
        <x:f>A133-WEEKDAY(A133,2)+1</x:f>
        <x:v>46265</x:v>
      </x:c>
      <x:c r="R133" s="2" t="str">
        <x:f>IF(AND(A133&gt;='Review'!$B$4,A133&lt;='Review'!$D$4),"Selected","Outside")</x:f>
        <x:v>Outside</x:v>
      </x:c>
    </x:row>
    <x:row r="134" ht="20" customHeight="1">
      <x:c r="A134" s="9" t="n">
        <x:v>46266</x:v>
      </x:c>
      <x:c r="B134" s="2" t="str">
        <x:v>MM-1092</x:v>
      </x:c>
      <x:c r="C134" s="2" t="str">
        <x:v>Organic Search</x:v>
      </x:c>
      <x:c r="D134" s="2" t="str">
        <x:v>TOTE-001</x:v>
      </x:c>
      <x:c r="E134" s="2" t="str">
        <x:f>_xlfn.IFNA(VLOOKUP(D134,'Products'!$A$7:$I$22,2,FALSE),"Unmapped")</x:f>
        <x:v>Market canvas tote</x:v>
      </x:c>
      <x:c r="F134" s="2" t="str">
        <x:f>_xlfn.IFNA(VLOOKUP(D134,'Products'!$A$7:$I$22,3,FALSE),"Unmapped")</x:f>
        <x:v>Accessories</x:v>
      </x:c>
      <x:c r="G134" s="2" t="n">
        <x:v>1</x:v>
      </x:c>
      <x:c r="H134" s="2" t="n">
        <x:v>0</x:v>
      </x:c>
      <x:c r="I134" s="10" t="n">
        <x:v>19.95</x:v>
      </x:c>
      <x:c r="J134" s="10" t="n">
        <x:v>0</x:v>
      </x:c>
      <x:c r="K134" s="10" t="n">
        <x:v>6</x:v>
      </x:c>
      <x:c r="L134" s="10" t="n">
        <x:f>G134*I134</x:f>
        <x:v>19.95</x:v>
      </x:c>
      <x:c r="M134" s="10" t="n">
        <x:f>ROUND((L134-J134)*H134/G134,2)</x:f>
        <x:v>0</x:v>
      </x:c>
      <x:c r="N134" s="10" t="n">
        <x:f>L134-J134-M134</x:f>
        <x:v>19.95</x:v>
      </x:c>
      <x:c r="O134" s="10" t="n">
        <x:f>(G134-H134)*K134</x:f>
        <x:v>6</x:v>
      </x:c>
      <x:c r="P134" s="10" t="n">
        <x:f>N134-O134</x:f>
        <x:v>13.95</x:v>
      </x:c>
      <x:c r="Q134" s="9" t="n">
        <x:f>A134-WEEKDAY(A134,2)+1</x:f>
        <x:v>46265</x:v>
      </x:c>
      <x:c r="R134" s="2" t="str">
        <x:f>IF(AND(A134&gt;='Review'!$B$4,A134&lt;='Review'!$D$4),"Selected","Outside")</x:f>
        <x:v>Outside</x:v>
      </x:c>
    </x:row>
    <x:row r="135" ht="20" customHeight="1">
      <x:c r="A135" s="9" t="n">
        <x:v>46266</x:v>
      </x:c>
      <x:c r="B135" s="2" t="str">
        <x:v>MM-1094</x:v>
      </x:c>
      <x:c r="C135" s="2" t="str">
        <x:v>Email</x:v>
      </x:c>
      <x:c r="D135" s="2" t="str">
        <x:v>APP-002</x:v>
      </x:c>
      <x:c r="E135" s="2" t="str">
        <x:f>_xlfn.IFNA(VLOOKUP(D135,'Products'!$A$7:$I$22,2,FALSE),"Unmapped")</x:f>
        <x:v>Weekend hoodie</x:v>
      </x:c>
      <x:c r="F135" s="2" t="str">
        <x:f>_xlfn.IFNA(VLOOKUP(D135,'Products'!$A$7:$I$22,3,FALSE),"Unmapped")</x:f>
        <x:v>Apparel</x:v>
      </x:c>
      <x:c r="G135" s="2" t="n">
        <x:v>1</x:v>
      </x:c>
      <x:c r="H135" s="2" t="n">
        <x:v>1</x:v>
      </x:c>
      <x:c r="I135" s="10" t="n">
        <x:v>69.95</x:v>
      </x:c>
      <x:c r="J135" s="10" t="n">
        <x:v>6.99</x:v>
      </x:c>
      <x:c r="K135" s="10" t="n">
        <x:v>28</x:v>
      </x:c>
      <x:c r="L135" s="10" t="n">
        <x:f>G135*I135</x:f>
        <x:v>69.95</x:v>
      </x:c>
      <x:c r="M135" s="10" t="n">
        <x:f>ROUND((L135-J135)*H135/G135,2)</x:f>
        <x:v>62.96</x:v>
      </x:c>
      <x:c r="N135" s="10" t="n">
        <x:f>L135-J135-M135</x:f>
        <x:v>0</x:v>
      </x:c>
      <x:c r="O135" s="10" t="n">
        <x:f>(G135-H135)*K135</x:f>
        <x:v>0</x:v>
      </x:c>
      <x:c r="P135" s="10" t="n">
        <x:f>N135-O135</x:f>
        <x:v>0</x:v>
      </x:c>
      <x:c r="Q135" s="9" t="n">
        <x:f>A135-WEEKDAY(A135,2)+1</x:f>
        <x:v>46265</x:v>
      </x:c>
      <x:c r="R135" s="2" t="str">
        <x:f>IF(AND(A135&gt;='Review'!$B$4,A135&lt;='Review'!$D$4),"Selected","Outside")</x:f>
        <x:v>Outside</x:v>
      </x:c>
    </x:row>
    <x:row r="136" ht="20" customHeight="1">
      <x:c r="A136" s="9" t="n">
        <x:v>46266</x:v>
      </x:c>
      <x:c r="B136" s="2" t="str">
        <x:v>MM-1096</x:v>
      </x:c>
      <x:c r="C136" s="2" t="str">
        <x:v>Email</x:v>
      </x:c>
      <x:c r="D136" s="2" t="str">
        <x:v>HAT-001</x:v>
      </x:c>
      <x:c r="E136" s="2" t="str">
        <x:f>_xlfn.IFNA(VLOOKUP(D136,'Products'!$A$7:$I$22,2,FALSE),"Unmapped")</x:f>
        <x:v>Classic canvas cap</x:v>
      </x:c>
      <x:c r="F136" s="2" t="str">
        <x:f>_xlfn.IFNA(VLOOKUP(D136,'Products'!$A$7:$I$22,3,FALSE),"Unmapped")</x:f>
        <x:v>Accessories</x:v>
      </x:c>
      <x:c r="G136" s="2" t="n">
        <x:v>1</x:v>
      </x:c>
      <x:c r="H136" s="2" t="n">
        <x:v>0</x:v>
      </x:c>
      <x:c r="I136" s="10" t="n">
        <x:v>24.95</x:v>
      </x:c>
      <x:c r="J136" s="10" t="n">
        <x:v>2.49</x:v>
      </x:c>
      <x:c r="K136" s="10" t="n">
        <x:v>8.5</x:v>
      </x:c>
      <x:c r="L136" s="10" t="n">
        <x:f>G136*I136</x:f>
        <x:v>24.95</x:v>
      </x:c>
      <x:c r="M136" s="10" t="n">
        <x:f>ROUND((L136-J136)*H136/G136,2)</x:f>
        <x:v>0</x:v>
      </x:c>
      <x:c r="N136" s="10" t="n">
        <x:f>L136-J136-M136</x:f>
        <x:v>22.46</x:v>
      </x:c>
      <x:c r="O136" s="10" t="n">
        <x:f>(G136-H136)*K136</x:f>
        <x:v>8.5</x:v>
      </x:c>
      <x:c r="P136" s="10" t="n">
        <x:f>N136-O136</x:f>
        <x:v>13.96</x:v>
      </x:c>
      <x:c r="Q136" s="9" t="n">
        <x:f>A136-WEEKDAY(A136,2)+1</x:f>
        <x:v>46265</x:v>
      </x:c>
      <x:c r="R136" s="2" t="str">
        <x:f>IF(AND(A136&gt;='Review'!$B$4,A136&lt;='Review'!$D$4),"Selected","Outside")</x:f>
        <x:v>Outside</x:v>
      </x:c>
    </x:row>
    <x:row r="137" ht="20" customHeight="1">
      <x:c r="A137" s="9" t="n">
        <x:v>46266</x:v>
      </x:c>
      <x:c r="B137" s="2" t="str">
        <x:v>MM-1097</x:v>
      </x:c>
      <x:c r="C137" s="2" t="str">
        <x:v>Paid Social</x:v>
      </x:c>
      <x:c r="D137" s="2" t="str">
        <x:v>MUG-002</x:v>
      </x:c>
      <x:c r="E137" s="2" t="str">
        <x:f>_xlfn.IFNA(VLOOKUP(D137,'Products'!$A$7:$I$22,2,FALSE),"Unmapped")</x:f>
        <x:v>Campfire enamel mug</x:v>
      </x:c>
      <x:c r="F137" s="2" t="str">
        <x:f>_xlfn.IFNA(VLOOKUP(D137,'Products'!$A$7:$I$22,3,FALSE),"Unmapped")</x:f>
        <x:v>Drinkware</x:v>
      </x:c>
      <x:c r="G137" s="2" t="n">
        <x:v>1</x:v>
      </x:c>
      <x:c r="H137" s="2" t="n">
        <x:v>0</x:v>
      </x:c>
      <x:c r="I137" s="10" t="n">
        <x:v>22.95</x:v>
      </x:c>
      <x:c r="J137" s="10" t="n">
        <x:v>0</x:v>
      </x:c>
      <x:c r="K137" s="10" t="n">
        <x:v>8.5</x:v>
      </x:c>
      <x:c r="L137" s="10" t="n">
        <x:f>G137*I137</x:f>
        <x:v>22.95</x:v>
      </x:c>
      <x:c r="M137" s="10" t="n">
        <x:f>ROUND((L137-J137)*H137/G137,2)</x:f>
        <x:v>0</x:v>
      </x:c>
      <x:c r="N137" s="10" t="n">
        <x:f>L137-J137-M137</x:f>
        <x:v>22.95</x:v>
      </x:c>
      <x:c r="O137" s="10" t="n">
        <x:f>(G137-H137)*K137</x:f>
        <x:v>8.5</x:v>
      </x:c>
      <x:c r="P137" s="10" t="n">
        <x:f>N137-O137</x:f>
        <x:v>14.45</x:v>
      </x:c>
      <x:c r="Q137" s="9" t="n">
        <x:f>A137-WEEKDAY(A137,2)+1</x:f>
        <x:v>46265</x:v>
      </x:c>
      <x:c r="R137" s="2" t="str">
        <x:f>IF(AND(A137&gt;='Review'!$B$4,A137&lt;='Review'!$D$4),"Selected","Outside")</x:f>
        <x:v>Outside</x:v>
      </x:c>
    </x:row>
    <x:row r="138" ht="20" customHeight="1">
      <x:c r="A138" s="9" t="n">
        <x:v>46266</x:v>
      </x:c>
      <x:c r="B138" s="2" t="str">
        <x:v>MM-1097</x:v>
      </x:c>
      <x:c r="C138" s="2" t="str">
        <x:v>Paid Social</x:v>
      </x:c>
      <x:c r="D138" s="2" t="str">
        <x:v>KEY-001</x:v>
      </x:c>
      <x:c r="E138" s="2" t="str">
        <x:f>_xlfn.IFNA(VLOOKUP(D138,'Products'!$A$7:$I$22,2,FALSE),"Unmapped")</x:f>
        <x:v>Maple keyring</x:v>
      </x:c>
      <x:c r="F138" s="2" t="str">
        <x:f>_xlfn.IFNA(VLOOKUP(D138,'Products'!$A$7:$I$22,3,FALSE),"Unmapped")</x:f>
        <x:v>Accessories</x:v>
      </x:c>
      <x:c r="G138" s="2" t="n">
        <x:v>2</x:v>
      </x:c>
      <x:c r="H138" s="2" t="n">
        <x:v>0</x:v>
      </x:c>
      <x:c r="I138" s="10" t="n">
        <x:v>12.95</x:v>
      </x:c>
      <x:c r="J138" s="10" t="n">
        <x:v>0</x:v>
      </x:c>
      <x:c r="K138" s="10" t="n">
        <x:v>3.5</x:v>
      </x:c>
      <x:c r="L138" s="10" t="n">
        <x:f>G138*I138</x:f>
        <x:v>25.9</x:v>
      </x:c>
      <x:c r="M138" s="10" t="n">
        <x:f>ROUND((L138-J138)*H138/G138,2)</x:f>
        <x:v>0</x:v>
      </x:c>
      <x:c r="N138" s="10" t="n">
        <x:f>L138-J138-M138</x:f>
        <x:v>25.9</x:v>
      </x:c>
      <x:c r="O138" s="10" t="n">
        <x:f>(G138-H138)*K138</x:f>
        <x:v>7</x:v>
      </x:c>
      <x:c r="P138" s="10" t="n">
        <x:f>N138-O138</x:f>
        <x:v>18.9</x:v>
      </x:c>
      <x:c r="Q138" s="9" t="n">
        <x:f>A138-WEEKDAY(A138,2)+1</x:f>
        <x:v>46265</x:v>
      </x:c>
      <x:c r="R138" s="2" t="str">
        <x:f>IF(AND(A138&gt;='Review'!$B$4,A138&lt;='Review'!$D$4),"Selected","Outside")</x:f>
        <x:v>Outside</x:v>
      </x:c>
    </x:row>
    <x:row r="139" ht="20" customHeight="1">
      <x:c r="A139" s="9" t="n">
        <x:v>46267</x:v>
      </x:c>
      <x:c r="B139" s="2" t="str">
        <x:v>MM-1101</x:v>
      </x:c>
      <x:c r="C139" s="2" t="str">
        <x:v>Direct</x:v>
      </x:c>
      <x:c r="D139" s="2" t="str">
        <x:v>TUM-002</x:v>
      </x:c>
      <x:c r="E139" s="2" t="str">
        <x:f>_xlfn.IFNA(VLOOKUP(D139,'Products'!$A$7:$I$22,2,FALSE),"Unmapped")</x:f>
        <x:v>Cold brew glass cup</x:v>
      </x:c>
      <x:c r="F139" s="2" t="str">
        <x:f>_xlfn.IFNA(VLOOKUP(D139,'Products'!$A$7:$I$22,3,FALSE),"Unmapped")</x:f>
        <x:v>Drinkware</x:v>
      </x:c>
      <x:c r="G139" s="2" t="n">
        <x:v>1</x:v>
      </x:c>
      <x:c r="H139" s="2" t="n">
        <x:v>0</x:v>
      </x:c>
      <x:c r="I139" s="10" t="n">
        <x:v>24.95</x:v>
      </x:c>
      <x:c r="J139" s="10" t="n">
        <x:v>0</x:v>
      </x:c>
      <x:c r="K139" s="10" t="n">
        <x:v>9</x:v>
      </x:c>
      <x:c r="L139" s="10" t="n">
        <x:f>G139*I139</x:f>
        <x:v>24.95</x:v>
      </x:c>
      <x:c r="M139" s="10" t="n">
        <x:f>ROUND((L139-J139)*H139/G139,2)</x:f>
        <x:v>0</x:v>
      </x:c>
      <x:c r="N139" s="10" t="n">
        <x:f>L139-J139-M139</x:f>
        <x:v>24.95</x:v>
      </x:c>
      <x:c r="O139" s="10" t="n">
        <x:f>(G139-H139)*K139</x:f>
        <x:v>9</x:v>
      </x:c>
      <x:c r="P139" s="10" t="n">
        <x:f>N139-O139</x:f>
        <x:v>15.95</x:v>
      </x:c>
      <x:c r="Q139" s="9" t="n">
        <x:f>A139-WEEKDAY(A139,2)+1</x:f>
        <x:v>46265</x:v>
      </x:c>
      <x:c r="R139" s="2" t="str">
        <x:f>IF(AND(A139&gt;='Review'!$B$4,A139&lt;='Review'!$D$4),"Selected","Outside")</x:f>
        <x:v>Outside</x:v>
      </x:c>
    </x:row>
    <x:row r="140" ht="20" customHeight="1">
      <x:c r="A140" s="9" t="n">
        <x:v>46267</x:v>
      </x:c>
      <x:c r="B140" s="2" t="str">
        <x:v>MM-1107</x:v>
      </x:c>
      <x:c r="C140" s="2" t="str">
        <x:v>Organic Search</x:v>
      </x:c>
      <x:c r="D140" s="2" t="str">
        <x:v>MUG-002</x:v>
      </x:c>
      <x:c r="E140" s="2" t="str">
        <x:f>_xlfn.IFNA(VLOOKUP(D140,'Products'!$A$7:$I$22,2,FALSE),"Unmapped")</x:f>
        <x:v>Campfire enamel mug</x:v>
      </x:c>
      <x:c r="F140" s="2" t="str">
        <x:f>_xlfn.IFNA(VLOOKUP(D140,'Products'!$A$7:$I$22,3,FALSE),"Unmapped")</x:f>
        <x:v>Drinkware</x:v>
      </x:c>
      <x:c r="G140" s="2" t="n">
        <x:v>3</x:v>
      </x:c>
      <x:c r="H140" s="2" t="n">
        <x:v>0</x:v>
      </x:c>
      <x:c r="I140" s="10" t="n">
        <x:v>22.95</x:v>
      </x:c>
      <x:c r="J140" s="10" t="n">
        <x:v>0</x:v>
      </x:c>
      <x:c r="K140" s="10" t="n">
        <x:v>8.5</x:v>
      </x:c>
      <x:c r="L140" s="10" t="n">
        <x:f>G140*I140</x:f>
        <x:v>68.85</x:v>
      </x:c>
      <x:c r="M140" s="10" t="n">
        <x:f>ROUND((L140-J140)*H140/G140,2)</x:f>
        <x:v>0</x:v>
      </x:c>
      <x:c r="N140" s="10" t="n">
        <x:f>L140-J140-M140</x:f>
        <x:v>68.85</x:v>
      </x:c>
      <x:c r="O140" s="10" t="n">
        <x:f>(G140-H140)*K140</x:f>
        <x:v>25.5</x:v>
      </x:c>
      <x:c r="P140" s="10" t="n">
        <x:f>N140-O140</x:f>
        <x:v>43.349999999999994</x:v>
      </x:c>
      <x:c r="Q140" s="9" t="n">
        <x:f>A140-WEEKDAY(A140,2)+1</x:f>
        <x:v>46265</x:v>
      </x:c>
      <x:c r="R140" s="2" t="str">
        <x:f>IF(AND(A140&gt;='Review'!$B$4,A140&lt;='Review'!$D$4),"Selected","Outside")</x:f>
        <x:v>Outside</x:v>
      </x:c>
    </x:row>
    <x:row r="141" ht="20" customHeight="1">
      <x:c r="A141" s="9" t="n">
        <x:v>46267</x:v>
      </x:c>
      <x:c r="B141" s="2" t="str">
        <x:v>MM-1107</x:v>
      </x:c>
      <x:c r="C141" s="2" t="str">
        <x:v>Organic Search</x:v>
      </x:c>
      <x:c r="D141" s="2" t="str">
        <x:v>PIN-001</x:v>
      </x:c>
      <x:c r="E141" s="2" t="str">
        <x:f>_xlfn.IFNA(VLOOKUP(D141,'Products'!$A$7:$I$22,2,FALSE),"Unmapped")</x:f>
        <x:v>Coffee enamel pin</x:v>
      </x:c>
      <x:c r="F141" s="2" t="str">
        <x:f>_xlfn.IFNA(VLOOKUP(D141,'Products'!$A$7:$I$22,3,FALSE),"Unmapped")</x:f>
        <x:v>Accessories</x:v>
      </x:c>
      <x:c r="G141" s="2" t="n">
        <x:v>1</x:v>
      </x:c>
      <x:c r="H141" s="2" t="n">
        <x:v>0</x:v>
      </x:c>
      <x:c r="I141" s="10" t="n">
        <x:v>9.95</x:v>
      </x:c>
      <x:c r="J141" s="10" t="n">
        <x:v>0.99</x:v>
      </x:c>
      <x:c r="K141" s="10" t="n">
        <x:v>2.5</x:v>
      </x:c>
      <x:c r="L141" s="10" t="n">
        <x:f>G141*I141</x:f>
        <x:v>9.95</x:v>
      </x:c>
      <x:c r="M141" s="10" t="n">
        <x:f>ROUND((L141-J141)*H141/G141,2)</x:f>
        <x:v>0</x:v>
      </x:c>
      <x:c r="N141" s="10" t="n">
        <x:f>L141-J141-M141</x:f>
        <x:v>8.959999999999999</x:v>
      </x:c>
      <x:c r="O141" s="10" t="n">
        <x:f>(G141-H141)*K141</x:f>
        <x:v>2.5</x:v>
      </x:c>
      <x:c r="P141" s="10" t="n">
        <x:f>N141-O141</x:f>
        <x:v>6.459999999999999</x:v>
      </x:c>
      <x:c r="Q141" s="9" t="n">
        <x:f>A141-WEEKDAY(A141,2)+1</x:f>
        <x:v>46265</x:v>
      </x:c>
      <x:c r="R141" s="2" t="str">
        <x:f>IF(AND(A141&gt;='Review'!$B$4,A141&lt;='Review'!$D$4),"Selected","Outside")</x:f>
        <x:v>Outside</x:v>
      </x:c>
    </x:row>
    <x:row r="142" ht="20" customHeight="1">
      <x:c r="A142" s="9" t="n">
        <x:v>46267</x:v>
      </x:c>
      <x:c r="B142" s="2" t="str">
        <x:v>MM-1119</x:v>
      </x:c>
      <x:c r="C142" s="2" t="str">
        <x:v>Organic Search</x:v>
      </x:c>
      <x:c r="D142" s="2" t="str">
        <x:v>PIN-001</x:v>
      </x:c>
      <x:c r="E142" s="2" t="str">
        <x:f>_xlfn.IFNA(VLOOKUP(D142,'Products'!$A$7:$I$22,2,FALSE),"Unmapped")</x:f>
        <x:v>Coffee enamel pin</x:v>
      </x:c>
      <x:c r="F142" s="2" t="str">
        <x:f>_xlfn.IFNA(VLOOKUP(D142,'Products'!$A$7:$I$22,3,FALSE),"Unmapped")</x:f>
        <x:v>Accessories</x:v>
      </x:c>
      <x:c r="G142" s="2" t="n">
        <x:v>1</x:v>
      </x:c>
      <x:c r="H142" s="2" t="n">
        <x:v>0</x:v>
      </x:c>
      <x:c r="I142" s="10" t="n">
        <x:v>9.95</x:v>
      </x:c>
      <x:c r="J142" s="10" t="n">
        <x:v>0</x:v>
      </x:c>
      <x:c r="K142" s="10" t="n">
        <x:v>2.5</x:v>
      </x:c>
      <x:c r="L142" s="10" t="n">
        <x:f>G142*I142</x:f>
        <x:v>9.95</x:v>
      </x:c>
      <x:c r="M142" s="10" t="n">
        <x:f>ROUND((L142-J142)*H142/G142,2)</x:f>
        <x:v>0</x:v>
      </x:c>
      <x:c r="N142" s="10" t="n">
        <x:f>L142-J142-M142</x:f>
        <x:v>9.95</x:v>
      </x:c>
      <x:c r="O142" s="10" t="n">
        <x:f>(G142-H142)*K142</x:f>
        <x:v>2.5</x:v>
      </x:c>
      <x:c r="P142" s="10" t="n">
        <x:f>N142-O142</x:f>
        <x:v>7.449999999999999</x:v>
      </x:c>
      <x:c r="Q142" s="9" t="n">
        <x:f>A142-WEEKDAY(A142,2)+1</x:f>
        <x:v>46265</x:v>
      </x:c>
      <x:c r="R142" s="2" t="str">
        <x:f>IF(AND(A142&gt;='Review'!$B$4,A142&lt;='Review'!$D$4),"Selected","Outside")</x:f>
        <x:v>Outside</x:v>
      </x:c>
    </x:row>
    <x:row r="143" ht="20" customHeight="1">
      <x:c r="A143" s="9" t="n">
        <x:v>46267</x:v>
      </x:c>
      <x:c r="B143" s="2" t="str">
        <x:v>MM-1108</x:v>
      </x:c>
      <x:c r="C143" s="2" t="str">
        <x:v>Paid Social</x:v>
      </x:c>
      <x:c r="D143" s="2" t="str">
        <x:v>TUM-002</x:v>
      </x:c>
      <x:c r="E143" s="2" t="str">
        <x:f>_xlfn.IFNA(VLOOKUP(D143,'Products'!$A$7:$I$22,2,FALSE),"Unmapped")</x:f>
        <x:v>Cold brew glass cup</x:v>
      </x:c>
      <x:c r="F143" s="2" t="str">
        <x:f>_xlfn.IFNA(VLOOKUP(D143,'Products'!$A$7:$I$22,3,FALSE),"Unmapped")</x:f>
        <x:v>Drinkware</x:v>
      </x:c>
      <x:c r="G143" s="2" t="n">
        <x:v>2</x:v>
      </x:c>
      <x:c r="H143" s="2" t="n">
        <x:v>0</x:v>
      </x:c>
      <x:c r="I143" s="10" t="n">
        <x:v>24.95</x:v>
      </x:c>
      <x:c r="J143" s="10" t="n">
        <x:v>0</x:v>
      </x:c>
      <x:c r="K143" s="10" t="n">
        <x:v>9</x:v>
      </x:c>
      <x:c r="L143" s="10" t="n">
        <x:f>G143*I143</x:f>
        <x:v>49.9</x:v>
      </x:c>
      <x:c r="M143" s="10" t="n">
        <x:f>ROUND((L143-J143)*H143/G143,2)</x:f>
        <x:v>0</x:v>
      </x:c>
      <x:c r="N143" s="10" t="n">
        <x:f>L143-J143-M143</x:f>
        <x:v>49.9</x:v>
      </x:c>
      <x:c r="O143" s="10" t="n">
        <x:f>(G143-H143)*K143</x:f>
        <x:v>18</x:v>
      </x:c>
      <x:c r="P143" s="10" t="n">
        <x:f>N143-O143</x:f>
        <x:v>31.9</x:v>
      </x:c>
      <x:c r="Q143" s="9" t="n">
        <x:f>A143-WEEKDAY(A143,2)+1</x:f>
        <x:v>46265</x:v>
      </x:c>
      <x:c r="R143" s="2" t="str">
        <x:f>IF(AND(A143&gt;='Review'!$B$4,A143&lt;='Review'!$D$4),"Selected","Outside")</x:f>
        <x:v>Outside</x:v>
      </x:c>
    </x:row>
    <x:row r="144" ht="20" customHeight="1">
      <x:c r="A144" s="9" t="n">
        <x:v>46267</x:v>
      </x:c>
      <x:c r="B144" s="2" t="str">
        <x:v>MM-1110</x:v>
      </x:c>
      <x:c r="C144" s="2" t="str">
        <x:v>Paid Social</x:v>
      </x:c>
      <x:c r="D144" s="2" t="str">
        <x:v>TUM-001</x:v>
      </x:c>
      <x:c r="E144" s="2" t="str">
        <x:f>_xlfn.IFNA(VLOOKUP(D144,'Products'!$A$7:$I$22,2,FALSE),"Unmapped")</x:f>
        <x:v>Maple travel tumbler</x:v>
      </x:c>
      <x:c r="F144" s="2" t="str">
        <x:f>_xlfn.IFNA(VLOOKUP(D144,'Products'!$A$7:$I$22,3,FALSE),"Unmapped")</x:f>
        <x:v>Drinkware</x:v>
      </x:c>
      <x:c r="G144" s="2" t="n">
        <x:v>1</x:v>
      </x:c>
      <x:c r="H144" s="2" t="n">
        <x:v>0</x:v>
      </x:c>
      <x:c r="I144" s="10" t="n">
        <x:v>32.95</x:v>
      </x:c>
      <x:c r="J144" s="10" t="n">
        <x:v>3.29</x:v>
      </x:c>
      <x:c r="K144" s="10" t="n">
        <x:v>12</x:v>
      </x:c>
      <x:c r="L144" s="10" t="n">
        <x:f>G144*I144</x:f>
        <x:v>32.95</x:v>
      </x:c>
      <x:c r="M144" s="10" t="n">
        <x:f>ROUND((L144-J144)*H144/G144,2)</x:f>
        <x:v>0</x:v>
      </x:c>
      <x:c r="N144" s="10" t="n">
        <x:f>L144-J144-M144</x:f>
        <x:v>29.660000000000004</x:v>
      </x:c>
      <x:c r="O144" s="10" t="n">
        <x:f>(G144-H144)*K144</x:f>
        <x:v>12</x:v>
      </x:c>
      <x:c r="P144" s="10" t="n">
        <x:f>N144-O144</x:f>
        <x:v>17.660000000000004</x:v>
      </x:c>
      <x:c r="Q144" s="9" t="n">
        <x:f>A144-WEEKDAY(A144,2)+1</x:f>
        <x:v>46265</x:v>
      </x:c>
      <x:c r="R144" s="2" t="str">
        <x:f>IF(AND(A144&gt;='Review'!$B$4,A144&lt;='Review'!$D$4),"Selected","Outside")</x:f>
        <x:v>Outside</x:v>
      </x:c>
    </x:row>
    <x:row r="145" ht="20" customHeight="1">
      <x:c r="A145" s="9" t="n">
        <x:v>46267</x:v>
      </x:c>
      <x:c r="B145" s="2" t="str">
        <x:v>MM-1110</x:v>
      </x:c>
      <x:c r="C145" s="2" t="str">
        <x:v>Paid Social</x:v>
      </x:c>
      <x:c r="D145" s="2" t="str">
        <x:v>HAT-001</x:v>
      </x:c>
      <x:c r="E145" s="2" t="str">
        <x:f>_xlfn.IFNA(VLOOKUP(D145,'Products'!$A$7:$I$22,2,FALSE),"Unmapped")</x:f>
        <x:v>Classic canvas cap</x:v>
      </x:c>
      <x:c r="F145" s="2" t="str">
        <x:f>_xlfn.IFNA(VLOOKUP(D145,'Products'!$A$7:$I$22,3,FALSE),"Unmapped")</x:f>
        <x:v>Accessories</x:v>
      </x:c>
      <x:c r="G145" s="2" t="n">
        <x:v>1</x:v>
      </x:c>
      <x:c r="H145" s="2" t="n">
        <x:v>1</x:v>
      </x:c>
      <x:c r="I145" s="10" t="n">
        <x:v>24.95</x:v>
      </x:c>
      <x:c r="J145" s="10" t="n">
        <x:v>0</x:v>
      </x:c>
      <x:c r="K145" s="10" t="n">
        <x:v>8.5</x:v>
      </x:c>
      <x:c r="L145" s="10" t="n">
        <x:f>G145*I145</x:f>
        <x:v>24.95</x:v>
      </x:c>
      <x:c r="M145" s="10" t="n">
        <x:f>ROUND((L145-J145)*H145/G145,2)</x:f>
        <x:v>24.95</x:v>
      </x:c>
      <x:c r="N145" s="10" t="n">
        <x:f>L145-J145-M145</x:f>
        <x:v>0</x:v>
      </x:c>
      <x:c r="O145" s="10" t="n">
        <x:f>(G145-H145)*K145</x:f>
        <x:v>0</x:v>
      </x:c>
      <x:c r="P145" s="10" t="n">
        <x:f>N145-O145</x:f>
        <x:v>0</x:v>
      </x:c>
      <x:c r="Q145" s="9" t="n">
        <x:f>A145-WEEKDAY(A145,2)+1</x:f>
        <x:v>46265</x:v>
      </x:c>
      <x:c r="R145" s="2" t="str">
        <x:f>IF(AND(A145&gt;='Review'!$B$4,A145&lt;='Review'!$D$4),"Selected","Outside")</x:f>
        <x:v>Outside</x:v>
      </x:c>
    </x:row>
    <x:row r="146" ht="20" customHeight="1">
      <x:c r="A146" s="9" t="n">
        <x:v>46267</x:v>
      </x:c>
      <x:c r="B146" s="2" t="str">
        <x:v>MM-1116</x:v>
      </x:c>
      <x:c r="C146" s="2" t="str">
        <x:v>Organic Search</x:v>
      </x:c>
      <x:c r="D146" s="2" t="str">
        <x:v>MUG-001</x:v>
      </x:c>
      <x:c r="E146" s="2" t="str">
        <x:f>_xlfn.IFNA(VLOOKUP(D146,'Products'!$A$7:$I$22,2,FALSE),"Unmapped")</x:f>
        <x:v>Everyday ceramic mug</x:v>
      </x:c>
      <x:c r="F146" s="2" t="str">
        <x:f>_xlfn.IFNA(VLOOKUP(D146,'Products'!$A$7:$I$22,3,FALSE),"Unmapped")</x:f>
        <x:v>Drinkware</x:v>
      </x:c>
      <x:c r="G146" s="2" t="n">
        <x:v>1</x:v>
      </x:c>
      <x:c r="H146" s="2" t="n">
        <x:v>0</x:v>
      </x:c>
      <x:c r="I146" s="10" t="n">
        <x:v>18.95</x:v>
      </x:c>
      <x:c r="J146" s="10" t="n">
        <x:v>0</x:v>
      </x:c>
      <x:c r="K146" s="10" t="n">
        <x:v>6.5</x:v>
      </x:c>
      <x:c r="L146" s="10" t="n">
        <x:f>G146*I146</x:f>
        <x:v>18.95</x:v>
      </x:c>
      <x:c r="M146" s="10" t="n">
        <x:f>ROUND((L146-J146)*H146/G146,2)</x:f>
        <x:v>0</x:v>
      </x:c>
      <x:c r="N146" s="10" t="n">
        <x:f>L146-J146-M146</x:f>
        <x:v>18.95</x:v>
      </x:c>
      <x:c r="O146" s="10" t="n">
        <x:f>(G146-H146)*K146</x:f>
        <x:v>6.5</x:v>
      </x:c>
      <x:c r="P146" s="10" t="n">
        <x:f>N146-O146</x:f>
        <x:v>12.45</x:v>
      </x:c>
      <x:c r="Q146" s="9" t="n">
        <x:f>A146-WEEKDAY(A146,2)+1</x:f>
        <x:v>46265</x:v>
      </x:c>
      <x:c r="R146" s="2" t="str">
        <x:f>IF(AND(A146&gt;='Review'!$B$4,A146&lt;='Review'!$D$4),"Selected","Outside")</x:f>
        <x:v>Outside</x:v>
      </x:c>
    </x:row>
    <x:row r="147" ht="20" customHeight="1">
      <x:c r="A147" s="9" t="n">
        <x:v>46267</x:v>
      </x:c>
      <x:c r="B147" s="2" t="str">
        <x:v>MM-1116</x:v>
      </x:c>
      <x:c r="C147" s="2" t="str">
        <x:v>Organic Search</x:v>
      </x:c>
      <x:c r="D147" s="2" t="str">
        <x:v>TUM-001</x:v>
      </x:c>
      <x:c r="E147" s="2" t="str">
        <x:f>_xlfn.IFNA(VLOOKUP(D147,'Products'!$A$7:$I$22,2,FALSE),"Unmapped")</x:f>
        <x:v>Maple travel tumbler</x:v>
      </x:c>
      <x:c r="F147" s="2" t="str">
        <x:f>_xlfn.IFNA(VLOOKUP(D147,'Products'!$A$7:$I$22,3,FALSE),"Unmapped")</x:f>
        <x:v>Drinkware</x:v>
      </x:c>
      <x:c r="G147" s="2" t="n">
        <x:v>2</x:v>
      </x:c>
      <x:c r="H147" s="2" t="n">
        <x:v>0</x:v>
      </x:c>
      <x:c r="I147" s="10" t="n">
        <x:v>32.95</x:v>
      </x:c>
      <x:c r="J147" s="10" t="n">
        <x:v>6.59</x:v>
      </x:c>
      <x:c r="K147" s="10" t="n">
        <x:v>12</x:v>
      </x:c>
      <x:c r="L147" s="10" t="n">
        <x:f>G147*I147</x:f>
        <x:v>65.9</x:v>
      </x:c>
      <x:c r="M147" s="10" t="n">
        <x:f>ROUND((L147-J147)*H147/G147,2)</x:f>
        <x:v>0</x:v>
      </x:c>
      <x:c r="N147" s="10" t="n">
        <x:f>L147-J147-M147</x:f>
        <x:v>59.31</x:v>
      </x:c>
      <x:c r="O147" s="10" t="n">
        <x:f>(G147-H147)*K147</x:f>
        <x:v>24</x:v>
      </x:c>
      <x:c r="P147" s="10" t="n">
        <x:f>N147-O147</x:f>
        <x:v>35.31</x:v>
      </x:c>
      <x:c r="Q147" s="9" t="n">
        <x:f>A147-WEEKDAY(A147,2)+1</x:f>
        <x:v>46265</x:v>
      </x:c>
      <x:c r="R147" s="2" t="str">
        <x:f>IF(AND(A147&gt;='Review'!$B$4,A147&lt;='Review'!$D$4),"Selected","Outside")</x:f>
        <x:v>Outside</x:v>
      </x:c>
    </x:row>
    <x:row r="148" ht="20" customHeight="1">
      <x:c r="A148" s="9" t="n">
        <x:v>46267</x:v>
      </x:c>
      <x:c r="B148" s="2" t="str">
        <x:v>MM-1118</x:v>
      </x:c>
      <x:c r="C148" s="2" t="str">
        <x:v>Organic Search</x:v>
      </x:c>
      <x:c r="D148" s="2" t="str">
        <x:v>GFT-002</x:v>
      </x:c>
      <x:c r="E148" s="2" t="str">
        <x:f>_xlfn.IFNA(VLOOKUP(D148,'Products'!$A$7:$I$22,2,FALSE),"Unmapped")</x:f>
        <x:v>Cozy weekend gift box</x:v>
      </x:c>
      <x:c r="F148" s="2" t="str">
        <x:f>_xlfn.IFNA(VLOOKUP(D148,'Products'!$A$7:$I$22,3,FALSE),"Unmapped")</x:f>
        <x:v>Gifts</x:v>
      </x:c>
      <x:c r="G148" s="2" t="n">
        <x:v>1</x:v>
      </x:c>
      <x:c r="H148" s="2" t="n">
        <x:v>0</x:v>
      </x:c>
      <x:c r="I148" s="10" t="n">
        <x:v>79.95</x:v>
      </x:c>
      <x:c r="J148" s="10" t="n">
        <x:v>0</x:v>
      </x:c>
      <x:c r="K148" s="10" t="n">
        <x:v>32</x:v>
      </x:c>
      <x:c r="L148" s="10" t="n">
        <x:f>G148*I148</x:f>
        <x:v>79.95</x:v>
      </x:c>
      <x:c r="M148" s="10" t="n">
        <x:f>ROUND((L148-J148)*H148/G148,2)</x:f>
        <x:v>0</x:v>
      </x:c>
      <x:c r="N148" s="10" t="n">
        <x:f>L148-J148-M148</x:f>
        <x:v>79.95</x:v>
      </x:c>
      <x:c r="O148" s="10" t="n">
        <x:f>(G148-H148)*K148</x:f>
        <x:v>32</x:v>
      </x:c>
      <x:c r="P148" s="10" t="n">
        <x:f>N148-O148</x:f>
        <x:v>47.95</x:v>
      </x:c>
      <x:c r="Q148" s="9" t="n">
        <x:f>A148-WEEKDAY(A148,2)+1</x:f>
        <x:v>46265</x:v>
      </x:c>
      <x:c r="R148" s="2" t="str">
        <x:f>IF(AND(A148&gt;='Review'!$B$4,A148&lt;='Review'!$D$4),"Selected","Outside")</x:f>
        <x:v>Outside</x:v>
      </x:c>
    </x:row>
    <x:row r="149" ht="20" customHeight="1">
      <x:c r="A149" s="9" t="n">
        <x:v>46267</x:v>
      </x:c>
      <x:c r="B149" s="2" t="str">
        <x:v>MM-1100</x:v>
      </x:c>
      <x:c r="C149" s="2" t="str">
        <x:v>Direct</x:v>
      </x:c>
      <x:c r="D149" s="2" t="str">
        <x:v>KEY-001</x:v>
      </x:c>
      <x:c r="E149" s="2" t="str">
        <x:f>_xlfn.IFNA(VLOOKUP(D149,'Products'!$A$7:$I$22,2,FALSE),"Unmapped")</x:f>
        <x:v>Maple keyring</x:v>
      </x:c>
      <x:c r="F149" s="2" t="str">
        <x:f>_xlfn.IFNA(VLOOKUP(D149,'Products'!$A$7:$I$22,3,FALSE),"Unmapped")</x:f>
        <x:v>Accessories</x:v>
      </x:c>
      <x:c r="G149" s="2" t="n">
        <x:v>1</x:v>
      </x:c>
      <x:c r="H149" s="2" t="n">
        <x:v>0</x:v>
      </x:c>
      <x:c r="I149" s="10" t="n">
        <x:v>12.95</x:v>
      </x:c>
      <x:c r="J149" s="10" t="n">
        <x:v>0</x:v>
      </x:c>
      <x:c r="K149" s="10" t="n">
        <x:v>3.5</x:v>
      </x:c>
      <x:c r="L149" s="10" t="n">
        <x:f>G149*I149</x:f>
        <x:v>12.95</x:v>
      </x:c>
      <x:c r="M149" s="10" t="n">
        <x:f>ROUND((L149-J149)*H149/G149,2)</x:f>
        <x:v>0</x:v>
      </x:c>
      <x:c r="N149" s="10" t="n">
        <x:f>L149-J149-M149</x:f>
        <x:v>12.95</x:v>
      </x:c>
      <x:c r="O149" s="10" t="n">
        <x:f>(G149-H149)*K149</x:f>
        <x:v>3.5</x:v>
      </x:c>
      <x:c r="P149" s="10" t="n">
        <x:f>N149-O149</x:f>
        <x:v>9.45</x:v>
      </x:c>
      <x:c r="Q149" s="9" t="n">
        <x:f>A149-WEEKDAY(A149,2)+1</x:f>
        <x:v>46265</x:v>
      </x:c>
      <x:c r="R149" s="2" t="str">
        <x:f>IF(AND(A149&gt;='Review'!$B$4,A149&lt;='Review'!$D$4),"Selected","Outside")</x:f>
        <x:v>Outside</x:v>
      </x:c>
    </x:row>
    <x:row r="150" ht="20" customHeight="1">
      <x:c r="A150" s="9" t="n">
        <x:v>46267</x:v>
      </x:c>
      <x:c r="B150" s="2" t="str">
        <x:v>MM-1100</x:v>
      </x:c>
      <x:c r="C150" s="2" t="str">
        <x:v>Direct</x:v>
      </x:c>
      <x:c r="D150" s="2" t="str">
        <x:v>MUG-001</x:v>
      </x:c>
      <x:c r="E150" s="2" t="str">
        <x:f>_xlfn.IFNA(VLOOKUP(D150,'Products'!$A$7:$I$22,2,FALSE),"Unmapped")</x:f>
        <x:v>Everyday ceramic mug</x:v>
      </x:c>
      <x:c r="F150" s="2" t="str">
        <x:f>_xlfn.IFNA(VLOOKUP(D150,'Products'!$A$7:$I$22,3,FALSE),"Unmapped")</x:f>
        <x:v>Drinkware</x:v>
      </x:c>
      <x:c r="G150" s="2" t="n">
        <x:v>1</x:v>
      </x:c>
      <x:c r="H150" s="2" t="n">
        <x:v>0</x:v>
      </x:c>
      <x:c r="I150" s="10" t="n">
        <x:v>18.95</x:v>
      </x:c>
      <x:c r="J150" s="10" t="n">
        <x:v>0</x:v>
      </x:c>
      <x:c r="K150" s="10" t="n">
        <x:v>6.5</x:v>
      </x:c>
      <x:c r="L150" s="10" t="n">
        <x:f>G150*I150</x:f>
        <x:v>18.95</x:v>
      </x:c>
      <x:c r="M150" s="10" t="n">
        <x:f>ROUND((L150-J150)*H150/G150,2)</x:f>
        <x:v>0</x:v>
      </x:c>
      <x:c r="N150" s="10" t="n">
        <x:f>L150-J150-M150</x:f>
        <x:v>18.95</x:v>
      </x:c>
      <x:c r="O150" s="10" t="n">
        <x:f>(G150-H150)*K150</x:f>
        <x:v>6.5</x:v>
      </x:c>
      <x:c r="P150" s="10" t="n">
        <x:f>N150-O150</x:f>
        <x:v>12.45</x:v>
      </x:c>
      <x:c r="Q150" s="9" t="n">
        <x:f>A150-WEEKDAY(A150,2)+1</x:f>
        <x:v>46265</x:v>
      </x:c>
      <x:c r="R150" s="2" t="str">
        <x:f>IF(AND(A150&gt;='Review'!$B$4,A150&lt;='Review'!$D$4),"Selected","Outside")</x:f>
        <x:v>Outside</x:v>
      </x:c>
    </x:row>
    <x:row r="151" ht="20" customHeight="1">
      <x:c r="A151" s="9" t="n">
        <x:v>46267</x:v>
      </x:c>
      <x:c r="B151" s="2" t="str">
        <x:v>MM-1113</x:v>
      </x:c>
      <x:c r="C151" s="2" t="str">
        <x:v>Organic Search</x:v>
      </x:c>
      <x:c r="D151" s="2" t="str">
        <x:v>PIN-001</x:v>
      </x:c>
      <x:c r="E151" s="2" t="str">
        <x:f>_xlfn.IFNA(VLOOKUP(D151,'Products'!$A$7:$I$22,2,FALSE),"Unmapped")</x:f>
        <x:v>Coffee enamel pin</x:v>
      </x:c>
      <x:c r="F151" s="2" t="str">
        <x:f>_xlfn.IFNA(VLOOKUP(D151,'Products'!$A$7:$I$22,3,FALSE),"Unmapped")</x:f>
        <x:v>Accessories</x:v>
      </x:c>
      <x:c r="G151" s="2" t="n">
        <x:v>1</x:v>
      </x:c>
      <x:c r="H151" s="2" t="n">
        <x:v>0</x:v>
      </x:c>
      <x:c r="I151" s="10" t="n">
        <x:v>9.95</x:v>
      </x:c>
      <x:c r="J151" s="10" t="n">
        <x:v>0</x:v>
      </x:c>
      <x:c r="K151" s="10" t="n">
        <x:v>2.5</x:v>
      </x:c>
      <x:c r="L151" s="10" t="n">
        <x:f>G151*I151</x:f>
        <x:v>9.95</x:v>
      </x:c>
      <x:c r="M151" s="10" t="n">
        <x:f>ROUND((L151-J151)*H151/G151,2)</x:f>
        <x:v>0</x:v>
      </x:c>
      <x:c r="N151" s="10" t="n">
        <x:f>L151-J151-M151</x:f>
        <x:v>9.95</x:v>
      </x:c>
      <x:c r="O151" s="10" t="n">
        <x:f>(G151-H151)*K151</x:f>
        <x:v>2.5</x:v>
      </x:c>
      <x:c r="P151" s="10" t="n">
        <x:f>N151-O151</x:f>
        <x:v>7.449999999999999</x:v>
      </x:c>
      <x:c r="Q151" s="9" t="n">
        <x:f>A151-WEEKDAY(A151,2)+1</x:f>
        <x:v>46265</x:v>
      </x:c>
      <x:c r="R151" s="2" t="str">
        <x:f>IF(AND(A151&gt;='Review'!$B$4,A151&lt;='Review'!$D$4),"Selected","Outside")</x:f>
        <x:v>Outside</x:v>
      </x:c>
    </x:row>
    <x:row r="152" ht="20" customHeight="1">
      <x:c r="A152" s="9" t="n">
        <x:v>46267</x:v>
      </x:c>
      <x:c r="B152" s="2" t="str">
        <x:v>MM-1114</x:v>
      </x:c>
      <x:c r="C152" s="2" t="str">
        <x:v>Email</x:v>
      </x:c>
      <x:c r="D152" s="2" t="str">
        <x:v>KEY-001</x:v>
      </x:c>
      <x:c r="E152" s="2" t="str">
        <x:f>_xlfn.IFNA(VLOOKUP(D152,'Products'!$A$7:$I$22,2,FALSE),"Unmapped")</x:f>
        <x:v>Maple keyring</x:v>
      </x:c>
      <x:c r="F152" s="2" t="str">
        <x:f>_xlfn.IFNA(VLOOKUP(D152,'Products'!$A$7:$I$22,3,FALSE),"Unmapped")</x:f>
        <x:v>Accessories</x:v>
      </x:c>
      <x:c r="G152" s="2" t="n">
        <x:v>1</x:v>
      </x:c>
      <x:c r="H152" s="2" t="n">
        <x:v>0</x:v>
      </x:c>
      <x:c r="I152" s="10" t="n">
        <x:v>12.95</x:v>
      </x:c>
      <x:c r="J152" s="10" t="n">
        <x:v>1.29</x:v>
      </x:c>
      <x:c r="K152" s="10" t="n">
        <x:v>3.5</x:v>
      </x:c>
      <x:c r="L152" s="10" t="n">
        <x:f>G152*I152</x:f>
        <x:v>12.95</x:v>
      </x:c>
      <x:c r="M152" s="10" t="n">
        <x:f>ROUND((L152-J152)*H152/G152,2)</x:f>
        <x:v>0</x:v>
      </x:c>
      <x:c r="N152" s="10" t="n">
        <x:f>L152-J152-M152</x:f>
        <x:v>11.66</x:v>
      </x:c>
      <x:c r="O152" s="10" t="n">
        <x:f>(G152-H152)*K152</x:f>
        <x:v>3.5</x:v>
      </x:c>
      <x:c r="P152" s="10" t="n">
        <x:f>N152-O152</x:f>
        <x:v>8.16</x:v>
      </x:c>
      <x:c r="Q152" s="9" t="n">
        <x:f>A152-WEEKDAY(A152,2)+1</x:f>
        <x:v>46265</x:v>
      </x:c>
      <x:c r="R152" s="2" t="str">
        <x:f>IF(AND(A152&gt;='Review'!$B$4,A152&lt;='Review'!$D$4),"Selected","Outside")</x:f>
        <x:v>Outside</x:v>
      </x:c>
    </x:row>
    <x:row r="153" ht="20" customHeight="1">
      <x:c r="A153" s="9" t="n">
        <x:v>46267</x:v>
      </x:c>
      <x:c r="B153" s="2" t="str">
        <x:v>MM-1114</x:v>
      </x:c>
      <x:c r="C153" s="2" t="str">
        <x:v>Email</x:v>
      </x:c>
      <x:c r="D153" s="2" t="str">
        <x:v>GFT-001</x:v>
      </x:c>
      <x:c r="E153" s="2" t="str">
        <x:f>_xlfn.IFNA(VLOOKUP(D153,'Products'!$A$7:$I$22,2,FALSE),"Unmapped")</x:f>
        <x:v>Morning ritual gift set</x:v>
      </x:c>
      <x:c r="F153" s="2" t="str">
        <x:f>_xlfn.IFNA(VLOOKUP(D153,'Products'!$A$7:$I$22,3,FALSE),"Unmapped")</x:f>
        <x:v>Gifts</x:v>
      </x:c>
      <x:c r="G153" s="2" t="n">
        <x:v>1</x:v>
      </x:c>
      <x:c r="H153" s="2" t="n">
        <x:v>0</x:v>
      </x:c>
      <x:c r="I153" s="10" t="n">
        <x:v>59.95</x:v>
      </x:c>
      <x:c r="J153" s="10" t="n">
        <x:v>5.99</x:v>
      </x:c>
      <x:c r="K153" s="10" t="n">
        <x:v>24</x:v>
      </x:c>
      <x:c r="L153" s="10" t="n">
        <x:f>G153*I153</x:f>
        <x:v>59.95</x:v>
      </x:c>
      <x:c r="M153" s="10" t="n">
        <x:f>ROUND((L153-J153)*H153/G153,2)</x:f>
        <x:v>0</x:v>
      </x:c>
      <x:c r="N153" s="10" t="n">
        <x:f>L153-J153-M153</x:f>
        <x:v>53.96</x:v>
      </x:c>
      <x:c r="O153" s="10" t="n">
        <x:f>(G153-H153)*K153</x:f>
        <x:v>24</x:v>
      </x:c>
      <x:c r="P153" s="10" t="n">
        <x:f>N153-O153</x:f>
        <x:v>29.96</x:v>
      </x:c>
      <x:c r="Q153" s="9" t="n">
        <x:f>A153-WEEKDAY(A153,2)+1</x:f>
        <x:v>46265</x:v>
      </x:c>
      <x:c r="R153" s="2" t="str">
        <x:f>IF(AND(A153&gt;='Review'!$B$4,A153&lt;='Review'!$D$4),"Selected","Outside")</x:f>
        <x:v>Outside</x:v>
      </x:c>
    </x:row>
    <x:row r="154" ht="20" customHeight="1">
      <x:c r="A154" s="9" t="n">
        <x:v>46267</x:v>
      </x:c>
      <x:c r="B154" s="2" t="str">
        <x:v>MM-1121</x:v>
      </x:c>
      <x:c r="C154" s="2" t="str">
        <x:v>Email</x:v>
      </x:c>
      <x:c r="D154" s="2" t="str">
        <x:v>TUM-002</x:v>
      </x:c>
      <x:c r="E154" s="2" t="str">
        <x:f>_xlfn.IFNA(VLOOKUP(D154,'Products'!$A$7:$I$22,2,FALSE),"Unmapped")</x:f>
        <x:v>Cold brew glass cup</x:v>
      </x:c>
      <x:c r="F154" s="2" t="str">
        <x:f>_xlfn.IFNA(VLOOKUP(D154,'Products'!$A$7:$I$22,3,FALSE),"Unmapped")</x:f>
        <x:v>Drinkware</x:v>
      </x:c>
      <x:c r="G154" s="2" t="n">
        <x:v>2</x:v>
      </x:c>
      <x:c r="H154" s="2" t="n">
        <x:v>0</x:v>
      </x:c>
      <x:c r="I154" s="10" t="n">
        <x:v>24.95</x:v>
      </x:c>
      <x:c r="J154" s="10" t="n">
        <x:v>4.99</x:v>
      </x:c>
      <x:c r="K154" s="10" t="n">
        <x:v>9</x:v>
      </x:c>
      <x:c r="L154" s="10" t="n">
        <x:f>G154*I154</x:f>
        <x:v>49.9</x:v>
      </x:c>
      <x:c r="M154" s="10" t="n">
        <x:f>ROUND((L154-J154)*H154/G154,2)</x:f>
        <x:v>0</x:v>
      </x:c>
      <x:c r="N154" s="10" t="n">
        <x:f>L154-J154-M154</x:f>
        <x:v>44.91</x:v>
      </x:c>
      <x:c r="O154" s="10" t="n">
        <x:f>(G154-H154)*K154</x:f>
        <x:v>18</x:v>
      </x:c>
      <x:c r="P154" s="10" t="n">
        <x:f>N154-O154</x:f>
        <x:v>26.909999999999997</x:v>
      </x:c>
      <x:c r="Q154" s="9" t="n">
        <x:f>A154-WEEKDAY(A154,2)+1</x:f>
        <x:v>46265</x:v>
      </x:c>
      <x:c r="R154" s="2" t="str">
        <x:f>IF(AND(A154&gt;='Review'!$B$4,A154&lt;='Review'!$D$4),"Selected","Outside")</x:f>
        <x:v>Outside</x:v>
      </x:c>
    </x:row>
    <x:row r="155" ht="20" customHeight="1">
      <x:c r="A155" s="9" t="n">
        <x:v>46267</x:v>
      </x:c>
      <x:c r="B155" s="2" t="str">
        <x:v>MM-1112</x:v>
      </x:c>
      <x:c r="C155" s="2" t="str">
        <x:v>Email</x:v>
      </x:c>
      <x:c r="D155" s="2" t="str">
        <x:v>TOTE-001</x:v>
      </x:c>
      <x:c r="E155" s="2" t="str">
        <x:f>_xlfn.IFNA(VLOOKUP(D155,'Products'!$A$7:$I$22,2,FALSE),"Unmapped")</x:f>
        <x:v>Market canvas tote</x:v>
      </x:c>
      <x:c r="F155" s="2" t="str">
        <x:f>_xlfn.IFNA(VLOOKUP(D155,'Products'!$A$7:$I$22,3,FALSE),"Unmapped")</x:f>
        <x:v>Accessories</x:v>
      </x:c>
      <x:c r="G155" s="2" t="n">
        <x:v>1</x:v>
      </x:c>
      <x:c r="H155" s="2" t="n">
        <x:v>0</x:v>
      </x:c>
      <x:c r="I155" s="10" t="n">
        <x:v>19.95</x:v>
      </x:c>
      <x:c r="J155" s="10" t="n">
        <x:v>1.99</x:v>
      </x:c>
      <x:c r="K155" s="10" t="n">
        <x:v>6</x:v>
      </x:c>
      <x:c r="L155" s="10" t="n">
        <x:f>G155*I155</x:f>
        <x:v>19.95</x:v>
      </x:c>
      <x:c r="M155" s="10" t="n">
        <x:f>ROUND((L155-J155)*H155/G155,2)</x:f>
        <x:v>0</x:v>
      </x:c>
      <x:c r="N155" s="10" t="n">
        <x:f>L155-J155-M155</x:f>
        <x:v>17.96</x:v>
      </x:c>
      <x:c r="O155" s="10" t="n">
        <x:f>(G155-H155)*K155</x:f>
        <x:v>6</x:v>
      </x:c>
      <x:c r="P155" s="10" t="n">
        <x:f>N155-O155</x:f>
        <x:v>11.96</x:v>
      </x:c>
      <x:c r="Q155" s="9" t="n">
        <x:f>A155-WEEKDAY(A155,2)+1</x:f>
        <x:v>46265</x:v>
      </x:c>
      <x:c r="R155" s="2" t="str">
        <x:f>IF(AND(A155&gt;='Review'!$B$4,A155&lt;='Review'!$D$4),"Selected","Outside")</x:f>
        <x:v>Outside</x:v>
      </x:c>
    </x:row>
    <x:row r="156" ht="20" customHeight="1">
      <x:c r="A156" s="9" t="n">
        <x:v>46267</x:v>
      </x:c>
      <x:c r="B156" s="2" t="str">
        <x:v>MM-1117</x:v>
      </x:c>
      <x:c r="C156" s="2" t="str">
        <x:v>Direct</x:v>
      </x:c>
      <x:c r="D156" s="2" t="str">
        <x:v>PIN-001</x:v>
      </x:c>
      <x:c r="E156" s="2" t="str">
        <x:f>_xlfn.IFNA(VLOOKUP(D156,'Products'!$A$7:$I$22,2,FALSE),"Unmapped")</x:f>
        <x:v>Coffee enamel pin</x:v>
      </x:c>
      <x:c r="F156" s="2" t="str">
        <x:f>_xlfn.IFNA(VLOOKUP(D156,'Products'!$A$7:$I$22,3,FALSE),"Unmapped")</x:f>
        <x:v>Accessories</x:v>
      </x:c>
      <x:c r="G156" s="2" t="n">
        <x:v>1</x:v>
      </x:c>
      <x:c r="H156" s="2" t="n">
        <x:v>0</x:v>
      </x:c>
      <x:c r="I156" s="10" t="n">
        <x:v>9.95</x:v>
      </x:c>
      <x:c r="J156" s="10" t="n">
        <x:v>0.99</x:v>
      </x:c>
      <x:c r="K156" s="10" t="n">
        <x:v>2.5</x:v>
      </x:c>
      <x:c r="L156" s="10" t="n">
        <x:f>G156*I156</x:f>
        <x:v>9.95</x:v>
      </x:c>
      <x:c r="M156" s="10" t="n">
        <x:f>ROUND((L156-J156)*H156/G156,2)</x:f>
        <x:v>0</x:v>
      </x:c>
      <x:c r="N156" s="10" t="n">
        <x:f>L156-J156-M156</x:f>
        <x:v>8.959999999999999</x:v>
      </x:c>
      <x:c r="O156" s="10" t="n">
        <x:f>(G156-H156)*K156</x:f>
        <x:v>2.5</x:v>
      </x:c>
      <x:c r="P156" s="10" t="n">
        <x:f>N156-O156</x:f>
        <x:v>6.459999999999999</x:v>
      </x:c>
      <x:c r="Q156" s="9" t="n">
        <x:f>A156-WEEKDAY(A156,2)+1</x:f>
        <x:v>46265</x:v>
      </x:c>
      <x:c r="R156" s="2" t="str">
        <x:f>IF(AND(A156&gt;='Review'!$B$4,A156&lt;='Review'!$D$4),"Selected","Outside")</x:f>
        <x:v>Outside</x:v>
      </x:c>
    </x:row>
    <x:row r="157" ht="20" customHeight="1">
      <x:c r="A157" s="9" t="n">
        <x:v>46267</x:v>
      </x:c>
      <x:c r="B157" s="2" t="str">
        <x:v>MM-1117</x:v>
      </x:c>
      <x:c r="C157" s="2" t="str">
        <x:v>Direct</x:v>
      </x:c>
      <x:c r="D157" s="2" t="str">
        <x:v>APP-003</x:v>
      </x:c>
      <x:c r="E157" s="2" t="str">
        <x:f>_xlfn.IFNA(VLOOKUP(D157,'Products'!$A$7:$I$22,2,FALSE),"Unmapped")</x:f>
        <x:v>Coffee club tee</x:v>
      </x:c>
      <x:c r="F157" s="2" t="str">
        <x:f>_xlfn.IFNA(VLOOKUP(D157,'Products'!$A$7:$I$22,3,FALSE),"Unmapped")</x:f>
        <x:v>Apparel</x:v>
      </x:c>
      <x:c r="G157" s="2" t="n">
        <x:v>2</x:v>
      </x:c>
      <x:c r="H157" s="2" t="n">
        <x:v>0</x:v>
      </x:c>
      <x:c r="I157" s="10" t="n">
        <x:v>29.95</x:v>
      </x:c>
      <x:c r="J157" s="10" t="n">
        <x:v>5.99</x:v>
      </x:c>
      <x:c r="K157" s="10" t="n">
        <x:v>10</x:v>
      </x:c>
      <x:c r="L157" s="10" t="n">
        <x:f>G157*I157</x:f>
        <x:v>59.9</x:v>
      </x:c>
      <x:c r="M157" s="10" t="n">
        <x:f>ROUND((L157-J157)*H157/G157,2)</x:f>
        <x:v>0</x:v>
      </x:c>
      <x:c r="N157" s="10" t="n">
        <x:f>L157-J157-M157</x:f>
        <x:v>53.91</x:v>
      </x:c>
      <x:c r="O157" s="10" t="n">
        <x:f>(G157-H157)*K157</x:f>
        <x:v>20</x:v>
      </x:c>
      <x:c r="P157" s="10" t="n">
        <x:f>N157-O157</x:f>
        <x:v>33.91</x:v>
      </x:c>
      <x:c r="Q157" s="9" t="n">
        <x:f>A157-WEEKDAY(A157,2)+1</x:f>
        <x:v>46265</x:v>
      </x:c>
      <x:c r="R157" s="2" t="str">
        <x:f>IF(AND(A157&gt;='Review'!$B$4,A157&lt;='Review'!$D$4),"Selected","Outside")</x:f>
        <x:v>Outside</x:v>
      </x:c>
    </x:row>
    <x:row r="158" ht="20" customHeight="1">
      <x:c r="A158" s="9" t="n">
        <x:v>46267</x:v>
      </x:c>
      <x:c r="B158" s="2" t="str">
        <x:v>MM-1117</x:v>
      </x:c>
      <x:c r="C158" s="2" t="str">
        <x:v>Direct</x:v>
      </x:c>
      <x:c r="D158" s="2" t="str">
        <x:v>TOTE-001</x:v>
      </x:c>
      <x:c r="E158" s="2" t="str">
        <x:f>_xlfn.IFNA(VLOOKUP(D158,'Products'!$A$7:$I$22,2,FALSE),"Unmapped")</x:f>
        <x:v>Market canvas tote</x:v>
      </x:c>
      <x:c r="F158" s="2" t="str">
        <x:f>_xlfn.IFNA(VLOOKUP(D158,'Products'!$A$7:$I$22,3,FALSE),"Unmapped")</x:f>
        <x:v>Accessories</x:v>
      </x:c>
      <x:c r="G158" s="2" t="n">
        <x:v>1</x:v>
      </x:c>
      <x:c r="H158" s="2" t="n">
        <x:v>0</x:v>
      </x:c>
      <x:c r="I158" s="10" t="n">
        <x:v>19.95</x:v>
      </x:c>
      <x:c r="J158" s="10" t="n">
        <x:v>0</x:v>
      </x:c>
      <x:c r="K158" s="10" t="n">
        <x:v>6</x:v>
      </x:c>
      <x:c r="L158" s="10" t="n">
        <x:f>G158*I158</x:f>
        <x:v>19.95</x:v>
      </x:c>
      <x:c r="M158" s="10" t="n">
        <x:f>ROUND((L158-J158)*H158/G158,2)</x:f>
        <x:v>0</x:v>
      </x:c>
      <x:c r="N158" s="10" t="n">
        <x:f>L158-J158-M158</x:f>
        <x:v>19.95</x:v>
      </x:c>
      <x:c r="O158" s="10" t="n">
        <x:f>(G158-H158)*K158</x:f>
        <x:v>6</x:v>
      </x:c>
      <x:c r="P158" s="10" t="n">
        <x:f>N158-O158</x:f>
        <x:v>13.95</x:v>
      </x:c>
      <x:c r="Q158" s="9" t="n">
        <x:f>A158-WEEKDAY(A158,2)+1</x:f>
        <x:v>46265</x:v>
      </x:c>
      <x:c r="R158" s="2" t="str">
        <x:f>IF(AND(A158&gt;='Review'!$B$4,A158&lt;='Review'!$D$4),"Selected","Outside")</x:f>
        <x:v>Outside</x:v>
      </x:c>
    </x:row>
    <x:row r="159" ht="20" customHeight="1">
      <x:c r="A159" s="9" t="n">
        <x:v>46267</x:v>
      </x:c>
      <x:c r="B159" s="2" t="str">
        <x:v>MM-1109</x:v>
      </x:c>
      <x:c r="C159" s="2" t="str">
        <x:v>Paid Social</x:v>
      </x:c>
      <x:c r="D159" s="2" t="str">
        <x:v>BOT-001</x:v>
      </x:c>
      <x:c r="E159" s="2" t="str">
        <x:f>_xlfn.IFNA(VLOOKUP(D159,'Products'!$A$7:$I$22,2,FALSE),"Unmapped")</x:f>
        <x:v>Trail water bottle</x:v>
      </x:c>
      <x:c r="F159" s="2" t="str">
        <x:f>_xlfn.IFNA(VLOOKUP(D159,'Products'!$A$7:$I$22,3,FALSE),"Unmapped")</x:f>
        <x:v>Drinkware</x:v>
      </x:c>
      <x:c r="G159" s="2" t="n">
        <x:v>1</x:v>
      </x:c>
      <x:c r="H159" s="2" t="n">
        <x:v>0</x:v>
      </x:c>
      <x:c r="I159" s="10" t="n">
        <x:v>34.95</x:v>
      </x:c>
      <x:c r="J159" s="10" t="n">
        <x:v>0</x:v>
      </x:c>
      <x:c r="K159" s="10" t="n">
        <x:v>13.5</x:v>
      </x:c>
      <x:c r="L159" s="10" t="n">
        <x:f>G159*I159</x:f>
        <x:v>34.95</x:v>
      </x:c>
      <x:c r="M159" s="10" t="n">
        <x:f>ROUND((L159-J159)*H159/G159,2)</x:f>
        <x:v>0</x:v>
      </x:c>
      <x:c r="N159" s="10" t="n">
        <x:f>L159-J159-M159</x:f>
        <x:v>34.95</x:v>
      </x:c>
      <x:c r="O159" s="10" t="n">
        <x:f>(G159-H159)*K159</x:f>
        <x:v>13.5</x:v>
      </x:c>
      <x:c r="P159" s="10" t="n">
        <x:f>N159-O159</x:f>
        <x:v>21.450000000000003</x:v>
      </x:c>
      <x:c r="Q159" s="9" t="n">
        <x:f>A159-WEEKDAY(A159,2)+1</x:f>
        <x:v>46265</x:v>
      </x:c>
      <x:c r="R159" s="2" t="str">
        <x:f>IF(AND(A159&gt;='Review'!$B$4,A159&lt;='Review'!$D$4),"Selected","Outside")</x:f>
        <x:v>Outside</x:v>
      </x:c>
    </x:row>
    <x:row r="160" ht="20" customHeight="1">
      <x:c r="A160" s="9" t="n">
        <x:v>46267</x:v>
      </x:c>
      <x:c r="B160" s="2" t="str">
        <x:v>MM-1115</x:v>
      </x:c>
      <x:c r="C160" s="2" t="str">
        <x:v>Organic Search</x:v>
      </x:c>
      <x:c r="D160" s="2" t="str">
        <x:v>PIN-001</x:v>
      </x:c>
      <x:c r="E160" s="2" t="str">
        <x:f>_xlfn.IFNA(VLOOKUP(D160,'Products'!$A$7:$I$22,2,FALSE),"Unmapped")</x:f>
        <x:v>Coffee enamel pin</x:v>
      </x:c>
      <x:c r="F160" s="2" t="str">
        <x:f>_xlfn.IFNA(VLOOKUP(D160,'Products'!$A$7:$I$22,3,FALSE),"Unmapped")</x:f>
        <x:v>Accessories</x:v>
      </x:c>
      <x:c r="G160" s="2" t="n">
        <x:v>1</x:v>
      </x:c>
      <x:c r="H160" s="2" t="n">
        <x:v>0</x:v>
      </x:c>
      <x:c r="I160" s="10" t="n">
        <x:v>9.95</x:v>
      </x:c>
      <x:c r="J160" s="10" t="n">
        <x:v>0</x:v>
      </x:c>
      <x:c r="K160" s="10" t="n">
        <x:v>2.5</x:v>
      </x:c>
      <x:c r="L160" s="10" t="n">
        <x:f>G160*I160</x:f>
        <x:v>9.95</x:v>
      </x:c>
      <x:c r="M160" s="10" t="n">
        <x:f>ROUND((L160-J160)*H160/G160,2)</x:f>
        <x:v>0</x:v>
      </x:c>
      <x:c r="N160" s="10" t="n">
        <x:f>L160-J160-M160</x:f>
        <x:v>9.95</x:v>
      </x:c>
      <x:c r="O160" s="10" t="n">
        <x:f>(G160-H160)*K160</x:f>
        <x:v>2.5</x:v>
      </x:c>
      <x:c r="P160" s="10" t="n">
        <x:f>N160-O160</x:f>
        <x:v>7.449999999999999</x:v>
      </x:c>
      <x:c r="Q160" s="9" t="n">
        <x:f>A160-WEEKDAY(A160,2)+1</x:f>
        <x:v>46265</x:v>
      </x:c>
      <x:c r="R160" s="2" t="str">
        <x:f>IF(AND(A160&gt;='Review'!$B$4,A160&lt;='Review'!$D$4),"Selected","Outside")</x:f>
        <x:v>Outside</x:v>
      </x:c>
    </x:row>
    <x:row r="161" ht="20" customHeight="1">
      <x:c r="A161" s="9" t="n">
        <x:v>46267</x:v>
      </x:c>
      <x:c r="B161" s="2" t="str">
        <x:v>MM-1106</x:v>
      </x:c>
      <x:c r="C161" s="2" t="str">
        <x:v>Direct</x:v>
      </x:c>
      <x:c r="D161" s="2" t="str">
        <x:v>TUM-001</x:v>
      </x:c>
      <x:c r="E161" s="2" t="str">
        <x:f>_xlfn.IFNA(VLOOKUP(D161,'Products'!$A$7:$I$22,2,FALSE),"Unmapped")</x:f>
        <x:v>Maple travel tumbler</x:v>
      </x:c>
      <x:c r="F161" s="2" t="str">
        <x:f>_xlfn.IFNA(VLOOKUP(D161,'Products'!$A$7:$I$22,3,FALSE),"Unmapped")</x:f>
        <x:v>Drinkware</x:v>
      </x:c>
      <x:c r="G161" s="2" t="n">
        <x:v>1</x:v>
      </x:c>
      <x:c r="H161" s="2" t="n">
        <x:v>0</x:v>
      </x:c>
      <x:c r="I161" s="10" t="n">
        <x:v>32.95</x:v>
      </x:c>
      <x:c r="J161" s="10" t="n">
        <x:v>0</x:v>
      </x:c>
      <x:c r="K161" s="10" t="n">
        <x:v>12</x:v>
      </x:c>
      <x:c r="L161" s="10" t="n">
        <x:f>G161*I161</x:f>
        <x:v>32.95</x:v>
      </x:c>
      <x:c r="M161" s="10" t="n">
        <x:f>ROUND((L161-J161)*H161/G161,2)</x:f>
        <x:v>0</x:v>
      </x:c>
      <x:c r="N161" s="10" t="n">
        <x:f>L161-J161-M161</x:f>
        <x:v>32.95</x:v>
      </x:c>
      <x:c r="O161" s="10" t="n">
        <x:f>(G161-H161)*K161</x:f>
        <x:v>12</x:v>
      </x:c>
      <x:c r="P161" s="10" t="n">
        <x:f>N161-O161</x:f>
        <x:v>20.950000000000003</x:v>
      </x:c>
      <x:c r="Q161" s="9" t="n">
        <x:f>A161-WEEKDAY(A161,2)+1</x:f>
        <x:v>46265</x:v>
      </x:c>
      <x:c r="R161" s="2" t="str">
        <x:f>IF(AND(A161&gt;='Review'!$B$4,A161&lt;='Review'!$D$4),"Selected","Outside")</x:f>
        <x:v>Outside</x:v>
      </x:c>
    </x:row>
    <x:row r="162" ht="20" customHeight="1">
      <x:c r="A162" s="9" t="n">
        <x:v>46267</x:v>
      </x:c>
      <x:c r="B162" s="2" t="str">
        <x:v>MM-1102</x:v>
      </x:c>
      <x:c r="C162" s="2" t="str">
        <x:v>Email</x:v>
      </x:c>
      <x:c r="D162" s="2" t="str">
        <x:v>TOTE-001</x:v>
      </x:c>
      <x:c r="E162" s="2" t="str">
        <x:f>_xlfn.IFNA(VLOOKUP(D162,'Products'!$A$7:$I$22,2,FALSE),"Unmapped")</x:f>
        <x:v>Market canvas tote</x:v>
      </x:c>
      <x:c r="F162" s="2" t="str">
        <x:f>_xlfn.IFNA(VLOOKUP(D162,'Products'!$A$7:$I$22,3,FALSE),"Unmapped")</x:f>
        <x:v>Accessories</x:v>
      </x:c>
      <x:c r="G162" s="2" t="n">
        <x:v>1</x:v>
      </x:c>
      <x:c r="H162" s="2" t="n">
        <x:v>0</x:v>
      </x:c>
      <x:c r="I162" s="10" t="n">
        <x:v>19.95</x:v>
      </x:c>
      <x:c r="J162" s="10" t="n">
        <x:v>1.99</x:v>
      </x:c>
      <x:c r="K162" s="10" t="n">
        <x:v>6</x:v>
      </x:c>
      <x:c r="L162" s="10" t="n">
        <x:f>G162*I162</x:f>
        <x:v>19.95</x:v>
      </x:c>
      <x:c r="M162" s="10" t="n">
        <x:f>ROUND((L162-J162)*H162/G162,2)</x:f>
        <x:v>0</x:v>
      </x:c>
      <x:c r="N162" s="10" t="n">
        <x:f>L162-J162-M162</x:f>
        <x:v>17.96</x:v>
      </x:c>
      <x:c r="O162" s="10" t="n">
        <x:f>(G162-H162)*K162</x:f>
        <x:v>6</x:v>
      </x:c>
      <x:c r="P162" s="10" t="n">
        <x:f>N162-O162</x:f>
        <x:v>11.96</x:v>
      </x:c>
      <x:c r="Q162" s="9" t="n">
        <x:f>A162-WEEKDAY(A162,2)+1</x:f>
        <x:v>46265</x:v>
      </x:c>
      <x:c r="R162" s="2" t="str">
        <x:f>IF(AND(A162&gt;='Review'!$B$4,A162&lt;='Review'!$D$4),"Selected","Outside")</x:f>
        <x:v>Outside</x:v>
      </x:c>
    </x:row>
    <x:row r="163" ht="20" customHeight="1">
      <x:c r="A163" s="9" t="n">
        <x:v>46267</x:v>
      </x:c>
      <x:c r="B163" s="2" t="str">
        <x:v>MM-1104</x:v>
      </x:c>
      <x:c r="C163" s="2" t="str">
        <x:v>Organic Search</x:v>
      </x:c>
      <x:c r="D163" s="2" t="str">
        <x:v>APP-001</x:v>
      </x:c>
      <x:c r="E163" s="2" t="str">
        <x:f>_xlfn.IFNA(VLOOKUP(D163,'Products'!$A$7:$I$22,2,FALSE),"Unmapped")</x:f>
        <x:v>Everyday crewneck</x:v>
      </x:c>
      <x:c r="F163" s="2" t="str">
        <x:f>_xlfn.IFNA(VLOOKUP(D163,'Products'!$A$7:$I$22,3,FALSE),"Unmapped")</x:f>
        <x:v>Apparel</x:v>
      </x:c>
      <x:c r="G163" s="2" t="n">
        <x:v>1</x:v>
      </x:c>
      <x:c r="H163" s="2" t="n">
        <x:v>0</x:v>
      </x:c>
      <x:c r="I163" s="10" t="n">
        <x:v>54.95</x:v>
      </x:c>
      <x:c r="J163" s="10" t="n">
        <x:v>0</x:v>
      </x:c>
      <x:c r="K163" s="10" t="n">
        <x:v>22</x:v>
      </x:c>
      <x:c r="L163" s="10" t="n">
        <x:f>G163*I163</x:f>
        <x:v>54.95</x:v>
      </x:c>
      <x:c r="M163" s="10" t="n">
        <x:f>ROUND((L163-J163)*H163/G163,2)</x:f>
        <x:v>0</x:v>
      </x:c>
      <x:c r="N163" s="10" t="n">
        <x:f>L163-J163-M163</x:f>
        <x:v>54.95</x:v>
      </x:c>
      <x:c r="O163" s="10" t="n">
        <x:f>(G163-H163)*K163</x:f>
        <x:v>22</x:v>
      </x:c>
      <x:c r="P163" s="10" t="n">
        <x:f>N163-O163</x:f>
        <x:v>32.95</x:v>
      </x:c>
      <x:c r="Q163" s="9" t="n">
        <x:f>A163-WEEKDAY(A163,2)+1</x:f>
        <x:v>46265</x:v>
      </x:c>
      <x:c r="R163" s="2" t="str">
        <x:f>IF(AND(A163&gt;='Review'!$B$4,A163&lt;='Review'!$D$4),"Selected","Outside")</x:f>
        <x:v>Outside</x:v>
      </x:c>
    </x:row>
    <x:row r="164" ht="20" customHeight="1">
      <x:c r="A164" s="9" t="n">
        <x:v>46267</x:v>
      </x:c>
      <x:c r="B164" s="2" t="str">
        <x:v>MM-1104</x:v>
      </x:c>
      <x:c r="C164" s="2" t="str">
        <x:v>Organic Search</x:v>
      </x:c>
      <x:c r="D164" s="2" t="str">
        <x:v>GFT-001</x:v>
      </x:c>
      <x:c r="E164" s="2" t="str">
        <x:f>_xlfn.IFNA(VLOOKUP(D164,'Products'!$A$7:$I$22,2,FALSE),"Unmapped")</x:f>
        <x:v>Morning ritual gift set</x:v>
      </x:c>
      <x:c r="F164" s="2" t="str">
        <x:f>_xlfn.IFNA(VLOOKUP(D164,'Products'!$A$7:$I$22,3,FALSE),"Unmapped")</x:f>
        <x:v>Gifts</x:v>
      </x:c>
      <x:c r="G164" s="2" t="n">
        <x:v>1</x:v>
      </x:c>
      <x:c r="H164" s="2" t="n">
        <x:v>0</x:v>
      </x:c>
      <x:c r="I164" s="10" t="n">
        <x:v>59.95</x:v>
      </x:c>
      <x:c r="J164" s="10" t="n">
        <x:v>0</x:v>
      </x:c>
      <x:c r="K164" s="10" t="n">
        <x:v>24</x:v>
      </x:c>
      <x:c r="L164" s="10" t="n">
        <x:f>G164*I164</x:f>
        <x:v>59.95</x:v>
      </x:c>
      <x:c r="M164" s="10" t="n">
        <x:f>ROUND((L164-J164)*H164/G164,2)</x:f>
        <x:v>0</x:v>
      </x:c>
      <x:c r="N164" s="10" t="n">
        <x:f>L164-J164-M164</x:f>
        <x:v>59.95</x:v>
      </x:c>
      <x:c r="O164" s="10" t="n">
        <x:f>(G164-H164)*K164</x:f>
        <x:v>24</x:v>
      </x:c>
      <x:c r="P164" s="10" t="n">
        <x:f>N164-O164</x:f>
        <x:v>35.95</x:v>
      </x:c>
      <x:c r="Q164" s="9" t="n">
        <x:f>A164-WEEKDAY(A164,2)+1</x:f>
        <x:v>46265</x:v>
      </x:c>
      <x:c r="R164" s="2" t="str">
        <x:f>IF(AND(A164&gt;='Review'!$B$4,A164&lt;='Review'!$D$4),"Selected","Outside")</x:f>
        <x:v>Outside</x:v>
      </x:c>
    </x:row>
    <x:row r="165" ht="20" customHeight="1">
      <x:c r="A165" s="9" t="n">
        <x:v>46267</x:v>
      </x:c>
      <x:c r="B165" s="2" t="str">
        <x:v>MM-1099</x:v>
      </x:c>
      <x:c r="C165" s="2" t="str">
        <x:v>Organic Search</x:v>
      </x:c>
      <x:c r="D165" s="2" t="str">
        <x:v>KEY-001</x:v>
      </x:c>
      <x:c r="E165" s="2" t="str">
        <x:f>_xlfn.IFNA(VLOOKUP(D165,'Products'!$A$7:$I$22,2,FALSE),"Unmapped")</x:f>
        <x:v>Maple keyring</x:v>
      </x:c>
      <x:c r="F165" s="2" t="str">
        <x:f>_xlfn.IFNA(VLOOKUP(D165,'Products'!$A$7:$I$22,3,FALSE),"Unmapped")</x:f>
        <x:v>Accessories</x:v>
      </x:c>
      <x:c r="G165" s="2" t="n">
        <x:v>3</x:v>
      </x:c>
      <x:c r="H165" s="2" t="n">
        <x:v>0</x:v>
      </x:c>
      <x:c r="I165" s="10" t="n">
        <x:v>12.95</x:v>
      </x:c>
      <x:c r="J165" s="10" t="n">
        <x:v>0</x:v>
      </x:c>
      <x:c r="K165" s="10" t="n">
        <x:v>3.5</x:v>
      </x:c>
      <x:c r="L165" s="10" t="n">
        <x:f>G165*I165</x:f>
        <x:v>38.849999999999994</x:v>
      </x:c>
      <x:c r="M165" s="10" t="n">
        <x:f>ROUND((L165-J165)*H165/G165,2)</x:f>
        <x:v>0</x:v>
      </x:c>
      <x:c r="N165" s="10" t="n">
        <x:f>L165-J165-M165</x:f>
        <x:v>38.849999999999994</x:v>
      </x:c>
      <x:c r="O165" s="10" t="n">
        <x:f>(G165-H165)*K165</x:f>
        <x:v>10.5</x:v>
      </x:c>
      <x:c r="P165" s="10" t="n">
        <x:f>N165-O165</x:f>
        <x:v>28.349999999999994</x:v>
      </x:c>
      <x:c r="Q165" s="9" t="n">
        <x:f>A165-WEEKDAY(A165,2)+1</x:f>
        <x:v>46265</x:v>
      </x:c>
      <x:c r="R165" s="2" t="str">
        <x:f>IF(AND(A165&gt;='Review'!$B$4,A165&lt;='Review'!$D$4),"Selected","Outside")</x:f>
        <x:v>Outside</x:v>
      </x:c>
    </x:row>
    <x:row r="166" ht="20" customHeight="1">
      <x:c r="A166" s="9" t="n">
        <x:v>46267</x:v>
      </x:c>
      <x:c r="B166" s="2" t="str">
        <x:v>MM-1105</x:v>
      </x:c>
      <x:c r="C166" s="2" t="str">
        <x:v>Paid Social</x:v>
      </x:c>
      <x:c r="D166" s="2" t="str">
        <x:v>BOT-001</x:v>
      </x:c>
      <x:c r="E166" s="2" t="str">
        <x:f>_xlfn.IFNA(VLOOKUP(D166,'Products'!$A$7:$I$22,2,FALSE),"Unmapped")</x:f>
        <x:v>Trail water bottle</x:v>
      </x:c>
      <x:c r="F166" s="2" t="str">
        <x:f>_xlfn.IFNA(VLOOKUP(D166,'Products'!$A$7:$I$22,3,FALSE),"Unmapped")</x:f>
        <x:v>Drinkware</x:v>
      </x:c>
      <x:c r="G166" s="2" t="n">
        <x:v>1</x:v>
      </x:c>
      <x:c r="H166" s="2" t="n">
        <x:v>0</x:v>
      </x:c>
      <x:c r="I166" s="10" t="n">
        <x:v>34.95</x:v>
      </x:c>
      <x:c r="J166" s="10" t="n">
        <x:v>0</x:v>
      </x:c>
      <x:c r="K166" s="10" t="n">
        <x:v>13.5</x:v>
      </x:c>
      <x:c r="L166" s="10" t="n">
        <x:f>G166*I166</x:f>
        <x:v>34.95</x:v>
      </x:c>
      <x:c r="M166" s="10" t="n">
        <x:f>ROUND((L166-J166)*H166/G166,2)</x:f>
        <x:v>0</x:v>
      </x:c>
      <x:c r="N166" s="10" t="n">
        <x:f>L166-J166-M166</x:f>
        <x:v>34.95</x:v>
      </x:c>
      <x:c r="O166" s="10" t="n">
        <x:f>(G166-H166)*K166</x:f>
        <x:v>13.5</x:v>
      </x:c>
      <x:c r="P166" s="10" t="n">
        <x:f>N166-O166</x:f>
        <x:v>21.450000000000003</x:v>
      </x:c>
      <x:c r="Q166" s="9" t="n">
        <x:f>A166-WEEKDAY(A166,2)+1</x:f>
        <x:v>46265</x:v>
      </x:c>
      <x:c r="R166" s="2" t="str">
        <x:f>IF(AND(A166&gt;='Review'!$B$4,A166&lt;='Review'!$D$4),"Selected","Outside")</x:f>
        <x:v>Outside</x:v>
      </x:c>
    </x:row>
    <x:row r="167" ht="20" customHeight="1">
      <x:c r="A167" s="9" t="n">
        <x:v>46268</x:v>
      </x:c>
      <x:c r="B167" s="2" t="str">
        <x:v>MM-1131</x:v>
      </x:c>
      <x:c r="C167" s="2" t="str">
        <x:v>Organic Search</x:v>
      </x:c>
      <x:c r="D167" s="2" t="str">
        <x:v>TUM-001</x:v>
      </x:c>
      <x:c r="E167" s="2" t="str">
        <x:f>_xlfn.IFNA(VLOOKUP(D167,'Products'!$A$7:$I$22,2,FALSE),"Unmapped")</x:f>
        <x:v>Maple travel tumbler</x:v>
      </x:c>
      <x:c r="F167" s="2" t="str">
        <x:f>_xlfn.IFNA(VLOOKUP(D167,'Products'!$A$7:$I$22,3,FALSE),"Unmapped")</x:f>
        <x:v>Drinkware</x:v>
      </x:c>
      <x:c r="G167" s="2" t="n">
        <x:v>1</x:v>
      </x:c>
      <x:c r="H167" s="2" t="n">
        <x:v>0</x:v>
      </x:c>
      <x:c r="I167" s="10" t="n">
        <x:v>32.95</x:v>
      </x:c>
      <x:c r="J167" s="10" t="n">
        <x:v>0</x:v>
      </x:c>
      <x:c r="K167" s="10" t="n">
        <x:v>12</x:v>
      </x:c>
      <x:c r="L167" s="10" t="n">
        <x:f>G167*I167</x:f>
        <x:v>32.95</x:v>
      </x:c>
      <x:c r="M167" s="10" t="n">
        <x:f>ROUND((L167-J167)*H167/G167,2)</x:f>
        <x:v>0</x:v>
      </x:c>
      <x:c r="N167" s="10" t="n">
        <x:f>L167-J167-M167</x:f>
        <x:v>32.95</x:v>
      </x:c>
      <x:c r="O167" s="10" t="n">
        <x:f>(G167-H167)*K167</x:f>
        <x:v>12</x:v>
      </x:c>
      <x:c r="P167" s="10" t="n">
        <x:f>N167-O167</x:f>
        <x:v>20.950000000000003</x:v>
      </x:c>
      <x:c r="Q167" s="9" t="n">
        <x:f>A167-WEEKDAY(A167,2)+1</x:f>
        <x:v>46265</x:v>
      </x:c>
      <x:c r="R167" s="2" t="str">
        <x:f>IF(AND(A167&gt;='Review'!$B$4,A167&lt;='Review'!$D$4),"Selected","Outside")</x:f>
        <x:v>Outside</x:v>
      </x:c>
    </x:row>
    <x:row r="168" ht="20" customHeight="1">
      <x:c r="A168" s="9" t="n">
        <x:v>46268</x:v>
      </x:c>
      <x:c r="B168" s="2" t="str">
        <x:v>MM-1128</x:v>
      </x:c>
      <x:c r="C168" s="2" t="str">
        <x:v>Paid Social</x:v>
      </x:c>
      <x:c r="D168" s="2" t="str">
        <x:v>BOT-001</x:v>
      </x:c>
      <x:c r="E168" s="2" t="str">
        <x:f>_xlfn.IFNA(VLOOKUP(D168,'Products'!$A$7:$I$22,2,FALSE),"Unmapped")</x:f>
        <x:v>Trail water bottle</x:v>
      </x:c>
      <x:c r="F168" s="2" t="str">
        <x:f>_xlfn.IFNA(VLOOKUP(D168,'Products'!$A$7:$I$22,3,FALSE),"Unmapped")</x:f>
        <x:v>Drinkware</x:v>
      </x:c>
      <x:c r="G168" s="2" t="n">
        <x:v>1</x:v>
      </x:c>
      <x:c r="H168" s="2" t="n">
        <x:v>1</x:v>
      </x:c>
      <x:c r="I168" s="10" t="n">
        <x:v>34.95</x:v>
      </x:c>
      <x:c r="J168" s="10" t="n">
        <x:v>0</x:v>
      </x:c>
      <x:c r="K168" s="10" t="n">
        <x:v>13.5</x:v>
      </x:c>
      <x:c r="L168" s="10" t="n">
        <x:f>G168*I168</x:f>
        <x:v>34.95</x:v>
      </x:c>
      <x:c r="M168" s="10" t="n">
        <x:f>ROUND((L168-J168)*H168/G168,2)</x:f>
        <x:v>34.95</x:v>
      </x:c>
      <x:c r="N168" s="10" t="n">
        <x:f>L168-J168-M168</x:f>
        <x:v>0</x:v>
      </x:c>
      <x:c r="O168" s="10" t="n">
        <x:f>(G168-H168)*K168</x:f>
        <x:v>0</x:v>
      </x:c>
      <x:c r="P168" s="10" t="n">
        <x:f>N168-O168</x:f>
        <x:v>0</x:v>
      </x:c>
      <x:c r="Q168" s="9" t="n">
        <x:f>A168-WEEKDAY(A168,2)+1</x:f>
        <x:v>46265</x:v>
      </x:c>
      <x:c r="R168" s="2" t="str">
        <x:f>IF(AND(A168&gt;='Review'!$B$4,A168&lt;='Review'!$D$4),"Selected","Outside")</x:f>
        <x:v>Outside</x:v>
      </x:c>
    </x:row>
    <x:row r="169" ht="20" customHeight="1">
      <x:c r="A169" s="9" t="n">
        <x:v>46268</x:v>
      </x:c>
      <x:c r="B169" s="2" t="str">
        <x:v>MM-1128</x:v>
      </x:c>
      <x:c r="C169" s="2" t="str">
        <x:v>Paid Social</x:v>
      </x:c>
      <x:c r="D169" s="2" t="str">
        <x:v>KEY-001</x:v>
      </x:c>
      <x:c r="E169" s="2" t="str">
        <x:f>_xlfn.IFNA(VLOOKUP(D169,'Products'!$A$7:$I$22,2,FALSE),"Unmapped")</x:f>
        <x:v>Maple keyring</x:v>
      </x:c>
      <x:c r="F169" s="2" t="str">
        <x:f>_xlfn.IFNA(VLOOKUP(D169,'Products'!$A$7:$I$22,3,FALSE),"Unmapped")</x:f>
        <x:v>Accessories</x:v>
      </x:c>
      <x:c r="G169" s="2" t="n">
        <x:v>3</x:v>
      </x:c>
      <x:c r="H169" s="2" t="n">
        <x:v>0</x:v>
      </x:c>
      <x:c r="I169" s="10" t="n">
        <x:v>12.95</x:v>
      </x:c>
      <x:c r="J169" s="10" t="n">
        <x:v>0</x:v>
      </x:c>
      <x:c r="K169" s="10" t="n">
        <x:v>3.5</x:v>
      </x:c>
      <x:c r="L169" s="10" t="n">
        <x:f>G169*I169</x:f>
        <x:v>38.849999999999994</x:v>
      </x:c>
      <x:c r="M169" s="10" t="n">
        <x:f>ROUND((L169-J169)*H169/G169,2)</x:f>
        <x:v>0</x:v>
      </x:c>
      <x:c r="N169" s="10" t="n">
        <x:f>L169-J169-M169</x:f>
        <x:v>38.849999999999994</x:v>
      </x:c>
      <x:c r="O169" s="10" t="n">
        <x:f>(G169-H169)*K169</x:f>
        <x:v>10.5</x:v>
      </x:c>
      <x:c r="P169" s="10" t="n">
        <x:f>N169-O169</x:f>
        <x:v>28.349999999999994</x:v>
      </x:c>
      <x:c r="Q169" s="9" t="n">
        <x:f>A169-WEEKDAY(A169,2)+1</x:f>
        <x:v>46265</x:v>
      </x:c>
      <x:c r="R169" s="2" t="str">
        <x:f>IF(AND(A169&gt;='Review'!$B$4,A169&lt;='Review'!$D$4),"Selected","Outside")</x:f>
        <x:v>Outside</x:v>
      </x:c>
    </x:row>
    <x:row r="170" ht="20" customHeight="1">
      <x:c r="A170" s="9" t="n">
        <x:v>46268</x:v>
      </x:c>
      <x:c r="B170" s="2" t="str">
        <x:v>MM-1135</x:v>
      </x:c>
      <x:c r="C170" s="2" t="str">
        <x:v>Direct</x:v>
      </x:c>
      <x:c r="D170" s="2" t="str">
        <x:v>TUM-001</x:v>
      </x:c>
      <x:c r="E170" s="2" t="str">
        <x:f>_xlfn.IFNA(VLOOKUP(D170,'Products'!$A$7:$I$22,2,FALSE),"Unmapped")</x:f>
        <x:v>Maple travel tumbler</x:v>
      </x:c>
      <x:c r="F170" s="2" t="str">
        <x:f>_xlfn.IFNA(VLOOKUP(D170,'Products'!$A$7:$I$22,3,FALSE),"Unmapped")</x:f>
        <x:v>Drinkware</x:v>
      </x:c>
      <x:c r="G170" s="2" t="n">
        <x:v>1</x:v>
      </x:c>
      <x:c r="H170" s="2" t="n">
        <x:v>0</x:v>
      </x:c>
      <x:c r="I170" s="10" t="n">
        <x:v>32.95</x:v>
      </x:c>
      <x:c r="J170" s="10" t="n">
        <x:v>0</x:v>
      </x:c>
      <x:c r="K170" s="10" t="n">
        <x:v>12</x:v>
      </x:c>
      <x:c r="L170" s="10" t="n">
        <x:f>G170*I170</x:f>
        <x:v>32.95</x:v>
      </x:c>
      <x:c r="M170" s="10" t="n">
        <x:f>ROUND((L170-J170)*H170/G170,2)</x:f>
        <x:v>0</x:v>
      </x:c>
      <x:c r="N170" s="10" t="n">
        <x:f>L170-J170-M170</x:f>
        <x:v>32.95</x:v>
      </x:c>
      <x:c r="O170" s="10" t="n">
        <x:f>(G170-H170)*K170</x:f>
        <x:v>12</x:v>
      </x:c>
      <x:c r="P170" s="10" t="n">
        <x:f>N170-O170</x:f>
        <x:v>20.950000000000003</x:v>
      </x:c>
      <x:c r="Q170" s="9" t="n">
        <x:f>A170-WEEKDAY(A170,2)+1</x:f>
        <x:v>46265</x:v>
      </x:c>
      <x:c r="R170" s="2" t="str">
        <x:f>IF(AND(A170&gt;='Review'!$B$4,A170&lt;='Review'!$D$4),"Selected","Outside")</x:f>
        <x:v>Outside</x:v>
      </x:c>
    </x:row>
    <x:row r="171" ht="20" customHeight="1">
      <x:c r="A171" s="9" t="n">
        <x:v>46268</x:v>
      </x:c>
      <x:c r="B171" s="2" t="str">
        <x:v>MM-1122</x:v>
      </x:c>
      <x:c r="C171" s="2" t="str">
        <x:v>Email</x:v>
      </x:c>
      <x:c r="D171" s="2" t="str">
        <x:v>TOTE-001</x:v>
      </x:c>
      <x:c r="E171" s="2" t="str">
        <x:f>_xlfn.IFNA(VLOOKUP(D171,'Products'!$A$7:$I$22,2,FALSE),"Unmapped")</x:f>
        <x:v>Market canvas tote</x:v>
      </x:c>
      <x:c r="F171" s="2" t="str">
        <x:f>_xlfn.IFNA(VLOOKUP(D171,'Products'!$A$7:$I$22,3,FALSE),"Unmapped")</x:f>
        <x:v>Accessories</x:v>
      </x:c>
      <x:c r="G171" s="2" t="n">
        <x:v>1</x:v>
      </x:c>
      <x:c r="H171" s="2" t="n">
        <x:v>0</x:v>
      </x:c>
      <x:c r="I171" s="10" t="n">
        <x:v>19.95</x:v>
      </x:c>
      <x:c r="J171" s="10" t="n">
        <x:v>1.99</x:v>
      </x:c>
      <x:c r="K171" s="10" t="n">
        <x:v>6</x:v>
      </x:c>
      <x:c r="L171" s="10" t="n">
        <x:f>G171*I171</x:f>
        <x:v>19.95</x:v>
      </x:c>
      <x:c r="M171" s="10" t="n">
        <x:f>ROUND((L171-J171)*H171/G171,2)</x:f>
        <x:v>0</x:v>
      </x:c>
      <x:c r="N171" s="10" t="n">
        <x:f>L171-J171-M171</x:f>
        <x:v>17.96</x:v>
      </x:c>
      <x:c r="O171" s="10" t="n">
        <x:f>(G171-H171)*K171</x:f>
        <x:v>6</x:v>
      </x:c>
      <x:c r="P171" s="10" t="n">
        <x:f>N171-O171</x:f>
        <x:v>11.96</x:v>
      </x:c>
      <x:c r="Q171" s="9" t="n">
        <x:f>A171-WEEKDAY(A171,2)+1</x:f>
        <x:v>46265</x:v>
      </x:c>
      <x:c r="R171" s="2" t="str">
        <x:f>IF(AND(A171&gt;='Review'!$B$4,A171&lt;='Review'!$D$4),"Selected","Outside")</x:f>
        <x:v>Outside</x:v>
      </x:c>
    </x:row>
    <x:row r="172" ht="20" customHeight="1">
      <x:c r="A172" s="9" t="n">
        <x:v>46268</x:v>
      </x:c>
      <x:c r="B172" s="2" t="str">
        <x:v>MM-1122</x:v>
      </x:c>
      <x:c r="C172" s="2" t="str">
        <x:v>Email</x:v>
      </x:c>
      <x:c r="D172" s="2" t="str">
        <x:v>PIN-001</x:v>
      </x:c>
      <x:c r="E172" s="2" t="str">
        <x:f>_xlfn.IFNA(VLOOKUP(D172,'Products'!$A$7:$I$22,2,FALSE),"Unmapped")</x:f>
        <x:v>Coffee enamel pin</x:v>
      </x:c>
      <x:c r="F172" s="2" t="str">
        <x:f>_xlfn.IFNA(VLOOKUP(D172,'Products'!$A$7:$I$22,3,FALSE),"Unmapped")</x:f>
        <x:v>Accessories</x:v>
      </x:c>
      <x:c r="G172" s="2" t="n">
        <x:v>1</x:v>
      </x:c>
      <x:c r="H172" s="2" t="n">
        <x:v>0</x:v>
      </x:c>
      <x:c r="I172" s="10" t="n">
        <x:v>9.95</x:v>
      </x:c>
      <x:c r="J172" s="10" t="n">
        <x:v>0.99</x:v>
      </x:c>
      <x:c r="K172" s="10" t="n">
        <x:v>2.5</x:v>
      </x:c>
      <x:c r="L172" s="10" t="n">
        <x:f>G172*I172</x:f>
        <x:v>9.95</x:v>
      </x:c>
      <x:c r="M172" s="10" t="n">
        <x:f>ROUND((L172-J172)*H172/G172,2)</x:f>
        <x:v>0</x:v>
      </x:c>
      <x:c r="N172" s="10" t="n">
        <x:f>L172-J172-M172</x:f>
        <x:v>8.959999999999999</x:v>
      </x:c>
      <x:c r="O172" s="10" t="n">
        <x:f>(G172-H172)*K172</x:f>
        <x:v>2.5</x:v>
      </x:c>
      <x:c r="P172" s="10" t="n">
        <x:f>N172-O172</x:f>
        <x:v>6.459999999999999</x:v>
      </x:c>
      <x:c r="Q172" s="9" t="n">
        <x:f>A172-WEEKDAY(A172,2)+1</x:f>
        <x:v>46265</x:v>
      </x:c>
      <x:c r="R172" s="2" t="str">
        <x:f>IF(AND(A172&gt;='Review'!$B$4,A172&lt;='Review'!$D$4),"Selected","Outside")</x:f>
        <x:v>Outside</x:v>
      </x:c>
    </x:row>
    <x:row r="173" ht="20" customHeight="1">
      <x:c r="A173" s="9" t="n">
        <x:v>46268</x:v>
      </x:c>
      <x:c r="B173" s="2" t="str">
        <x:v>MM-1124</x:v>
      </x:c>
      <x:c r="C173" s="2" t="str">
        <x:v>Organic Search</x:v>
      </x:c>
      <x:c r="D173" s="2" t="str">
        <x:v>KEY-001</x:v>
      </x:c>
      <x:c r="E173" s="2" t="str">
        <x:f>_xlfn.IFNA(VLOOKUP(D173,'Products'!$A$7:$I$22,2,FALSE),"Unmapped")</x:f>
        <x:v>Maple keyring</x:v>
      </x:c>
      <x:c r="F173" s="2" t="str">
        <x:f>_xlfn.IFNA(VLOOKUP(D173,'Products'!$A$7:$I$22,3,FALSE),"Unmapped")</x:f>
        <x:v>Accessories</x:v>
      </x:c>
      <x:c r="G173" s="2" t="n">
        <x:v>2</x:v>
      </x:c>
      <x:c r="H173" s="2" t="n">
        <x:v>0</x:v>
      </x:c>
      <x:c r="I173" s="10" t="n">
        <x:v>12.95</x:v>
      </x:c>
      <x:c r="J173" s="10" t="n">
        <x:v>2.59</x:v>
      </x:c>
      <x:c r="K173" s="10" t="n">
        <x:v>3.5</x:v>
      </x:c>
      <x:c r="L173" s="10" t="n">
        <x:f>G173*I173</x:f>
        <x:v>25.9</x:v>
      </x:c>
      <x:c r="M173" s="10" t="n">
        <x:f>ROUND((L173-J173)*H173/G173,2)</x:f>
        <x:v>0</x:v>
      </x:c>
      <x:c r="N173" s="10" t="n">
        <x:f>L173-J173-M173</x:f>
        <x:v>23.31</x:v>
      </x:c>
      <x:c r="O173" s="10" t="n">
        <x:f>(G173-H173)*K173</x:f>
        <x:v>7</x:v>
      </x:c>
      <x:c r="P173" s="10" t="n">
        <x:f>N173-O173</x:f>
        <x:v>16.31</x:v>
      </x:c>
      <x:c r="Q173" s="9" t="n">
        <x:f>A173-WEEKDAY(A173,2)+1</x:f>
        <x:v>46265</x:v>
      </x:c>
      <x:c r="R173" s="2" t="str">
        <x:f>IF(AND(A173&gt;='Review'!$B$4,A173&lt;='Review'!$D$4),"Selected","Outside")</x:f>
        <x:v>Outside</x:v>
      </x:c>
    </x:row>
    <x:row r="174" ht="20" customHeight="1">
      <x:c r="A174" s="9" t="n">
        <x:v>46268</x:v>
      </x:c>
      <x:c r="B174" s="2" t="str">
        <x:v>MM-1124</x:v>
      </x:c>
      <x:c r="C174" s="2" t="str">
        <x:v>Organic Search</x:v>
      </x:c>
      <x:c r="D174" s="2" t="str">
        <x:v>TUM-001</x:v>
      </x:c>
      <x:c r="E174" s="2" t="str">
        <x:f>_xlfn.IFNA(VLOOKUP(D174,'Products'!$A$7:$I$22,2,FALSE),"Unmapped")</x:f>
        <x:v>Maple travel tumbler</x:v>
      </x:c>
      <x:c r="F174" s="2" t="str">
        <x:f>_xlfn.IFNA(VLOOKUP(D174,'Products'!$A$7:$I$22,3,FALSE),"Unmapped")</x:f>
        <x:v>Drinkware</x:v>
      </x:c>
      <x:c r="G174" s="2" t="n">
        <x:v>1</x:v>
      </x:c>
      <x:c r="H174" s="2" t="n">
        <x:v>0</x:v>
      </x:c>
      <x:c r="I174" s="10" t="n">
        <x:v>32.95</x:v>
      </x:c>
      <x:c r="J174" s="10" t="n">
        <x:v>0</x:v>
      </x:c>
      <x:c r="K174" s="10" t="n">
        <x:v>12</x:v>
      </x:c>
      <x:c r="L174" s="10" t="n">
        <x:f>G174*I174</x:f>
        <x:v>32.95</x:v>
      </x:c>
      <x:c r="M174" s="10" t="n">
        <x:f>ROUND((L174-J174)*H174/G174,2)</x:f>
        <x:v>0</x:v>
      </x:c>
      <x:c r="N174" s="10" t="n">
        <x:f>L174-J174-M174</x:f>
        <x:v>32.95</x:v>
      </x:c>
      <x:c r="O174" s="10" t="n">
        <x:f>(G174-H174)*K174</x:f>
        <x:v>12</x:v>
      </x:c>
      <x:c r="P174" s="10" t="n">
        <x:f>N174-O174</x:f>
        <x:v>20.950000000000003</x:v>
      </x:c>
      <x:c r="Q174" s="9" t="n">
        <x:f>A174-WEEKDAY(A174,2)+1</x:f>
        <x:v>46265</x:v>
      </x:c>
      <x:c r="R174" s="2" t="str">
        <x:f>IF(AND(A174&gt;='Review'!$B$4,A174&lt;='Review'!$D$4),"Selected","Outside")</x:f>
        <x:v>Outside</x:v>
      </x:c>
    </x:row>
    <x:row r="175" ht="20" customHeight="1">
      <x:c r="A175" s="9" t="n">
        <x:v>46268</x:v>
      </x:c>
      <x:c r="B175" s="2" t="str">
        <x:v>MM-1132</x:v>
      </x:c>
      <x:c r="C175" s="2" t="str">
        <x:v>Organic Search</x:v>
      </x:c>
      <x:c r="D175" s="2" t="str">
        <x:v>APP-003</x:v>
      </x:c>
      <x:c r="E175" s="2" t="str">
        <x:f>_xlfn.IFNA(VLOOKUP(D175,'Products'!$A$7:$I$22,2,FALSE),"Unmapped")</x:f>
        <x:v>Coffee club tee</x:v>
      </x:c>
      <x:c r="F175" s="2" t="str">
        <x:f>_xlfn.IFNA(VLOOKUP(D175,'Products'!$A$7:$I$22,3,FALSE),"Unmapped")</x:f>
        <x:v>Apparel</x:v>
      </x:c>
      <x:c r="G175" s="2" t="n">
        <x:v>1</x:v>
      </x:c>
      <x:c r="H175" s="2" t="n">
        <x:v>0</x:v>
      </x:c>
      <x:c r="I175" s="10" t="n">
        <x:v>29.95</x:v>
      </x:c>
      <x:c r="J175" s="10" t="n">
        <x:v>0</x:v>
      </x:c>
      <x:c r="K175" s="10" t="n">
        <x:v>10</x:v>
      </x:c>
      <x:c r="L175" s="10" t="n">
        <x:f>G175*I175</x:f>
        <x:v>29.95</x:v>
      </x:c>
      <x:c r="M175" s="10" t="n">
        <x:f>ROUND((L175-J175)*H175/G175,2)</x:f>
        <x:v>0</x:v>
      </x:c>
      <x:c r="N175" s="10" t="n">
        <x:f>L175-J175-M175</x:f>
        <x:v>29.95</x:v>
      </x:c>
      <x:c r="O175" s="10" t="n">
        <x:f>(G175-H175)*K175</x:f>
        <x:v>10</x:v>
      </x:c>
      <x:c r="P175" s="10" t="n">
        <x:f>N175-O175</x:f>
        <x:v>19.95</x:v>
      </x:c>
      <x:c r="Q175" s="9" t="n">
        <x:f>A175-WEEKDAY(A175,2)+1</x:f>
        <x:v>46265</x:v>
      </x:c>
      <x:c r="R175" s="2" t="str">
        <x:f>IF(AND(A175&gt;='Review'!$B$4,A175&lt;='Review'!$D$4),"Selected","Outside")</x:f>
        <x:v>Outside</x:v>
      </x:c>
    </x:row>
    <x:row r="176" ht="20" customHeight="1">
      <x:c r="A176" s="9" t="n">
        <x:v>46268</x:v>
      </x:c>
      <x:c r="B176" s="2" t="str">
        <x:v>MM-1140</x:v>
      </x:c>
      <x:c r="C176" s="2" t="str">
        <x:v>Organic Search</x:v>
      </x:c>
      <x:c r="D176" s="2" t="str">
        <x:v>MUG-001</x:v>
      </x:c>
      <x:c r="E176" s="2" t="str">
        <x:f>_xlfn.IFNA(VLOOKUP(D176,'Products'!$A$7:$I$22,2,FALSE),"Unmapped")</x:f>
        <x:v>Everyday ceramic mug</x:v>
      </x:c>
      <x:c r="F176" s="2" t="str">
        <x:f>_xlfn.IFNA(VLOOKUP(D176,'Products'!$A$7:$I$22,3,FALSE),"Unmapped")</x:f>
        <x:v>Drinkware</x:v>
      </x:c>
      <x:c r="G176" s="2" t="n">
        <x:v>1</x:v>
      </x:c>
      <x:c r="H176" s="2" t="n">
        <x:v>0</x:v>
      </x:c>
      <x:c r="I176" s="10" t="n">
        <x:v>18.95</x:v>
      </x:c>
      <x:c r="J176" s="10" t="n">
        <x:v>0</x:v>
      </x:c>
      <x:c r="K176" s="10" t="n">
        <x:v>6.5</x:v>
      </x:c>
      <x:c r="L176" s="10" t="n">
        <x:f>G176*I176</x:f>
        <x:v>18.95</x:v>
      </x:c>
      <x:c r="M176" s="10" t="n">
        <x:f>ROUND((L176-J176)*H176/G176,2)</x:f>
        <x:v>0</x:v>
      </x:c>
      <x:c r="N176" s="10" t="n">
        <x:f>L176-J176-M176</x:f>
        <x:v>18.95</x:v>
      </x:c>
      <x:c r="O176" s="10" t="n">
        <x:f>(G176-H176)*K176</x:f>
        <x:v>6.5</x:v>
      </x:c>
      <x:c r="P176" s="10" t="n">
        <x:f>N176-O176</x:f>
        <x:v>12.45</x:v>
      </x:c>
      <x:c r="Q176" s="9" t="n">
        <x:f>A176-WEEKDAY(A176,2)+1</x:f>
        <x:v>46265</x:v>
      </x:c>
      <x:c r="R176" s="2" t="str">
        <x:f>IF(AND(A176&gt;='Review'!$B$4,A176&lt;='Review'!$D$4),"Selected","Outside")</x:f>
        <x:v>Outside</x:v>
      </x:c>
    </x:row>
    <x:row r="177" ht="20" customHeight="1">
      <x:c r="A177" s="9" t="n">
        <x:v>46268</x:v>
      </x:c>
      <x:c r="B177" s="2" t="str">
        <x:v>MM-1123</x:v>
      </x:c>
      <x:c r="C177" s="2" t="str">
        <x:v>Organic Search</x:v>
      </x:c>
      <x:c r="D177" s="2" t="str">
        <x:v>KEY-001</x:v>
      </x:c>
      <x:c r="E177" s="2" t="str">
        <x:f>_xlfn.IFNA(VLOOKUP(D177,'Products'!$A$7:$I$22,2,FALSE),"Unmapped")</x:f>
        <x:v>Maple keyring</x:v>
      </x:c>
      <x:c r="F177" s="2" t="str">
        <x:f>_xlfn.IFNA(VLOOKUP(D177,'Products'!$A$7:$I$22,3,FALSE),"Unmapped")</x:f>
        <x:v>Accessories</x:v>
      </x:c>
      <x:c r="G177" s="2" t="n">
        <x:v>1</x:v>
      </x:c>
      <x:c r="H177" s="2" t="n">
        <x:v>0</x:v>
      </x:c>
      <x:c r="I177" s="10" t="n">
        <x:v>12.95</x:v>
      </x:c>
      <x:c r="J177" s="10" t="n">
        <x:v>0</x:v>
      </x:c>
      <x:c r="K177" s="10" t="n">
        <x:v>3.5</x:v>
      </x:c>
      <x:c r="L177" s="10" t="n">
        <x:f>G177*I177</x:f>
        <x:v>12.95</x:v>
      </x:c>
      <x:c r="M177" s="10" t="n">
        <x:f>ROUND((L177-J177)*H177/G177,2)</x:f>
        <x:v>0</x:v>
      </x:c>
      <x:c r="N177" s="10" t="n">
        <x:f>L177-J177-M177</x:f>
        <x:v>12.95</x:v>
      </x:c>
      <x:c r="O177" s="10" t="n">
        <x:f>(G177-H177)*K177</x:f>
        <x:v>3.5</x:v>
      </x:c>
      <x:c r="P177" s="10" t="n">
        <x:f>N177-O177</x:f>
        <x:v>9.45</x:v>
      </x:c>
      <x:c r="Q177" s="9" t="n">
        <x:f>A177-WEEKDAY(A177,2)+1</x:f>
        <x:v>46265</x:v>
      </x:c>
      <x:c r="R177" s="2" t="str">
        <x:f>IF(AND(A177&gt;='Review'!$B$4,A177&lt;='Review'!$D$4),"Selected","Outside")</x:f>
        <x:v>Outside</x:v>
      </x:c>
    </x:row>
    <x:row r="178" ht="20" customHeight="1">
      <x:c r="A178" s="9" t="n">
        <x:v>46268</x:v>
      </x:c>
      <x:c r="B178" s="2" t="str">
        <x:v>MM-1123</x:v>
      </x:c>
      <x:c r="C178" s="2" t="str">
        <x:v>Organic Search</x:v>
      </x:c>
      <x:c r="D178" s="2" t="str">
        <x:v>GFT-001</x:v>
      </x:c>
      <x:c r="E178" s="2" t="str">
        <x:f>_xlfn.IFNA(VLOOKUP(D178,'Products'!$A$7:$I$22,2,FALSE),"Unmapped")</x:f>
        <x:v>Morning ritual gift set</x:v>
      </x:c>
      <x:c r="F178" s="2" t="str">
        <x:f>_xlfn.IFNA(VLOOKUP(D178,'Products'!$A$7:$I$22,3,FALSE),"Unmapped")</x:f>
        <x:v>Gifts</x:v>
      </x:c>
      <x:c r="G178" s="2" t="n">
        <x:v>1</x:v>
      </x:c>
      <x:c r="H178" s="2" t="n">
        <x:v>0</x:v>
      </x:c>
      <x:c r="I178" s="10" t="n">
        <x:v>59.95</x:v>
      </x:c>
      <x:c r="J178" s="10" t="n">
        <x:v>0</x:v>
      </x:c>
      <x:c r="K178" s="10" t="n">
        <x:v>24</x:v>
      </x:c>
      <x:c r="L178" s="10" t="n">
        <x:f>G178*I178</x:f>
        <x:v>59.95</x:v>
      </x:c>
      <x:c r="M178" s="10" t="n">
        <x:f>ROUND((L178-J178)*H178/G178,2)</x:f>
        <x:v>0</x:v>
      </x:c>
      <x:c r="N178" s="10" t="n">
        <x:f>L178-J178-M178</x:f>
        <x:v>59.95</x:v>
      </x:c>
      <x:c r="O178" s="10" t="n">
        <x:f>(G178-H178)*K178</x:f>
        <x:v>24</x:v>
      </x:c>
      <x:c r="P178" s="10" t="n">
        <x:f>N178-O178</x:f>
        <x:v>35.95</x:v>
      </x:c>
      <x:c r="Q178" s="9" t="n">
        <x:f>A178-WEEKDAY(A178,2)+1</x:f>
        <x:v>46265</x:v>
      </x:c>
      <x:c r="R178" s="2" t="str">
        <x:f>IF(AND(A178&gt;='Review'!$B$4,A178&lt;='Review'!$D$4),"Selected","Outside")</x:f>
        <x:v>Outside</x:v>
      </x:c>
    </x:row>
    <x:row r="179" ht="20" customHeight="1">
      <x:c r="A179" s="9" t="n">
        <x:v>46268</x:v>
      </x:c>
      <x:c r="B179" s="2" t="str">
        <x:v>MM-1129</x:v>
      </x:c>
      <x:c r="C179" s="2" t="str">
        <x:v>Organic Search</x:v>
      </x:c>
      <x:c r="D179" s="2" t="str">
        <x:v>TUM-002</x:v>
      </x:c>
      <x:c r="E179" s="2" t="str">
        <x:f>_xlfn.IFNA(VLOOKUP(D179,'Products'!$A$7:$I$22,2,FALSE),"Unmapped")</x:f>
        <x:v>Cold brew glass cup</x:v>
      </x:c>
      <x:c r="F179" s="2" t="str">
        <x:f>_xlfn.IFNA(VLOOKUP(D179,'Products'!$A$7:$I$22,3,FALSE),"Unmapped")</x:f>
        <x:v>Drinkware</x:v>
      </x:c>
      <x:c r="G179" s="2" t="n">
        <x:v>1</x:v>
      </x:c>
      <x:c r="H179" s="2" t="n">
        <x:v>0</x:v>
      </x:c>
      <x:c r="I179" s="10" t="n">
        <x:v>24.95</x:v>
      </x:c>
      <x:c r="J179" s="10" t="n">
        <x:v>0</x:v>
      </x:c>
      <x:c r="K179" s="10" t="n">
        <x:v>9</x:v>
      </x:c>
      <x:c r="L179" s="10" t="n">
        <x:f>G179*I179</x:f>
        <x:v>24.95</x:v>
      </x:c>
      <x:c r="M179" s="10" t="n">
        <x:f>ROUND((L179-J179)*H179/G179,2)</x:f>
        <x:v>0</x:v>
      </x:c>
      <x:c r="N179" s="10" t="n">
        <x:f>L179-J179-M179</x:f>
        <x:v>24.95</x:v>
      </x:c>
      <x:c r="O179" s="10" t="n">
        <x:f>(G179-H179)*K179</x:f>
        <x:v>9</x:v>
      </x:c>
      <x:c r="P179" s="10" t="n">
        <x:f>N179-O179</x:f>
        <x:v>15.95</x:v>
      </x:c>
      <x:c r="Q179" s="9" t="n">
        <x:f>A179-WEEKDAY(A179,2)+1</x:f>
        <x:v>46265</x:v>
      </x:c>
      <x:c r="R179" s="2" t="str">
        <x:f>IF(AND(A179&gt;='Review'!$B$4,A179&lt;='Review'!$D$4),"Selected","Outside")</x:f>
        <x:v>Outside</x:v>
      </x:c>
    </x:row>
    <x:row r="180" ht="20" customHeight="1">
      <x:c r="A180" s="9" t="n">
        <x:v>46268</x:v>
      </x:c>
      <x:c r="B180" s="2" t="str">
        <x:v>MM-1130</x:v>
      </x:c>
      <x:c r="C180" s="2" t="str">
        <x:v>Direct</x:v>
      </x:c>
      <x:c r="D180" s="2" t="str">
        <x:v>KEY-001</x:v>
      </x:c>
      <x:c r="E180" s="2" t="str">
        <x:f>_xlfn.IFNA(VLOOKUP(D180,'Products'!$A$7:$I$22,2,FALSE),"Unmapped")</x:f>
        <x:v>Maple keyring</x:v>
      </x:c>
      <x:c r="F180" s="2" t="str">
        <x:f>_xlfn.IFNA(VLOOKUP(D180,'Products'!$A$7:$I$22,3,FALSE),"Unmapped")</x:f>
        <x:v>Accessories</x:v>
      </x:c>
      <x:c r="G180" s="2" t="n">
        <x:v>1</x:v>
      </x:c>
      <x:c r="H180" s="2" t="n">
        <x:v>0</x:v>
      </x:c>
      <x:c r="I180" s="10" t="n">
        <x:v>12.95</x:v>
      </x:c>
      <x:c r="J180" s="10" t="n">
        <x:v>1.29</x:v>
      </x:c>
      <x:c r="K180" s="10" t="n">
        <x:v>3.5</x:v>
      </x:c>
      <x:c r="L180" s="10" t="n">
        <x:f>G180*I180</x:f>
        <x:v>12.95</x:v>
      </x:c>
      <x:c r="M180" s="10" t="n">
        <x:f>ROUND((L180-J180)*H180/G180,2)</x:f>
        <x:v>0</x:v>
      </x:c>
      <x:c r="N180" s="10" t="n">
        <x:f>L180-J180-M180</x:f>
        <x:v>11.66</x:v>
      </x:c>
      <x:c r="O180" s="10" t="n">
        <x:f>(G180-H180)*K180</x:f>
        <x:v>3.5</x:v>
      </x:c>
      <x:c r="P180" s="10" t="n">
        <x:f>N180-O180</x:f>
        <x:v>8.16</x:v>
      </x:c>
      <x:c r="Q180" s="9" t="n">
        <x:f>A180-WEEKDAY(A180,2)+1</x:f>
        <x:v>46265</x:v>
      </x:c>
      <x:c r="R180" s="2" t="str">
        <x:f>IF(AND(A180&gt;='Review'!$B$4,A180&lt;='Review'!$D$4),"Selected","Outside")</x:f>
        <x:v>Outside</x:v>
      </x:c>
    </x:row>
    <x:row r="181" ht="20" customHeight="1">
      <x:c r="A181" s="9" t="n">
        <x:v>46268</x:v>
      </x:c>
      <x:c r="B181" s="2" t="str">
        <x:v>MM-1133</x:v>
      </x:c>
      <x:c r="C181" s="2" t="str">
        <x:v>Email</x:v>
      </x:c>
      <x:c r="D181" s="2" t="str">
        <x:v>TUM-002</x:v>
      </x:c>
      <x:c r="E181" s="2" t="str">
        <x:f>_xlfn.IFNA(VLOOKUP(D181,'Products'!$A$7:$I$22,2,FALSE),"Unmapped")</x:f>
        <x:v>Cold brew glass cup</x:v>
      </x:c>
      <x:c r="F181" s="2" t="str">
        <x:f>_xlfn.IFNA(VLOOKUP(D181,'Products'!$A$7:$I$22,3,FALSE),"Unmapped")</x:f>
        <x:v>Drinkware</x:v>
      </x:c>
      <x:c r="G181" s="2" t="n">
        <x:v>1</x:v>
      </x:c>
      <x:c r="H181" s="2" t="n">
        <x:v>0</x:v>
      </x:c>
      <x:c r="I181" s="10" t="n">
        <x:v>24.95</x:v>
      </x:c>
      <x:c r="J181" s="10" t="n">
        <x:v>2.49</x:v>
      </x:c>
      <x:c r="K181" s="10" t="n">
        <x:v>9</x:v>
      </x:c>
      <x:c r="L181" s="10" t="n">
        <x:f>G181*I181</x:f>
        <x:v>24.95</x:v>
      </x:c>
      <x:c r="M181" s="10" t="n">
        <x:f>ROUND((L181-J181)*H181/G181,2)</x:f>
        <x:v>0</x:v>
      </x:c>
      <x:c r="N181" s="10" t="n">
        <x:f>L181-J181-M181</x:f>
        <x:v>22.46</x:v>
      </x:c>
      <x:c r="O181" s="10" t="n">
        <x:f>(G181-H181)*K181</x:f>
        <x:v>9</x:v>
      </x:c>
      <x:c r="P181" s="10" t="n">
        <x:f>N181-O181</x:f>
        <x:v>13.46</x:v>
      </x:c>
      <x:c r="Q181" s="9" t="n">
        <x:f>A181-WEEKDAY(A181,2)+1</x:f>
        <x:v>46265</x:v>
      </x:c>
      <x:c r="R181" s="2" t="str">
        <x:f>IF(AND(A181&gt;='Review'!$B$4,A181&lt;='Review'!$D$4),"Selected","Outside")</x:f>
        <x:v>Outside</x:v>
      </x:c>
    </x:row>
    <x:row r="182" ht="20" customHeight="1">
      <x:c r="A182" s="9" t="n">
        <x:v>46268</x:v>
      </x:c>
      <x:c r="B182" s="2" t="str">
        <x:v>MM-1133</x:v>
      </x:c>
      <x:c r="C182" s="2" t="str">
        <x:v>Email</x:v>
      </x:c>
      <x:c r="D182" s="2" t="str">
        <x:v>APP-002</x:v>
      </x:c>
      <x:c r="E182" s="2" t="str">
        <x:f>_xlfn.IFNA(VLOOKUP(D182,'Products'!$A$7:$I$22,2,FALSE),"Unmapped")</x:f>
        <x:v>Weekend hoodie</x:v>
      </x:c>
      <x:c r="F182" s="2" t="str">
        <x:f>_xlfn.IFNA(VLOOKUP(D182,'Products'!$A$7:$I$22,3,FALSE),"Unmapped")</x:f>
        <x:v>Apparel</x:v>
      </x:c>
      <x:c r="G182" s="2" t="n">
        <x:v>1</x:v>
      </x:c>
      <x:c r="H182" s="2" t="n">
        <x:v>0</x:v>
      </x:c>
      <x:c r="I182" s="10" t="n">
        <x:v>69.95</x:v>
      </x:c>
      <x:c r="J182" s="10" t="n">
        <x:v>6.99</x:v>
      </x:c>
      <x:c r="K182" s="10" t="n">
        <x:v>28</x:v>
      </x:c>
      <x:c r="L182" s="10" t="n">
        <x:f>G182*I182</x:f>
        <x:v>69.95</x:v>
      </x:c>
      <x:c r="M182" s="10" t="n">
        <x:f>ROUND((L182-J182)*H182/G182,2)</x:f>
        <x:v>0</x:v>
      </x:c>
      <x:c r="N182" s="10" t="n">
        <x:f>L182-J182-M182</x:f>
        <x:v>62.96</x:v>
      </x:c>
      <x:c r="O182" s="10" t="n">
        <x:f>(G182-H182)*K182</x:f>
        <x:v>28</x:v>
      </x:c>
      <x:c r="P182" s="10" t="n">
        <x:f>N182-O182</x:f>
        <x:v>34.96</x:v>
      </x:c>
      <x:c r="Q182" s="9" t="n">
        <x:f>A182-WEEKDAY(A182,2)+1</x:f>
        <x:v>46265</x:v>
      </x:c>
      <x:c r="R182" s="2" t="str">
        <x:f>IF(AND(A182&gt;='Review'!$B$4,A182&lt;='Review'!$D$4),"Selected","Outside")</x:f>
        <x:v>Outside</x:v>
      </x:c>
    </x:row>
    <x:row r="183" ht="20" customHeight="1">
      <x:c r="A183" s="9" t="n">
        <x:v>46268</x:v>
      </x:c>
      <x:c r="B183" s="2" t="str">
        <x:v>MM-1125</x:v>
      </x:c>
      <x:c r="C183" s="2" t="str">
        <x:v>Direct</x:v>
      </x:c>
      <x:c r="D183" s="2" t="str">
        <x:v>BOT-001</x:v>
      </x:c>
      <x:c r="E183" s="2" t="str">
        <x:f>_xlfn.IFNA(VLOOKUP(D183,'Products'!$A$7:$I$22,2,FALSE),"Unmapped")</x:f>
        <x:v>Trail water bottle</x:v>
      </x:c>
      <x:c r="F183" s="2" t="str">
        <x:f>_xlfn.IFNA(VLOOKUP(D183,'Products'!$A$7:$I$22,3,FALSE),"Unmapped")</x:f>
        <x:v>Drinkware</x:v>
      </x:c>
      <x:c r="G183" s="2" t="n">
        <x:v>1</x:v>
      </x:c>
      <x:c r="H183" s="2" t="n">
        <x:v>0</x:v>
      </x:c>
      <x:c r="I183" s="10" t="n">
        <x:v>34.95</x:v>
      </x:c>
      <x:c r="J183" s="10" t="n">
        <x:v>0</x:v>
      </x:c>
      <x:c r="K183" s="10" t="n">
        <x:v>13.5</x:v>
      </x:c>
      <x:c r="L183" s="10" t="n">
        <x:f>G183*I183</x:f>
        <x:v>34.95</x:v>
      </x:c>
      <x:c r="M183" s="10" t="n">
        <x:f>ROUND((L183-J183)*H183/G183,2)</x:f>
        <x:v>0</x:v>
      </x:c>
      <x:c r="N183" s="10" t="n">
        <x:f>L183-J183-M183</x:f>
        <x:v>34.95</x:v>
      </x:c>
      <x:c r="O183" s="10" t="n">
        <x:f>(G183-H183)*K183</x:f>
        <x:v>13.5</x:v>
      </x:c>
      <x:c r="P183" s="10" t="n">
        <x:f>N183-O183</x:f>
        <x:v>21.450000000000003</x:v>
      </x:c>
      <x:c r="Q183" s="9" t="n">
        <x:f>A183-WEEKDAY(A183,2)+1</x:f>
        <x:v>46265</x:v>
      </x:c>
      <x:c r="R183" s="2" t="str">
        <x:f>IF(AND(A183&gt;='Review'!$B$4,A183&lt;='Review'!$D$4),"Selected","Outside")</x:f>
        <x:v>Outside</x:v>
      </x:c>
    </x:row>
    <x:row r="184" ht="20" customHeight="1">
      <x:c r="A184" s="9" t="n">
        <x:v>46268</x:v>
      </x:c>
      <x:c r="B184" s="2" t="str">
        <x:v>MM-1139</x:v>
      </x:c>
      <x:c r="C184" s="2" t="str">
        <x:v>Organic Search</x:v>
      </x:c>
      <x:c r="D184" s="2" t="str">
        <x:v>TUM-002</x:v>
      </x:c>
      <x:c r="E184" s="2" t="str">
        <x:f>_xlfn.IFNA(VLOOKUP(D184,'Products'!$A$7:$I$22,2,FALSE),"Unmapped")</x:f>
        <x:v>Cold brew glass cup</x:v>
      </x:c>
      <x:c r="F184" s="2" t="str">
        <x:f>_xlfn.IFNA(VLOOKUP(D184,'Products'!$A$7:$I$22,3,FALSE),"Unmapped")</x:f>
        <x:v>Drinkware</x:v>
      </x:c>
      <x:c r="G184" s="2" t="n">
        <x:v>1</x:v>
      </x:c>
      <x:c r="H184" s="2" t="n">
        <x:v>0</x:v>
      </x:c>
      <x:c r="I184" s="10" t="n">
        <x:v>24.95</x:v>
      </x:c>
      <x:c r="J184" s="10" t="n">
        <x:v>0</x:v>
      </x:c>
      <x:c r="K184" s="10" t="n">
        <x:v>9</x:v>
      </x:c>
      <x:c r="L184" s="10" t="n">
        <x:f>G184*I184</x:f>
        <x:v>24.95</x:v>
      </x:c>
      <x:c r="M184" s="10" t="n">
        <x:f>ROUND((L184-J184)*H184/G184,2)</x:f>
        <x:v>0</x:v>
      </x:c>
      <x:c r="N184" s="10" t="n">
        <x:f>L184-J184-M184</x:f>
        <x:v>24.95</x:v>
      </x:c>
      <x:c r="O184" s="10" t="n">
        <x:f>(G184-H184)*K184</x:f>
        <x:v>9</x:v>
      </x:c>
      <x:c r="P184" s="10" t="n">
        <x:f>N184-O184</x:f>
        <x:v>15.95</x:v>
      </x:c>
      <x:c r="Q184" s="9" t="n">
        <x:f>A184-WEEKDAY(A184,2)+1</x:f>
        <x:v>46265</x:v>
      </x:c>
      <x:c r="R184" s="2" t="str">
        <x:f>IF(AND(A184&gt;='Review'!$B$4,A184&lt;='Review'!$D$4),"Selected","Outside")</x:f>
        <x:v>Outside</x:v>
      </x:c>
    </x:row>
    <x:row r="185" ht="20" customHeight="1">
      <x:c r="A185" s="9" t="n">
        <x:v>46268</x:v>
      </x:c>
      <x:c r="B185" s="2" t="str">
        <x:v>MM-1139</x:v>
      </x:c>
      <x:c r="C185" s="2" t="str">
        <x:v>Organic Search</x:v>
      </x:c>
      <x:c r="D185" s="2" t="str">
        <x:v>GFT-001</x:v>
      </x:c>
      <x:c r="E185" s="2" t="str">
        <x:f>_xlfn.IFNA(VLOOKUP(D185,'Products'!$A$7:$I$22,2,FALSE),"Unmapped")</x:f>
        <x:v>Morning ritual gift set</x:v>
      </x:c>
      <x:c r="F185" s="2" t="str">
        <x:f>_xlfn.IFNA(VLOOKUP(D185,'Products'!$A$7:$I$22,3,FALSE),"Unmapped")</x:f>
        <x:v>Gifts</x:v>
      </x:c>
      <x:c r="G185" s="2" t="n">
        <x:v>2</x:v>
      </x:c>
      <x:c r="H185" s="2" t="n">
        <x:v>0</x:v>
      </x:c>
      <x:c r="I185" s="10" t="n">
        <x:v>59.95</x:v>
      </x:c>
      <x:c r="J185" s="10" t="n">
        <x:v>0</x:v>
      </x:c>
      <x:c r="K185" s="10" t="n">
        <x:v>24</x:v>
      </x:c>
      <x:c r="L185" s="10" t="n">
        <x:f>G185*I185</x:f>
        <x:v>119.9</x:v>
      </x:c>
      <x:c r="M185" s="10" t="n">
        <x:f>ROUND((L185-J185)*H185/G185,2)</x:f>
        <x:v>0</x:v>
      </x:c>
      <x:c r="N185" s="10" t="n">
        <x:f>L185-J185-M185</x:f>
        <x:v>119.9</x:v>
      </x:c>
      <x:c r="O185" s="10" t="n">
        <x:f>(G185-H185)*K185</x:f>
        <x:v>48</x:v>
      </x:c>
      <x:c r="P185" s="10" t="n">
        <x:f>N185-O185</x:f>
        <x:v>71.9</x:v>
      </x:c>
      <x:c r="Q185" s="9" t="n">
        <x:f>A185-WEEKDAY(A185,2)+1</x:f>
        <x:v>46265</x:v>
      </x:c>
      <x:c r="R185" s="2" t="str">
        <x:f>IF(AND(A185&gt;='Review'!$B$4,A185&lt;='Review'!$D$4),"Selected","Outside")</x:f>
        <x:v>Outside</x:v>
      </x:c>
    </x:row>
    <x:row r="186" ht="20" customHeight="1">
      <x:c r="A186" s="9" t="n">
        <x:v>46268</x:v>
      </x:c>
      <x:c r="B186" s="2" t="str">
        <x:v>MM-1143</x:v>
      </x:c>
      <x:c r="C186" s="2" t="str">
        <x:v>Email</x:v>
      </x:c>
      <x:c r="D186" s="2" t="str">
        <x:v>BOT-001</x:v>
      </x:c>
      <x:c r="E186" s="2" t="str">
        <x:f>_xlfn.IFNA(VLOOKUP(D186,'Products'!$A$7:$I$22,2,FALSE),"Unmapped")</x:f>
        <x:v>Trail water bottle</x:v>
      </x:c>
      <x:c r="F186" s="2" t="str">
        <x:f>_xlfn.IFNA(VLOOKUP(D186,'Products'!$A$7:$I$22,3,FALSE),"Unmapped")</x:f>
        <x:v>Drinkware</x:v>
      </x:c>
      <x:c r="G186" s="2" t="n">
        <x:v>1</x:v>
      </x:c>
      <x:c r="H186" s="2" t="n">
        <x:v>0</x:v>
      </x:c>
      <x:c r="I186" s="10" t="n">
        <x:v>34.95</x:v>
      </x:c>
      <x:c r="J186" s="10" t="n">
        <x:v>3.49</x:v>
      </x:c>
      <x:c r="K186" s="10" t="n">
        <x:v>13.5</x:v>
      </x:c>
      <x:c r="L186" s="10" t="n">
        <x:f>G186*I186</x:f>
        <x:v>34.95</x:v>
      </x:c>
      <x:c r="M186" s="10" t="n">
        <x:f>ROUND((L186-J186)*H186/G186,2)</x:f>
        <x:v>0</x:v>
      </x:c>
      <x:c r="N186" s="10" t="n">
        <x:f>L186-J186-M186</x:f>
        <x:v>31.46</x:v>
      </x:c>
      <x:c r="O186" s="10" t="n">
        <x:f>(G186-H186)*K186</x:f>
        <x:v>13.5</x:v>
      </x:c>
      <x:c r="P186" s="10" t="n">
        <x:f>N186-O186</x:f>
        <x:v>17.96</x:v>
      </x:c>
      <x:c r="Q186" s="9" t="n">
        <x:f>A186-WEEKDAY(A186,2)+1</x:f>
        <x:v>46265</x:v>
      </x:c>
      <x:c r="R186" s="2" t="str">
        <x:f>IF(AND(A186&gt;='Review'!$B$4,A186&lt;='Review'!$D$4),"Selected","Outside")</x:f>
        <x:v>Outside</x:v>
      </x:c>
    </x:row>
    <x:row r="187" ht="20" customHeight="1">
      <x:c r="A187" s="9" t="n">
        <x:v>46268</x:v>
      </x:c>
      <x:c r="B187" s="2" t="str">
        <x:v>MM-1126</x:v>
      </x:c>
      <x:c r="C187" s="2" t="str">
        <x:v>Organic Search</x:v>
      </x:c>
      <x:c r="D187" s="2" t="str">
        <x:v>APP-003</x:v>
      </x:c>
      <x:c r="E187" s="2" t="str">
        <x:f>_xlfn.IFNA(VLOOKUP(D187,'Products'!$A$7:$I$22,2,FALSE),"Unmapped")</x:f>
        <x:v>Coffee club tee</x:v>
      </x:c>
      <x:c r="F187" s="2" t="str">
        <x:f>_xlfn.IFNA(VLOOKUP(D187,'Products'!$A$7:$I$22,3,FALSE),"Unmapped")</x:f>
        <x:v>Apparel</x:v>
      </x:c>
      <x:c r="G187" s="2" t="n">
        <x:v>1</x:v>
      </x:c>
      <x:c r="H187" s="2" t="n">
        <x:v>0</x:v>
      </x:c>
      <x:c r="I187" s="10" t="n">
        <x:v>29.95</x:v>
      </x:c>
      <x:c r="J187" s="10" t="n">
        <x:v>0</x:v>
      </x:c>
      <x:c r="K187" s="10" t="n">
        <x:v>10</x:v>
      </x:c>
      <x:c r="L187" s="10" t="n">
        <x:f>G187*I187</x:f>
        <x:v>29.95</x:v>
      </x:c>
      <x:c r="M187" s="10" t="n">
        <x:f>ROUND((L187-J187)*H187/G187,2)</x:f>
        <x:v>0</x:v>
      </x:c>
      <x:c r="N187" s="10" t="n">
        <x:f>L187-J187-M187</x:f>
        <x:v>29.95</x:v>
      </x:c>
      <x:c r="O187" s="10" t="n">
        <x:f>(G187-H187)*K187</x:f>
        <x:v>10</x:v>
      </x:c>
      <x:c r="P187" s="10" t="n">
        <x:f>N187-O187</x:f>
        <x:v>19.95</x:v>
      </x:c>
      <x:c r="Q187" s="9" t="n">
        <x:f>A187-WEEKDAY(A187,2)+1</x:f>
        <x:v>46265</x:v>
      </x:c>
      <x:c r="R187" s="2" t="str">
        <x:f>IF(AND(A187&gt;='Review'!$B$4,A187&lt;='Review'!$D$4),"Selected","Outside")</x:f>
        <x:v>Outside</x:v>
      </x:c>
    </x:row>
    <x:row r="188" ht="20" customHeight="1">
      <x:c r="A188" s="9" t="n">
        <x:v>46268</x:v>
      </x:c>
      <x:c r="B188" s="2" t="str">
        <x:v>MM-1134</x:v>
      </x:c>
      <x:c r="C188" s="2" t="str">
        <x:v>Paid Social</x:v>
      </x:c>
      <x:c r="D188" s="2" t="str">
        <x:v>MUG-002</x:v>
      </x:c>
      <x:c r="E188" s="2" t="str">
        <x:f>_xlfn.IFNA(VLOOKUP(D188,'Products'!$A$7:$I$22,2,FALSE),"Unmapped")</x:f>
        <x:v>Campfire enamel mug</x:v>
      </x:c>
      <x:c r="F188" s="2" t="str">
        <x:f>_xlfn.IFNA(VLOOKUP(D188,'Products'!$A$7:$I$22,3,FALSE),"Unmapped")</x:f>
        <x:v>Drinkware</x:v>
      </x:c>
      <x:c r="G188" s="2" t="n">
        <x:v>1</x:v>
      </x:c>
      <x:c r="H188" s="2" t="n">
        <x:v>0</x:v>
      </x:c>
      <x:c r="I188" s="10" t="n">
        <x:v>22.95</x:v>
      </x:c>
      <x:c r="J188" s="10" t="n">
        <x:v>0</x:v>
      </x:c>
      <x:c r="K188" s="10" t="n">
        <x:v>8.5</x:v>
      </x:c>
      <x:c r="L188" s="10" t="n">
        <x:f>G188*I188</x:f>
        <x:v>22.95</x:v>
      </x:c>
      <x:c r="M188" s="10" t="n">
        <x:f>ROUND((L188-J188)*H188/G188,2)</x:f>
        <x:v>0</x:v>
      </x:c>
      <x:c r="N188" s="10" t="n">
        <x:f>L188-J188-M188</x:f>
        <x:v>22.95</x:v>
      </x:c>
      <x:c r="O188" s="10" t="n">
        <x:f>(G188-H188)*K188</x:f>
        <x:v>8.5</x:v>
      </x:c>
      <x:c r="P188" s="10" t="n">
        <x:f>N188-O188</x:f>
        <x:v>14.45</x:v>
      </x:c>
      <x:c r="Q188" s="9" t="n">
        <x:f>A188-WEEKDAY(A188,2)+1</x:f>
        <x:v>46265</x:v>
      </x:c>
      <x:c r="R188" s="2" t="str">
        <x:f>IF(AND(A188&gt;='Review'!$B$4,A188&lt;='Review'!$D$4),"Selected","Outside")</x:f>
        <x:v>Outside</x:v>
      </x:c>
    </x:row>
    <x:row r="189" ht="20" customHeight="1">
      <x:c r="A189" s="9" t="n">
        <x:v>46268</x:v>
      </x:c>
      <x:c r="B189" s="2" t="str">
        <x:v>MM-1134</x:v>
      </x:c>
      <x:c r="C189" s="2" t="str">
        <x:v>Paid Social</x:v>
      </x:c>
      <x:c r="D189" s="2" t="str">
        <x:v>MUG-001</x:v>
      </x:c>
      <x:c r="E189" s="2" t="str">
        <x:f>_xlfn.IFNA(VLOOKUP(D189,'Products'!$A$7:$I$22,2,FALSE),"Unmapped")</x:f>
        <x:v>Everyday ceramic mug</x:v>
      </x:c>
      <x:c r="F189" s="2" t="str">
        <x:f>_xlfn.IFNA(VLOOKUP(D189,'Products'!$A$7:$I$22,3,FALSE),"Unmapped")</x:f>
        <x:v>Drinkware</x:v>
      </x:c>
      <x:c r="G189" s="2" t="n">
        <x:v>1</x:v>
      </x:c>
      <x:c r="H189" s="2" t="n">
        <x:v>0</x:v>
      </x:c>
      <x:c r="I189" s="10" t="n">
        <x:v>18.95</x:v>
      </x:c>
      <x:c r="J189" s="10" t="n">
        <x:v>0</x:v>
      </x:c>
      <x:c r="K189" s="10" t="n">
        <x:v>6.5</x:v>
      </x:c>
      <x:c r="L189" s="10" t="n">
        <x:f>G189*I189</x:f>
        <x:v>18.95</x:v>
      </x:c>
      <x:c r="M189" s="10" t="n">
        <x:f>ROUND((L189-J189)*H189/G189,2)</x:f>
        <x:v>0</x:v>
      </x:c>
      <x:c r="N189" s="10" t="n">
        <x:f>L189-J189-M189</x:f>
        <x:v>18.95</x:v>
      </x:c>
      <x:c r="O189" s="10" t="n">
        <x:f>(G189-H189)*K189</x:f>
        <x:v>6.5</x:v>
      </x:c>
      <x:c r="P189" s="10" t="n">
        <x:f>N189-O189</x:f>
        <x:v>12.45</x:v>
      </x:c>
      <x:c r="Q189" s="9" t="n">
        <x:f>A189-WEEKDAY(A189,2)+1</x:f>
        <x:v>46265</x:v>
      </x:c>
      <x:c r="R189" s="2" t="str">
        <x:f>IF(AND(A189&gt;='Review'!$B$4,A189&lt;='Review'!$D$4),"Selected","Outside")</x:f>
        <x:v>Outside</x:v>
      </x:c>
    </x:row>
    <x:row r="190" ht="20" customHeight="1">
      <x:c r="A190" s="9" t="n">
        <x:v>46268</x:v>
      </x:c>
      <x:c r="B190" s="2" t="str">
        <x:v>MM-1136</x:v>
      </x:c>
      <x:c r="C190" s="2" t="str">
        <x:v>Organic Search</x:v>
      </x:c>
      <x:c r="D190" s="2" t="str">
        <x:v>APP-002</x:v>
      </x:c>
      <x:c r="E190" s="2" t="str">
        <x:f>_xlfn.IFNA(VLOOKUP(D190,'Products'!$A$7:$I$22,2,FALSE),"Unmapped")</x:f>
        <x:v>Weekend hoodie</x:v>
      </x:c>
      <x:c r="F190" s="2" t="str">
        <x:f>_xlfn.IFNA(VLOOKUP(D190,'Products'!$A$7:$I$22,3,FALSE),"Unmapped")</x:f>
        <x:v>Apparel</x:v>
      </x:c>
      <x:c r="G190" s="2" t="n">
        <x:v>1</x:v>
      </x:c>
      <x:c r="H190" s="2" t="n">
        <x:v>0</x:v>
      </x:c>
      <x:c r="I190" s="10" t="n">
        <x:v>69.95</x:v>
      </x:c>
      <x:c r="J190" s="10" t="n">
        <x:v>0</x:v>
      </x:c>
      <x:c r="K190" s="10" t="n">
        <x:v>28</x:v>
      </x:c>
      <x:c r="L190" s="10" t="n">
        <x:f>G190*I190</x:f>
        <x:v>69.95</x:v>
      </x:c>
      <x:c r="M190" s="10" t="n">
        <x:f>ROUND((L190-J190)*H190/G190,2)</x:f>
        <x:v>0</x:v>
      </x:c>
      <x:c r="N190" s="10" t="n">
        <x:f>L190-J190-M190</x:f>
        <x:v>69.95</x:v>
      </x:c>
      <x:c r="O190" s="10" t="n">
        <x:f>(G190-H190)*K190</x:f>
        <x:v>28</x:v>
      </x:c>
      <x:c r="P190" s="10" t="n">
        <x:f>N190-O190</x:f>
        <x:v>41.95</x:v>
      </x:c>
      <x:c r="Q190" s="9" t="n">
        <x:f>A190-WEEKDAY(A190,2)+1</x:f>
        <x:v>46265</x:v>
      </x:c>
      <x:c r="R190" s="2" t="str">
        <x:f>IF(AND(A190&gt;='Review'!$B$4,A190&lt;='Review'!$D$4),"Selected","Outside")</x:f>
        <x:v>Outside</x:v>
      </x:c>
    </x:row>
    <x:row r="191" ht="20" customHeight="1">
      <x:c r="A191" s="9" t="n">
        <x:v>46268</x:v>
      </x:c>
      <x:c r="B191" s="2" t="str">
        <x:v>MM-1138</x:v>
      </x:c>
      <x:c r="C191" s="2" t="str">
        <x:v>Paid Social</x:v>
      </x:c>
      <x:c r="D191" s="2" t="str">
        <x:v>APP-001</x:v>
      </x:c>
      <x:c r="E191" s="2" t="str">
        <x:f>_xlfn.IFNA(VLOOKUP(D191,'Products'!$A$7:$I$22,2,FALSE),"Unmapped")</x:f>
        <x:v>Everyday crewneck</x:v>
      </x:c>
      <x:c r="F191" s="2" t="str">
        <x:f>_xlfn.IFNA(VLOOKUP(D191,'Products'!$A$7:$I$22,3,FALSE),"Unmapped")</x:f>
        <x:v>Apparel</x:v>
      </x:c>
      <x:c r="G191" s="2" t="n">
        <x:v>3</x:v>
      </x:c>
      <x:c r="H191" s="2" t="n">
        <x:v>0</x:v>
      </x:c>
      <x:c r="I191" s="10" t="n">
        <x:v>54.95</x:v>
      </x:c>
      <x:c r="J191" s="10" t="n">
        <x:v>0</x:v>
      </x:c>
      <x:c r="K191" s="10" t="n">
        <x:v>22</x:v>
      </x:c>
      <x:c r="L191" s="10" t="n">
        <x:f>G191*I191</x:f>
        <x:v>164.85000000000002</x:v>
      </x:c>
      <x:c r="M191" s="10" t="n">
        <x:f>ROUND((L191-J191)*H191/G191,2)</x:f>
        <x:v>0</x:v>
      </x:c>
      <x:c r="N191" s="10" t="n">
        <x:f>L191-J191-M191</x:f>
        <x:v>164.85000000000002</x:v>
      </x:c>
      <x:c r="O191" s="10" t="n">
        <x:f>(G191-H191)*K191</x:f>
        <x:v>66</x:v>
      </x:c>
      <x:c r="P191" s="10" t="n">
        <x:f>N191-O191</x:f>
        <x:v>98.85000000000002</x:v>
      </x:c>
      <x:c r="Q191" s="9" t="n">
        <x:f>A191-WEEKDAY(A191,2)+1</x:f>
        <x:v>46265</x:v>
      </x:c>
      <x:c r="R191" s="2" t="str">
        <x:f>IF(AND(A191&gt;='Review'!$B$4,A191&lt;='Review'!$D$4),"Selected","Outside")</x:f>
        <x:v>Outside</x:v>
      </x:c>
    </x:row>
    <x:row r="192" ht="20" customHeight="1">
      <x:c r="A192" s="9" t="n">
        <x:v>46268</x:v>
      </x:c>
      <x:c r="B192" s="2" t="str">
        <x:v>MM-1141</x:v>
      </x:c>
      <x:c r="C192" s="2" t="str">
        <x:v>Direct</x:v>
      </x:c>
      <x:c r="D192" s="2" t="str">
        <x:v>KEY-001</x:v>
      </x:c>
      <x:c r="E192" s="2" t="str">
        <x:f>_xlfn.IFNA(VLOOKUP(D192,'Products'!$A$7:$I$22,2,FALSE),"Unmapped")</x:f>
        <x:v>Maple keyring</x:v>
      </x:c>
      <x:c r="F192" s="2" t="str">
        <x:f>_xlfn.IFNA(VLOOKUP(D192,'Products'!$A$7:$I$22,3,FALSE),"Unmapped")</x:f>
        <x:v>Accessories</x:v>
      </x:c>
      <x:c r="G192" s="2" t="n">
        <x:v>1</x:v>
      </x:c>
      <x:c r="H192" s="2" t="n">
        <x:v>0</x:v>
      </x:c>
      <x:c r="I192" s="10" t="n">
        <x:v>12.95</x:v>
      </x:c>
      <x:c r="J192" s="10" t="n">
        <x:v>0</x:v>
      </x:c>
      <x:c r="K192" s="10" t="n">
        <x:v>3.5</x:v>
      </x:c>
      <x:c r="L192" s="10" t="n">
        <x:f>G192*I192</x:f>
        <x:v>12.95</x:v>
      </x:c>
      <x:c r="M192" s="10" t="n">
        <x:f>ROUND((L192-J192)*H192/G192,2)</x:f>
        <x:v>0</x:v>
      </x:c>
      <x:c r="N192" s="10" t="n">
        <x:f>L192-J192-M192</x:f>
        <x:v>12.95</x:v>
      </x:c>
      <x:c r="O192" s="10" t="n">
        <x:f>(G192-H192)*K192</x:f>
        <x:v>3.5</x:v>
      </x:c>
      <x:c r="P192" s="10" t="n">
        <x:f>N192-O192</x:f>
        <x:v>9.45</x:v>
      </x:c>
      <x:c r="Q192" s="9" t="n">
        <x:f>A192-WEEKDAY(A192,2)+1</x:f>
        <x:v>46265</x:v>
      </x:c>
      <x:c r="R192" s="2" t="str">
        <x:f>IF(AND(A192&gt;='Review'!$B$4,A192&lt;='Review'!$D$4),"Selected","Outside")</x:f>
        <x:v>Outside</x:v>
      </x:c>
    </x:row>
    <x:row r="193" ht="20" customHeight="1">
      <x:c r="A193" s="9" t="n">
        <x:v>46268</x:v>
      </x:c>
      <x:c r="B193" s="2" t="str">
        <x:v>MM-1142</x:v>
      </x:c>
      <x:c r="C193" s="2" t="str">
        <x:v>Paid Social</x:v>
      </x:c>
      <x:c r="D193" s="2" t="str">
        <x:v>TUM-002</x:v>
      </x:c>
      <x:c r="E193" s="2" t="str">
        <x:f>_xlfn.IFNA(VLOOKUP(D193,'Products'!$A$7:$I$22,2,FALSE),"Unmapped")</x:f>
        <x:v>Cold brew glass cup</x:v>
      </x:c>
      <x:c r="F193" s="2" t="str">
        <x:f>_xlfn.IFNA(VLOOKUP(D193,'Products'!$A$7:$I$22,3,FALSE),"Unmapped")</x:f>
        <x:v>Drinkware</x:v>
      </x:c>
      <x:c r="G193" s="2" t="n">
        <x:v>1</x:v>
      </x:c>
      <x:c r="H193" s="2" t="n">
        <x:v>0</x:v>
      </x:c>
      <x:c r="I193" s="10" t="n">
        <x:v>24.95</x:v>
      </x:c>
      <x:c r="J193" s="10" t="n">
        <x:v>0</x:v>
      </x:c>
      <x:c r="K193" s="10" t="n">
        <x:v>9</x:v>
      </x:c>
      <x:c r="L193" s="10" t="n">
        <x:f>G193*I193</x:f>
        <x:v>24.95</x:v>
      </x:c>
      <x:c r="M193" s="10" t="n">
        <x:f>ROUND((L193-J193)*H193/G193,2)</x:f>
        <x:v>0</x:v>
      </x:c>
      <x:c r="N193" s="10" t="n">
        <x:f>L193-J193-M193</x:f>
        <x:v>24.95</x:v>
      </x:c>
      <x:c r="O193" s="10" t="n">
        <x:f>(G193-H193)*K193</x:f>
        <x:v>9</x:v>
      </x:c>
      <x:c r="P193" s="10" t="n">
        <x:f>N193-O193</x:f>
        <x:v>15.95</x:v>
      </x:c>
      <x:c r="Q193" s="9" t="n">
        <x:f>A193-WEEKDAY(A193,2)+1</x:f>
        <x:v>46265</x:v>
      </x:c>
      <x:c r="R193" s="2" t="str">
        <x:f>IF(AND(A193&gt;='Review'!$B$4,A193&lt;='Review'!$D$4),"Selected","Outside")</x:f>
        <x:v>Outside</x:v>
      </x:c>
    </x:row>
    <x:row r="194" ht="20" customHeight="1">
      <x:c r="A194" s="9" t="n">
        <x:v>46268</x:v>
      </x:c>
      <x:c r="B194" s="2" t="str">
        <x:v>MM-1142</x:v>
      </x:c>
      <x:c r="C194" s="2" t="str">
        <x:v>Paid Social</x:v>
      </x:c>
      <x:c r="D194" s="2" t="str">
        <x:v>GFT-002</x:v>
      </x:c>
      <x:c r="E194" s="2" t="str">
        <x:f>_xlfn.IFNA(VLOOKUP(D194,'Products'!$A$7:$I$22,2,FALSE),"Unmapped")</x:f>
        <x:v>Cozy weekend gift box</x:v>
      </x:c>
      <x:c r="F194" s="2" t="str">
        <x:f>_xlfn.IFNA(VLOOKUP(D194,'Products'!$A$7:$I$22,3,FALSE),"Unmapped")</x:f>
        <x:v>Gifts</x:v>
      </x:c>
      <x:c r="G194" s="2" t="n">
        <x:v>1</x:v>
      </x:c>
      <x:c r="H194" s="2" t="n">
        <x:v>0</x:v>
      </x:c>
      <x:c r="I194" s="10" t="n">
        <x:v>79.95</x:v>
      </x:c>
      <x:c r="J194" s="10" t="n">
        <x:v>0</x:v>
      </x:c>
      <x:c r="K194" s="10" t="n">
        <x:v>32</x:v>
      </x:c>
      <x:c r="L194" s="10" t="n">
        <x:f>G194*I194</x:f>
        <x:v>79.95</x:v>
      </x:c>
      <x:c r="M194" s="10" t="n">
        <x:f>ROUND((L194-J194)*H194/G194,2)</x:f>
        <x:v>0</x:v>
      </x:c>
      <x:c r="N194" s="10" t="n">
        <x:f>L194-J194-M194</x:f>
        <x:v>79.95</x:v>
      </x:c>
      <x:c r="O194" s="10" t="n">
        <x:f>(G194-H194)*K194</x:f>
        <x:v>32</x:v>
      </x:c>
      <x:c r="P194" s="10" t="n">
        <x:f>N194-O194</x:f>
        <x:v>47.95</x:v>
      </x:c>
      <x:c r="Q194" s="9" t="n">
        <x:f>A194-WEEKDAY(A194,2)+1</x:f>
        <x:v>46265</x:v>
      </x:c>
      <x:c r="R194" s="2" t="str">
        <x:f>IF(AND(A194&gt;='Review'!$B$4,A194&lt;='Review'!$D$4),"Selected","Outside")</x:f>
        <x:v>Outside</x:v>
      </x:c>
    </x:row>
    <x:row r="195" ht="20" customHeight="1">
      <x:c r="A195" s="9" t="n">
        <x:v>46268</x:v>
      </x:c>
      <x:c r="B195" s="2" t="str">
        <x:v>MM-1127</x:v>
      </x:c>
      <x:c r="C195" s="2" t="str">
        <x:v>Direct</x:v>
      </x:c>
      <x:c r="D195" s="2" t="str">
        <x:v>APP-001</x:v>
      </x:c>
      <x:c r="E195" s="2" t="str">
        <x:f>_xlfn.IFNA(VLOOKUP(D195,'Products'!$A$7:$I$22,2,FALSE),"Unmapped")</x:f>
        <x:v>Everyday crewneck</x:v>
      </x:c>
      <x:c r="F195" s="2" t="str">
        <x:f>_xlfn.IFNA(VLOOKUP(D195,'Products'!$A$7:$I$22,3,FALSE),"Unmapped")</x:f>
        <x:v>Apparel</x:v>
      </x:c>
      <x:c r="G195" s="2" t="n">
        <x:v>1</x:v>
      </x:c>
      <x:c r="H195" s="2" t="n">
        <x:v>0</x:v>
      </x:c>
      <x:c r="I195" s="10" t="n">
        <x:v>54.95</x:v>
      </x:c>
      <x:c r="J195" s="10" t="n">
        <x:v>0</x:v>
      </x:c>
      <x:c r="K195" s="10" t="n">
        <x:v>22</x:v>
      </x:c>
      <x:c r="L195" s="10" t="n">
        <x:f>G195*I195</x:f>
        <x:v>54.95</x:v>
      </x:c>
      <x:c r="M195" s="10" t="n">
        <x:f>ROUND((L195-J195)*H195/G195,2)</x:f>
        <x:v>0</x:v>
      </x:c>
      <x:c r="N195" s="10" t="n">
        <x:f>L195-J195-M195</x:f>
        <x:v>54.95</x:v>
      </x:c>
      <x:c r="O195" s="10" t="n">
        <x:f>(G195-H195)*K195</x:f>
        <x:v>22</x:v>
      </x:c>
      <x:c r="P195" s="10" t="n">
        <x:f>N195-O195</x:f>
        <x:v>32.95</x:v>
      </x:c>
      <x:c r="Q195" s="9" t="n">
        <x:f>A195-WEEKDAY(A195,2)+1</x:f>
        <x:v>46265</x:v>
      </x:c>
      <x:c r="R195" s="2" t="str">
        <x:f>IF(AND(A195&gt;='Review'!$B$4,A195&lt;='Review'!$D$4),"Selected","Outside")</x:f>
        <x:v>Outside</x:v>
      </x:c>
    </x:row>
    <x:row r="196" ht="20" customHeight="1">
      <x:c r="A196" s="9" t="n">
        <x:v>46269</x:v>
      </x:c>
      <x:c r="B196" s="2" t="str">
        <x:v>MM-1154</x:v>
      </x:c>
      <x:c r="C196" s="2" t="str">
        <x:v>Direct</x:v>
      </x:c>
      <x:c r="D196" s="2" t="str">
        <x:v>HAT-001</x:v>
      </x:c>
      <x:c r="E196" s="2" t="str">
        <x:f>_xlfn.IFNA(VLOOKUP(D196,'Products'!$A$7:$I$22,2,FALSE),"Unmapped")</x:f>
        <x:v>Classic canvas cap</x:v>
      </x:c>
      <x:c r="F196" s="2" t="str">
        <x:f>_xlfn.IFNA(VLOOKUP(D196,'Products'!$A$7:$I$22,3,FALSE),"Unmapped")</x:f>
        <x:v>Accessories</x:v>
      </x:c>
      <x:c r="G196" s="2" t="n">
        <x:v>2</x:v>
      </x:c>
      <x:c r="H196" s="2" t="n">
        <x:v>0</x:v>
      </x:c>
      <x:c r="I196" s="10" t="n">
        <x:v>24.95</x:v>
      </x:c>
      <x:c r="J196" s="10" t="n">
        <x:v>4.99</x:v>
      </x:c>
      <x:c r="K196" s="10" t="n">
        <x:v>8.5</x:v>
      </x:c>
      <x:c r="L196" s="10" t="n">
        <x:f>G196*I196</x:f>
        <x:v>49.9</x:v>
      </x:c>
      <x:c r="M196" s="10" t="n">
        <x:f>ROUND((L196-J196)*H196/G196,2)</x:f>
        <x:v>0</x:v>
      </x:c>
      <x:c r="N196" s="10" t="n">
        <x:f>L196-J196-M196</x:f>
        <x:v>44.91</x:v>
      </x:c>
      <x:c r="O196" s="10" t="n">
        <x:f>(G196-H196)*K196</x:f>
        <x:v>17</x:v>
      </x:c>
      <x:c r="P196" s="10" t="n">
        <x:f>N196-O196</x:f>
        <x:v>27.909999999999997</x:v>
      </x:c>
      <x:c r="Q196" s="9" t="n">
        <x:f>A196-WEEKDAY(A196,2)+1</x:f>
        <x:v>46265</x:v>
      </x:c>
      <x:c r="R196" s="2" t="str">
        <x:f>IF(AND(A196&gt;='Review'!$B$4,A196&lt;='Review'!$D$4),"Selected","Outside")</x:f>
        <x:v>Outside</x:v>
      </x:c>
    </x:row>
    <x:row r="197" ht="20" customHeight="1">
      <x:c r="A197" s="9" t="n">
        <x:v>46269</x:v>
      </x:c>
      <x:c r="B197" s="2" t="str">
        <x:v>MM-1154</x:v>
      </x:c>
      <x:c r="C197" s="2" t="str">
        <x:v>Direct</x:v>
      </x:c>
      <x:c r="D197" s="2" t="str">
        <x:v>TUM-002</x:v>
      </x:c>
      <x:c r="E197" s="2" t="str">
        <x:f>_xlfn.IFNA(VLOOKUP(D197,'Products'!$A$7:$I$22,2,FALSE),"Unmapped")</x:f>
        <x:v>Cold brew glass cup</x:v>
      </x:c>
      <x:c r="F197" s="2" t="str">
        <x:f>_xlfn.IFNA(VLOOKUP(D197,'Products'!$A$7:$I$22,3,FALSE),"Unmapped")</x:f>
        <x:v>Drinkware</x:v>
      </x:c>
      <x:c r="G197" s="2" t="n">
        <x:v>1</x:v>
      </x:c>
      <x:c r="H197" s="2" t="n">
        <x:v>0</x:v>
      </x:c>
      <x:c r="I197" s="10" t="n">
        <x:v>24.95</x:v>
      </x:c>
      <x:c r="J197" s="10" t="n">
        <x:v>0</x:v>
      </x:c>
      <x:c r="K197" s="10" t="n">
        <x:v>9</x:v>
      </x:c>
      <x:c r="L197" s="10" t="n">
        <x:f>G197*I197</x:f>
        <x:v>24.95</x:v>
      </x:c>
      <x:c r="M197" s="10" t="n">
        <x:f>ROUND((L197-J197)*H197/G197,2)</x:f>
        <x:v>0</x:v>
      </x:c>
      <x:c r="N197" s="10" t="n">
        <x:f>L197-J197-M197</x:f>
        <x:v>24.95</x:v>
      </x:c>
      <x:c r="O197" s="10" t="n">
        <x:f>(G197-H197)*K197</x:f>
        <x:v>9</x:v>
      </x:c>
      <x:c r="P197" s="10" t="n">
        <x:f>N197-O197</x:f>
        <x:v>15.95</x:v>
      </x:c>
      <x:c r="Q197" s="9" t="n">
        <x:f>A197-WEEKDAY(A197,2)+1</x:f>
        <x:v>46265</x:v>
      </x:c>
      <x:c r="R197" s="2" t="str">
        <x:f>IF(AND(A197&gt;='Review'!$B$4,A197&lt;='Review'!$D$4),"Selected","Outside")</x:f>
        <x:v>Outside</x:v>
      </x:c>
    </x:row>
    <x:row r="198" ht="20" customHeight="1">
      <x:c r="A198" s="9" t="n">
        <x:v>46269</x:v>
      </x:c>
      <x:c r="B198" s="2" t="str">
        <x:v>MM-1164</x:v>
      </x:c>
      <x:c r="C198" s="2" t="str">
        <x:v>Organic Search</x:v>
      </x:c>
      <x:c r="D198" s="2" t="str">
        <x:v>APP-001</x:v>
      </x:c>
      <x:c r="E198" s="2" t="str">
        <x:f>_xlfn.IFNA(VLOOKUP(D198,'Products'!$A$7:$I$22,2,FALSE),"Unmapped")</x:f>
        <x:v>Everyday crewneck</x:v>
      </x:c>
      <x:c r="F198" s="2" t="str">
        <x:f>_xlfn.IFNA(VLOOKUP(D198,'Products'!$A$7:$I$22,3,FALSE),"Unmapped")</x:f>
        <x:v>Apparel</x:v>
      </x:c>
      <x:c r="G198" s="2" t="n">
        <x:v>1</x:v>
      </x:c>
      <x:c r="H198" s="2" t="n">
        <x:v>0</x:v>
      </x:c>
      <x:c r="I198" s="10" t="n">
        <x:v>54.95</x:v>
      </x:c>
      <x:c r="J198" s="10" t="n">
        <x:v>0</x:v>
      </x:c>
      <x:c r="K198" s="10" t="n">
        <x:v>22</x:v>
      </x:c>
      <x:c r="L198" s="10" t="n">
        <x:f>G198*I198</x:f>
        <x:v>54.95</x:v>
      </x:c>
      <x:c r="M198" s="10" t="n">
        <x:f>ROUND((L198-J198)*H198/G198,2)</x:f>
        <x:v>0</x:v>
      </x:c>
      <x:c r="N198" s="10" t="n">
        <x:f>L198-J198-M198</x:f>
        <x:v>54.95</x:v>
      </x:c>
      <x:c r="O198" s="10" t="n">
        <x:f>(G198-H198)*K198</x:f>
        <x:v>22</x:v>
      </x:c>
      <x:c r="P198" s="10" t="n">
        <x:f>N198-O198</x:f>
        <x:v>32.95</x:v>
      </x:c>
      <x:c r="Q198" s="9" t="n">
        <x:f>A198-WEEKDAY(A198,2)+1</x:f>
        <x:v>46265</x:v>
      </x:c>
      <x:c r="R198" s="2" t="str">
        <x:f>IF(AND(A198&gt;='Review'!$B$4,A198&lt;='Review'!$D$4),"Selected","Outside")</x:f>
        <x:v>Outside</x:v>
      </x:c>
    </x:row>
    <x:row r="199" ht="20" customHeight="1">
      <x:c r="A199" s="9" t="n">
        <x:v>46269</x:v>
      </x:c>
      <x:c r="B199" s="2" t="str">
        <x:v>MM-1164</x:v>
      </x:c>
      <x:c r="C199" s="2" t="str">
        <x:v>Organic Search</x:v>
      </x:c>
      <x:c r="D199" s="2" t="str">
        <x:v>TOTE-001</x:v>
      </x:c>
      <x:c r="E199" s="2" t="str">
        <x:f>_xlfn.IFNA(VLOOKUP(D199,'Products'!$A$7:$I$22,2,FALSE),"Unmapped")</x:f>
        <x:v>Market canvas tote</x:v>
      </x:c>
      <x:c r="F199" s="2" t="str">
        <x:f>_xlfn.IFNA(VLOOKUP(D199,'Products'!$A$7:$I$22,3,FALSE),"Unmapped")</x:f>
        <x:v>Accessories</x:v>
      </x:c>
      <x:c r="G199" s="2" t="n">
        <x:v>1</x:v>
      </x:c>
      <x:c r="H199" s="2" t="n">
        <x:v>0</x:v>
      </x:c>
      <x:c r="I199" s="10" t="n">
        <x:v>19.95</x:v>
      </x:c>
      <x:c r="J199" s="10" t="n">
        <x:v>0</x:v>
      </x:c>
      <x:c r="K199" s="10" t="n">
        <x:v>6</x:v>
      </x:c>
      <x:c r="L199" s="10" t="n">
        <x:f>G199*I199</x:f>
        <x:v>19.95</x:v>
      </x:c>
      <x:c r="M199" s="10" t="n">
        <x:f>ROUND((L199-J199)*H199/G199,2)</x:f>
        <x:v>0</x:v>
      </x:c>
      <x:c r="N199" s="10" t="n">
        <x:f>L199-J199-M199</x:f>
        <x:v>19.95</x:v>
      </x:c>
      <x:c r="O199" s="10" t="n">
        <x:f>(G199-H199)*K199</x:f>
        <x:v>6</x:v>
      </x:c>
      <x:c r="P199" s="10" t="n">
        <x:f>N199-O199</x:f>
        <x:v>13.95</x:v>
      </x:c>
      <x:c r="Q199" s="9" t="n">
        <x:f>A199-WEEKDAY(A199,2)+1</x:f>
        <x:v>46265</x:v>
      </x:c>
      <x:c r="R199" s="2" t="str">
        <x:f>IF(AND(A199&gt;='Review'!$B$4,A199&lt;='Review'!$D$4),"Selected","Outside")</x:f>
        <x:v>Outside</x:v>
      </x:c>
    </x:row>
    <x:row r="200" ht="20" customHeight="1">
      <x:c r="A200" s="9" t="n">
        <x:v>46269</x:v>
      </x:c>
      <x:c r="B200" s="2" t="str">
        <x:v>MM-1166</x:v>
      </x:c>
      <x:c r="C200" s="2" t="str">
        <x:v>Organic Search</x:v>
      </x:c>
      <x:c r="D200" s="2" t="str">
        <x:v>BOT-001</x:v>
      </x:c>
      <x:c r="E200" s="2" t="str">
        <x:f>_xlfn.IFNA(VLOOKUP(D200,'Products'!$A$7:$I$22,2,FALSE),"Unmapped")</x:f>
        <x:v>Trail water bottle</x:v>
      </x:c>
      <x:c r="F200" s="2" t="str">
        <x:f>_xlfn.IFNA(VLOOKUP(D200,'Products'!$A$7:$I$22,3,FALSE),"Unmapped")</x:f>
        <x:v>Drinkware</x:v>
      </x:c>
      <x:c r="G200" s="2" t="n">
        <x:v>1</x:v>
      </x:c>
      <x:c r="H200" s="2" t="n">
        <x:v>0</x:v>
      </x:c>
      <x:c r="I200" s="10" t="n">
        <x:v>34.95</x:v>
      </x:c>
      <x:c r="J200" s="10" t="n">
        <x:v>0</x:v>
      </x:c>
      <x:c r="K200" s="10" t="n">
        <x:v>13.5</x:v>
      </x:c>
      <x:c r="L200" s="10" t="n">
        <x:f>G200*I200</x:f>
        <x:v>34.95</x:v>
      </x:c>
      <x:c r="M200" s="10" t="n">
        <x:f>ROUND((L200-J200)*H200/G200,2)</x:f>
        <x:v>0</x:v>
      </x:c>
      <x:c r="N200" s="10" t="n">
        <x:f>L200-J200-M200</x:f>
        <x:v>34.95</x:v>
      </x:c>
      <x:c r="O200" s="10" t="n">
        <x:f>(G200-H200)*K200</x:f>
        <x:v>13.5</x:v>
      </x:c>
      <x:c r="P200" s="10" t="n">
        <x:f>N200-O200</x:f>
        <x:v>21.450000000000003</x:v>
      </x:c>
      <x:c r="Q200" s="9" t="n">
        <x:f>A200-WEEKDAY(A200,2)+1</x:f>
        <x:v>46265</x:v>
      </x:c>
      <x:c r="R200" s="2" t="str">
        <x:f>IF(AND(A200&gt;='Review'!$B$4,A200&lt;='Review'!$D$4),"Selected","Outside")</x:f>
        <x:v>Outside</x:v>
      </x:c>
    </x:row>
    <x:row r="201" ht="20" customHeight="1">
      <x:c r="A201" s="9" t="n">
        <x:v>46269</x:v>
      </x:c>
      <x:c r="B201" s="2" t="str">
        <x:v>MM-1144</x:v>
      </x:c>
      <x:c r="C201" s="2" t="str">
        <x:v>Organic Search</x:v>
      </x:c>
      <x:c r="D201" s="2" t="str">
        <x:v>TUM-002</x:v>
      </x:c>
      <x:c r="E201" s="2" t="str">
        <x:f>_xlfn.IFNA(VLOOKUP(D201,'Products'!$A$7:$I$22,2,FALSE),"Unmapped")</x:f>
        <x:v>Cold brew glass cup</x:v>
      </x:c>
      <x:c r="F201" s="2" t="str">
        <x:f>_xlfn.IFNA(VLOOKUP(D201,'Products'!$A$7:$I$22,3,FALSE),"Unmapped")</x:f>
        <x:v>Drinkware</x:v>
      </x:c>
      <x:c r="G201" s="2" t="n">
        <x:v>2</x:v>
      </x:c>
      <x:c r="H201" s="2" t="n">
        <x:v>0</x:v>
      </x:c>
      <x:c r="I201" s="10" t="n">
        <x:v>24.95</x:v>
      </x:c>
      <x:c r="J201" s="10" t="n">
        <x:v>0</x:v>
      </x:c>
      <x:c r="K201" s="10" t="n">
        <x:v>9</x:v>
      </x:c>
      <x:c r="L201" s="10" t="n">
        <x:f>G201*I201</x:f>
        <x:v>49.9</x:v>
      </x:c>
      <x:c r="M201" s="10" t="n">
        <x:f>ROUND((L201-J201)*H201/G201,2)</x:f>
        <x:v>0</x:v>
      </x:c>
      <x:c r="N201" s="10" t="n">
        <x:f>L201-J201-M201</x:f>
        <x:v>49.9</x:v>
      </x:c>
      <x:c r="O201" s="10" t="n">
        <x:f>(G201-H201)*K201</x:f>
        <x:v>18</x:v>
      </x:c>
      <x:c r="P201" s="10" t="n">
        <x:f>N201-O201</x:f>
        <x:v>31.9</x:v>
      </x:c>
      <x:c r="Q201" s="9" t="n">
        <x:f>A201-WEEKDAY(A201,2)+1</x:f>
        <x:v>46265</x:v>
      </x:c>
      <x:c r="R201" s="2" t="str">
        <x:f>IF(AND(A201&gt;='Review'!$B$4,A201&lt;='Review'!$D$4),"Selected","Outside")</x:f>
        <x:v>Outside</x:v>
      </x:c>
    </x:row>
    <x:row r="202" ht="20" customHeight="1">
      <x:c r="A202" s="9" t="n">
        <x:v>46269</x:v>
      </x:c>
      <x:c r="B202" s="2" t="str">
        <x:v>MM-1145</x:v>
      </x:c>
      <x:c r="C202" s="2" t="str">
        <x:v>Paid Social</x:v>
      </x:c>
      <x:c r="D202" s="2" t="str">
        <x:v>KEY-001</x:v>
      </x:c>
      <x:c r="E202" s="2" t="str">
        <x:f>_xlfn.IFNA(VLOOKUP(D202,'Products'!$A$7:$I$22,2,FALSE),"Unmapped")</x:f>
        <x:v>Maple keyring</x:v>
      </x:c>
      <x:c r="F202" s="2" t="str">
        <x:f>_xlfn.IFNA(VLOOKUP(D202,'Products'!$A$7:$I$22,3,FALSE),"Unmapped")</x:f>
        <x:v>Accessories</x:v>
      </x:c>
      <x:c r="G202" s="2" t="n">
        <x:v>1</x:v>
      </x:c>
      <x:c r="H202" s="2" t="n">
        <x:v>0</x:v>
      </x:c>
      <x:c r="I202" s="10" t="n">
        <x:v>12.95</x:v>
      </x:c>
      <x:c r="J202" s="10" t="n">
        <x:v>0</x:v>
      </x:c>
      <x:c r="K202" s="10" t="n">
        <x:v>3.5</x:v>
      </x:c>
      <x:c r="L202" s="10" t="n">
        <x:f>G202*I202</x:f>
        <x:v>12.95</x:v>
      </x:c>
      <x:c r="M202" s="10" t="n">
        <x:f>ROUND((L202-J202)*H202/G202,2)</x:f>
        <x:v>0</x:v>
      </x:c>
      <x:c r="N202" s="10" t="n">
        <x:f>L202-J202-M202</x:f>
        <x:v>12.95</x:v>
      </x:c>
      <x:c r="O202" s="10" t="n">
        <x:f>(G202-H202)*K202</x:f>
        <x:v>3.5</x:v>
      </x:c>
      <x:c r="P202" s="10" t="n">
        <x:f>N202-O202</x:f>
        <x:v>9.45</x:v>
      </x:c>
      <x:c r="Q202" s="9" t="n">
        <x:f>A202-WEEKDAY(A202,2)+1</x:f>
        <x:v>46265</x:v>
      </x:c>
      <x:c r="R202" s="2" t="str">
        <x:f>IF(AND(A202&gt;='Review'!$B$4,A202&lt;='Review'!$D$4),"Selected","Outside")</x:f>
        <x:v>Outside</x:v>
      </x:c>
    </x:row>
    <x:row r="203" ht="20" customHeight="1">
      <x:c r="A203" s="9" t="n">
        <x:v>46269</x:v>
      </x:c>
      <x:c r="B203" s="2" t="str">
        <x:v>MM-1159</x:v>
      </x:c>
      <x:c r="C203" s="2" t="str">
        <x:v>Email</x:v>
      </x:c>
      <x:c r="D203" s="2" t="str">
        <x:v>TUM-002</x:v>
      </x:c>
      <x:c r="E203" s="2" t="str">
        <x:f>_xlfn.IFNA(VLOOKUP(D203,'Products'!$A$7:$I$22,2,FALSE),"Unmapped")</x:f>
        <x:v>Cold brew glass cup</x:v>
      </x:c>
      <x:c r="F203" s="2" t="str">
        <x:f>_xlfn.IFNA(VLOOKUP(D203,'Products'!$A$7:$I$22,3,FALSE),"Unmapped")</x:f>
        <x:v>Drinkware</x:v>
      </x:c>
      <x:c r="G203" s="2" t="n">
        <x:v>1</x:v>
      </x:c>
      <x:c r="H203" s="2" t="n">
        <x:v>0</x:v>
      </x:c>
      <x:c r="I203" s="10" t="n">
        <x:v>24.95</x:v>
      </x:c>
      <x:c r="J203" s="10" t="n">
        <x:v>2.49</x:v>
      </x:c>
      <x:c r="K203" s="10" t="n">
        <x:v>9</x:v>
      </x:c>
      <x:c r="L203" s="10" t="n">
        <x:f>G203*I203</x:f>
        <x:v>24.95</x:v>
      </x:c>
      <x:c r="M203" s="10" t="n">
        <x:f>ROUND((L203-J203)*H203/G203,2)</x:f>
        <x:v>0</x:v>
      </x:c>
      <x:c r="N203" s="10" t="n">
        <x:f>L203-J203-M203</x:f>
        <x:v>22.46</x:v>
      </x:c>
      <x:c r="O203" s="10" t="n">
        <x:f>(G203-H203)*K203</x:f>
        <x:v>9</x:v>
      </x:c>
      <x:c r="P203" s="10" t="n">
        <x:f>N203-O203</x:f>
        <x:v>13.46</x:v>
      </x:c>
      <x:c r="Q203" s="9" t="n">
        <x:f>A203-WEEKDAY(A203,2)+1</x:f>
        <x:v>46265</x:v>
      </x:c>
      <x:c r="R203" s="2" t="str">
        <x:f>IF(AND(A203&gt;='Review'!$B$4,A203&lt;='Review'!$D$4),"Selected","Outside")</x:f>
        <x:v>Outside</x:v>
      </x:c>
    </x:row>
    <x:row r="204" ht="20" customHeight="1">
      <x:c r="A204" s="9" t="n">
        <x:v>46269</x:v>
      </x:c>
      <x:c r="B204" s="2" t="str">
        <x:v>MM-1161</x:v>
      </x:c>
      <x:c r="C204" s="2" t="str">
        <x:v>Email</x:v>
      </x:c>
      <x:c r="D204" s="2" t="str">
        <x:v>MUG-002</x:v>
      </x:c>
      <x:c r="E204" s="2" t="str">
        <x:f>_xlfn.IFNA(VLOOKUP(D204,'Products'!$A$7:$I$22,2,FALSE),"Unmapped")</x:f>
        <x:v>Campfire enamel mug</x:v>
      </x:c>
      <x:c r="F204" s="2" t="str">
        <x:f>_xlfn.IFNA(VLOOKUP(D204,'Products'!$A$7:$I$22,3,FALSE),"Unmapped")</x:f>
        <x:v>Drinkware</x:v>
      </x:c>
      <x:c r="G204" s="2" t="n">
        <x:v>1</x:v>
      </x:c>
      <x:c r="H204" s="2" t="n">
        <x:v>0</x:v>
      </x:c>
      <x:c r="I204" s="10" t="n">
        <x:v>22.95</x:v>
      </x:c>
      <x:c r="J204" s="10" t="n">
        <x:v>2.29</x:v>
      </x:c>
      <x:c r="K204" s="10" t="n">
        <x:v>8.5</x:v>
      </x:c>
      <x:c r="L204" s="10" t="n">
        <x:f>G204*I204</x:f>
        <x:v>22.95</x:v>
      </x:c>
      <x:c r="M204" s="10" t="n">
        <x:f>ROUND((L204-J204)*H204/G204,2)</x:f>
        <x:v>0</x:v>
      </x:c>
      <x:c r="N204" s="10" t="n">
        <x:f>L204-J204-M204</x:f>
        <x:v>20.66</x:v>
      </x:c>
      <x:c r="O204" s="10" t="n">
        <x:f>(G204-H204)*K204</x:f>
        <x:v>8.5</x:v>
      </x:c>
      <x:c r="P204" s="10" t="n">
        <x:f>N204-O204</x:f>
        <x:v>12.16</x:v>
      </x:c>
      <x:c r="Q204" s="9" t="n">
        <x:f>A204-WEEKDAY(A204,2)+1</x:f>
        <x:v>46265</x:v>
      </x:c>
      <x:c r="R204" s="2" t="str">
        <x:f>IF(AND(A204&gt;='Review'!$B$4,A204&lt;='Review'!$D$4),"Selected","Outside")</x:f>
        <x:v>Outside</x:v>
      </x:c>
    </x:row>
    <x:row r="205" ht="20" customHeight="1">
      <x:c r="A205" s="9" t="n">
        <x:v>46269</x:v>
      </x:c>
      <x:c r="B205" s="2" t="str">
        <x:v>MM-1162</x:v>
      </x:c>
      <x:c r="C205" s="2" t="str">
        <x:v>Organic Search</x:v>
      </x:c>
      <x:c r="D205" s="2" t="str">
        <x:v>APP-001</x:v>
      </x:c>
      <x:c r="E205" s="2" t="str">
        <x:f>_xlfn.IFNA(VLOOKUP(D205,'Products'!$A$7:$I$22,2,FALSE),"Unmapped")</x:f>
        <x:v>Everyday crewneck</x:v>
      </x:c>
      <x:c r="F205" s="2" t="str">
        <x:f>_xlfn.IFNA(VLOOKUP(D205,'Products'!$A$7:$I$22,3,FALSE),"Unmapped")</x:f>
        <x:v>Apparel</x:v>
      </x:c>
      <x:c r="G205" s="2" t="n">
        <x:v>1</x:v>
      </x:c>
      <x:c r="H205" s="2" t="n">
        <x:v>0</x:v>
      </x:c>
      <x:c r="I205" s="10" t="n">
        <x:v>54.95</x:v>
      </x:c>
      <x:c r="J205" s="10" t="n">
        <x:v>0</x:v>
      </x:c>
      <x:c r="K205" s="10" t="n">
        <x:v>22</x:v>
      </x:c>
      <x:c r="L205" s="10" t="n">
        <x:f>G205*I205</x:f>
        <x:v>54.95</x:v>
      </x:c>
      <x:c r="M205" s="10" t="n">
        <x:f>ROUND((L205-J205)*H205/G205,2)</x:f>
        <x:v>0</x:v>
      </x:c>
      <x:c r="N205" s="10" t="n">
        <x:f>L205-J205-M205</x:f>
        <x:v>54.95</x:v>
      </x:c>
      <x:c r="O205" s="10" t="n">
        <x:f>(G205-H205)*K205</x:f>
        <x:v>22</x:v>
      </x:c>
      <x:c r="P205" s="10" t="n">
        <x:f>N205-O205</x:f>
        <x:v>32.95</x:v>
      </x:c>
      <x:c r="Q205" s="9" t="n">
        <x:f>A205-WEEKDAY(A205,2)+1</x:f>
        <x:v>46265</x:v>
      </x:c>
      <x:c r="R205" s="2" t="str">
        <x:f>IF(AND(A205&gt;='Review'!$B$4,A205&lt;='Review'!$D$4),"Selected","Outside")</x:f>
        <x:v>Outside</x:v>
      </x:c>
    </x:row>
    <x:row r="206" ht="20" customHeight="1">
      <x:c r="A206" s="9" t="n">
        <x:v>46269</x:v>
      </x:c>
      <x:c r="B206" s="2" t="str">
        <x:v>MM-1162</x:v>
      </x:c>
      <x:c r="C206" s="2" t="str">
        <x:v>Organic Search</x:v>
      </x:c>
      <x:c r="D206" s="2" t="str">
        <x:v>HAT-001</x:v>
      </x:c>
      <x:c r="E206" s="2" t="str">
        <x:f>_xlfn.IFNA(VLOOKUP(D206,'Products'!$A$7:$I$22,2,FALSE),"Unmapped")</x:f>
        <x:v>Classic canvas cap</x:v>
      </x:c>
      <x:c r="F206" s="2" t="str">
        <x:f>_xlfn.IFNA(VLOOKUP(D206,'Products'!$A$7:$I$22,3,FALSE),"Unmapped")</x:f>
        <x:v>Accessories</x:v>
      </x:c>
      <x:c r="G206" s="2" t="n">
        <x:v>1</x:v>
      </x:c>
      <x:c r="H206" s="2" t="n">
        <x:v>0</x:v>
      </x:c>
      <x:c r="I206" s="10" t="n">
        <x:v>24.95</x:v>
      </x:c>
      <x:c r="J206" s="10" t="n">
        <x:v>0</x:v>
      </x:c>
      <x:c r="K206" s="10" t="n">
        <x:v>8.5</x:v>
      </x:c>
      <x:c r="L206" s="10" t="n">
        <x:f>G206*I206</x:f>
        <x:v>24.95</x:v>
      </x:c>
      <x:c r="M206" s="10" t="n">
        <x:f>ROUND((L206-J206)*H206/G206,2)</x:f>
        <x:v>0</x:v>
      </x:c>
      <x:c r="N206" s="10" t="n">
        <x:f>L206-J206-M206</x:f>
        <x:v>24.95</x:v>
      </x:c>
      <x:c r="O206" s="10" t="n">
        <x:f>(G206-H206)*K206</x:f>
        <x:v>8.5</x:v>
      </x:c>
      <x:c r="P206" s="10" t="n">
        <x:f>N206-O206</x:f>
        <x:v>16.45</x:v>
      </x:c>
      <x:c r="Q206" s="9" t="n">
        <x:f>A206-WEEKDAY(A206,2)+1</x:f>
        <x:v>46265</x:v>
      </x:c>
      <x:c r="R206" s="2" t="str">
        <x:f>IF(AND(A206&gt;='Review'!$B$4,A206&lt;='Review'!$D$4),"Selected","Outside")</x:f>
        <x:v>Outside</x:v>
      </x:c>
    </x:row>
    <x:row r="207" ht="20" customHeight="1">
      <x:c r="A207" s="9" t="n">
        <x:v>46269</x:v>
      </x:c>
      <x:c r="B207" s="2" t="str">
        <x:v>MM-1150</x:v>
      </x:c>
      <x:c r="C207" s="2" t="str">
        <x:v>Direct</x:v>
      </x:c>
      <x:c r="D207" s="2" t="str">
        <x:v>GFT-001</x:v>
      </x:c>
      <x:c r="E207" s="2" t="str">
        <x:f>_xlfn.IFNA(VLOOKUP(D207,'Products'!$A$7:$I$22,2,FALSE),"Unmapped")</x:f>
        <x:v>Morning ritual gift set</x:v>
      </x:c>
      <x:c r="F207" s="2" t="str">
        <x:f>_xlfn.IFNA(VLOOKUP(D207,'Products'!$A$7:$I$22,3,FALSE),"Unmapped")</x:f>
        <x:v>Gifts</x:v>
      </x:c>
      <x:c r="G207" s="2" t="n">
        <x:v>1</x:v>
      </x:c>
      <x:c r="H207" s="2" t="n">
        <x:v>0</x:v>
      </x:c>
      <x:c r="I207" s="10" t="n">
        <x:v>59.95</x:v>
      </x:c>
      <x:c r="J207" s="10" t="n">
        <x:v>0</x:v>
      </x:c>
      <x:c r="K207" s="10" t="n">
        <x:v>24</x:v>
      </x:c>
      <x:c r="L207" s="10" t="n">
        <x:f>G207*I207</x:f>
        <x:v>59.95</x:v>
      </x:c>
      <x:c r="M207" s="10" t="n">
        <x:f>ROUND((L207-J207)*H207/G207,2)</x:f>
        <x:v>0</x:v>
      </x:c>
      <x:c r="N207" s="10" t="n">
        <x:f>L207-J207-M207</x:f>
        <x:v>59.95</x:v>
      </x:c>
      <x:c r="O207" s="10" t="n">
        <x:f>(G207-H207)*K207</x:f>
        <x:v>24</x:v>
      </x:c>
      <x:c r="P207" s="10" t="n">
        <x:f>N207-O207</x:f>
        <x:v>35.95</x:v>
      </x:c>
      <x:c r="Q207" s="9" t="n">
        <x:f>A207-WEEKDAY(A207,2)+1</x:f>
        <x:v>46265</x:v>
      </x:c>
      <x:c r="R207" s="2" t="str">
        <x:f>IF(AND(A207&gt;='Review'!$B$4,A207&lt;='Review'!$D$4),"Selected","Outside")</x:f>
        <x:v>Outside</x:v>
      </x:c>
    </x:row>
    <x:row r="208" ht="20" customHeight="1">
      <x:c r="A208" s="9" t="n">
        <x:v>46269</x:v>
      </x:c>
      <x:c r="B208" s="2" t="str">
        <x:v>MM-1150</x:v>
      </x:c>
      <x:c r="C208" s="2" t="str">
        <x:v>Direct</x:v>
      </x:c>
      <x:c r="D208" s="2" t="str">
        <x:v>HAT-001</x:v>
      </x:c>
      <x:c r="E208" s="2" t="str">
        <x:f>_xlfn.IFNA(VLOOKUP(D208,'Products'!$A$7:$I$22,2,FALSE),"Unmapped")</x:f>
        <x:v>Classic canvas cap</x:v>
      </x:c>
      <x:c r="F208" s="2" t="str">
        <x:f>_xlfn.IFNA(VLOOKUP(D208,'Products'!$A$7:$I$22,3,FALSE),"Unmapped")</x:f>
        <x:v>Accessories</x:v>
      </x:c>
      <x:c r="G208" s="2" t="n">
        <x:v>1</x:v>
      </x:c>
      <x:c r="H208" s="2" t="n">
        <x:v>0</x:v>
      </x:c>
      <x:c r="I208" s="10" t="n">
        <x:v>24.95</x:v>
      </x:c>
      <x:c r="J208" s="10" t="n">
        <x:v>0</x:v>
      </x:c>
      <x:c r="K208" s="10" t="n">
        <x:v>8.5</x:v>
      </x:c>
      <x:c r="L208" s="10" t="n">
        <x:f>G208*I208</x:f>
        <x:v>24.95</x:v>
      </x:c>
      <x:c r="M208" s="10" t="n">
        <x:f>ROUND((L208-J208)*H208/G208,2)</x:f>
        <x:v>0</x:v>
      </x:c>
      <x:c r="N208" s="10" t="n">
        <x:f>L208-J208-M208</x:f>
        <x:v>24.95</x:v>
      </x:c>
      <x:c r="O208" s="10" t="n">
        <x:f>(G208-H208)*K208</x:f>
        <x:v>8.5</x:v>
      </x:c>
      <x:c r="P208" s="10" t="n">
        <x:f>N208-O208</x:f>
        <x:v>16.45</x:v>
      </x:c>
      <x:c r="Q208" s="9" t="n">
        <x:f>A208-WEEKDAY(A208,2)+1</x:f>
        <x:v>46265</x:v>
      </x:c>
      <x:c r="R208" s="2" t="str">
        <x:f>IF(AND(A208&gt;='Review'!$B$4,A208&lt;='Review'!$D$4),"Selected","Outside")</x:f>
        <x:v>Outside</x:v>
      </x:c>
    </x:row>
    <x:row r="209" ht="20" customHeight="1">
      <x:c r="A209" s="9" t="n">
        <x:v>46269</x:v>
      </x:c>
      <x:c r="B209" s="2" t="str">
        <x:v>MM-1146</x:v>
      </x:c>
      <x:c r="C209" s="2" t="str">
        <x:v>Direct</x:v>
      </x:c>
      <x:c r="D209" s="2" t="str">
        <x:v>GFT-002</x:v>
      </x:c>
      <x:c r="E209" s="2" t="str">
        <x:f>_xlfn.IFNA(VLOOKUP(D209,'Products'!$A$7:$I$22,2,FALSE),"Unmapped")</x:f>
        <x:v>Cozy weekend gift box</x:v>
      </x:c>
      <x:c r="F209" s="2" t="str">
        <x:f>_xlfn.IFNA(VLOOKUP(D209,'Products'!$A$7:$I$22,3,FALSE),"Unmapped")</x:f>
        <x:v>Gifts</x:v>
      </x:c>
      <x:c r="G209" s="2" t="n">
        <x:v>1</x:v>
      </x:c>
      <x:c r="H209" s="2" t="n">
        <x:v>0</x:v>
      </x:c>
      <x:c r="I209" s="10" t="n">
        <x:v>79.95</x:v>
      </x:c>
      <x:c r="J209" s="10" t="n">
        <x:v>0</x:v>
      </x:c>
      <x:c r="K209" s="10" t="n">
        <x:v>32</x:v>
      </x:c>
      <x:c r="L209" s="10" t="n">
        <x:f>G209*I209</x:f>
        <x:v>79.95</x:v>
      </x:c>
      <x:c r="M209" s="10" t="n">
        <x:f>ROUND((L209-J209)*H209/G209,2)</x:f>
        <x:v>0</x:v>
      </x:c>
      <x:c r="N209" s="10" t="n">
        <x:f>L209-J209-M209</x:f>
        <x:v>79.95</x:v>
      </x:c>
      <x:c r="O209" s="10" t="n">
        <x:f>(G209-H209)*K209</x:f>
        <x:v>32</x:v>
      </x:c>
      <x:c r="P209" s="10" t="n">
        <x:f>N209-O209</x:f>
        <x:v>47.95</x:v>
      </x:c>
      <x:c r="Q209" s="9" t="n">
        <x:f>A209-WEEKDAY(A209,2)+1</x:f>
        <x:v>46265</x:v>
      </x:c>
      <x:c r="R209" s="2" t="str">
        <x:f>IF(AND(A209&gt;='Review'!$B$4,A209&lt;='Review'!$D$4),"Selected","Outside")</x:f>
        <x:v>Outside</x:v>
      </x:c>
    </x:row>
    <x:row r="210" ht="20" customHeight="1">
      <x:c r="A210" s="9" t="n">
        <x:v>46269</x:v>
      </x:c>
      <x:c r="B210" s="2" t="str">
        <x:v>MM-1160</x:v>
      </x:c>
      <x:c r="C210" s="2" t="str">
        <x:v>Paid Social</x:v>
      </x:c>
      <x:c r="D210" s="2" t="str">
        <x:v>MUG-001</x:v>
      </x:c>
      <x:c r="E210" s="2" t="str">
        <x:f>_xlfn.IFNA(VLOOKUP(D210,'Products'!$A$7:$I$22,2,FALSE),"Unmapped")</x:f>
        <x:v>Everyday ceramic mug</x:v>
      </x:c>
      <x:c r="F210" s="2" t="str">
        <x:f>_xlfn.IFNA(VLOOKUP(D210,'Products'!$A$7:$I$22,3,FALSE),"Unmapped")</x:f>
        <x:v>Drinkware</x:v>
      </x:c>
      <x:c r="G210" s="2" t="n">
        <x:v>1</x:v>
      </x:c>
      <x:c r="H210" s="2" t="n">
        <x:v>0</x:v>
      </x:c>
      <x:c r="I210" s="10" t="n">
        <x:v>18.95</x:v>
      </x:c>
      <x:c r="J210" s="10" t="n">
        <x:v>0</x:v>
      </x:c>
      <x:c r="K210" s="10" t="n">
        <x:v>6.5</x:v>
      </x:c>
      <x:c r="L210" s="10" t="n">
        <x:f>G210*I210</x:f>
        <x:v>18.95</x:v>
      </x:c>
      <x:c r="M210" s="10" t="n">
        <x:f>ROUND((L210-J210)*H210/G210,2)</x:f>
        <x:v>0</x:v>
      </x:c>
      <x:c r="N210" s="10" t="n">
        <x:f>L210-J210-M210</x:f>
        <x:v>18.95</x:v>
      </x:c>
      <x:c r="O210" s="10" t="n">
        <x:f>(G210-H210)*K210</x:f>
        <x:v>6.5</x:v>
      </x:c>
      <x:c r="P210" s="10" t="n">
        <x:f>N210-O210</x:f>
        <x:v>12.45</x:v>
      </x:c>
      <x:c r="Q210" s="9" t="n">
        <x:f>A210-WEEKDAY(A210,2)+1</x:f>
        <x:v>46265</x:v>
      </x:c>
      <x:c r="R210" s="2" t="str">
        <x:f>IF(AND(A210&gt;='Review'!$B$4,A210&lt;='Review'!$D$4),"Selected","Outside")</x:f>
        <x:v>Outside</x:v>
      </x:c>
    </x:row>
    <x:row r="211" ht="20" customHeight="1">
      <x:c r="A211" s="9" t="n">
        <x:v>46269</x:v>
      </x:c>
      <x:c r="B211" s="2" t="str">
        <x:v>MM-1160</x:v>
      </x:c>
      <x:c r="C211" s="2" t="str">
        <x:v>Paid Social</x:v>
      </x:c>
      <x:c r="D211" s="2" t="str">
        <x:v>MUG-002</x:v>
      </x:c>
      <x:c r="E211" s="2" t="str">
        <x:f>_xlfn.IFNA(VLOOKUP(D211,'Products'!$A$7:$I$22,2,FALSE),"Unmapped")</x:f>
        <x:v>Campfire enamel mug</x:v>
      </x:c>
      <x:c r="F211" s="2" t="str">
        <x:f>_xlfn.IFNA(VLOOKUP(D211,'Products'!$A$7:$I$22,3,FALSE),"Unmapped")</x:f>
        <x:v>Drinkware</x:v>
      </x:c>
      <x:c r="G211" s="2" t="n">
        <x:v>1</x:v>
      </x:c>
      <x:c r="H211" s="2" t="n">
        <x:v>0</x:v>
      </x:c>
      <x:c r="I211" s="10" t="n">
        <x:v>22.95</x:v>
      </x:c>
      <x:c r="J211" s="10" t="n">
        <x:v>0</x:v>
      </x:c>
      <x:c r="K211" s="10" t="n">
        <x:v>8.5</x:v>
      </x:c>
      <x:c r="L211" s="10" t="n">
        <x:f>G211*I211</x:f>
        <x:v>22.95</x:v>
      </x:c>
      <x:c r="M211" s="10" t="n">
        <x:f>ROUND((L211-J211)*H211/G211,2)</x:f>
        <x:v>0</x:v>
      </x:c>
      <x:c r="N211" s="10" t="n">
        <x:f>L211-J211-M211</x:f>
        <x:v>22.95</x:v>
      </x:c>
      <x:c r="O211" s="10" t="n">
        <x:f>(G211-H211)*K211</x:f>
        <x:v>8.5</x:v>
      </x:c>
      <x:c r="P211" s="10" t="n">
        <x:f>N211-O211</x:f>
        <x:v>14.45</x:v>
      </x:c>
      <x:c r="Q211" s="9" t="n">
        <x:f>A211-WEEKDAY(A211,2)+1</x:f>
        <x:v>46265</x:v>
      </x:c>
      <x:c r="R211" s="2" t="str">
        <x:f>IF(AND(A211&gt;='Review'!$B$4,A211&lt;='Review'!$D$4),"Selected","Outside")</x:f>
        <x:v>Outside</x:v>
      </x:c>
    </x:row>
    <x:row r="212" ht="20" customHeight="1">
      <x:c r="A212" s="9" t="n">
        <x:v>46269</x:v>
      </x:c>
      <x:c r="B212" s="2" t="str">
        <x:v>MM-1163</x:v>
      </x:c>
      <x:c r="C212" s="2" t="str">
        <x:v>Paid Social</x:v>
      </x:c>
      <x:c r="D212" s="2" t="str">
        <x:v>KEY-001</x:v>
      </x:c>
      <x:c r="E212" s="2" t="str">
        <x:f>_xlfn.IFNA(VLOOKUP(D212,'Products'!$A$7:$I$22,2,FALSE),"Unmapped")</x:f>
        <x:v>Maple keyring</x:v>
      </x:c>
      <x:c r="F212" s="2" t="str">
        <x:f>_xlfn.IFNA(VLOOKUP(D212,'Products'!$A$7:$I$22,3,FALSE),"Unmapped")</x:f>
        <x:v>Accessories</x:v>
      </x:c>
      <x:c r="G212" s="2" t="n">
        <x:v>2</x:v>
      </x:c>
      <x:c r="H212" s="2" t="n">
        <x:v>0</x:v>
      </x:c>
      <x:c r="I212" s="10" t="n">
        <x:v>12.95</x:v>
      </x:c>
      <x:c r="J212" s="10" t="n">
        <x:v>0</x:v>
      </x:c>
      <x:c r="K212" s="10" t="n">
        <x:v>3.5</x:v>
      </x:c>
      <x:c r="L212" s="10" t="n">
        <x:f>G212*I212</x:f>
        <x:v>25.9</x:v>
      </x:c>
      <x:c r="M212" s="10" t="n">
        <x:f>ROUND((L212-J212)*H212/G212,2)</x:f>
        <x:v>0</x:v>
      </x:c>
      <x:c r="N212" s="10" t="n">
        <x:f>L212-J212-M212</x:f>
        <x:v>25.9</x:v>
      </x:c>
      <x:c r="O212" s="10" t="n">
        <x:f>(G212-H212)*K212</x:f>
        <x:v>7</x:v>
      </x:c>
      <x:c r="P212" s="10" t="n">
        <x:f>N212-O212</x:f>
        <x:v>18.9</x:v>
      </x:c>
      <x:c r="Q212" s="9" t="n">
        <x:f>A212-WEEKDAY(A212,2)+1</x:f>
        <x:v>46265</x:v>
      </x:c>
      <x:c r="R212" s="2" t="str">
        <x:f>IF(AND(A212&gt;='Review'!$B$4,A212&lt;='Review'!$D$4),"Selected","Outside")</x:f>
        <x:v>Outside</x:v>
      </x:c>
    </x:row>
    <x:row r="213" ht="20" customHeight="1">
      <x:c r="A213" s="9" t="n">
        <x:v>46269</x:v>
      </x:c>
      <x:c r="B213" s="2" t="str">
        <x:v>MM-1165</x:v>
      </x:c>
      <x:c r="C213" s="2" t="str">
        <x:v>Paid Social</x:v>
      </x:c>
      <x:c r="D213" s="2" t="str">
        <x:v>GFT-002</x:v>
      </x:c>
      <x:c r="E213" s="2" t="str">
        <x:f>_xlfn.IFNA(VLOOKUP(D213,'Products'!$A$7:$I$22,2,FALSE),"Unmapped")</x:f>
        <x:v>Cozy weekend gift box</x:v>
      </x:c>
      <x:c r="F213" s="2" t="str">
        <x:f>_xlfn.IFNA(VLOOKUP(D213,'Products'!$A$7:$I$22,3,FALSE),"Unmapped")</x:f>
        <x:v>Gifts</x:v>
      </x:c>
      <x:c r="G213" s="2" t="n">
        <x:v>1</x:v>
      </x:c>
      <x:c r="H213" s="2" t="n">
        <x:v>0</x:v>
      </x:c>
      <x:c r="I213" s="10" t="n">
        <x:v>79.95</x:v>
      </x:c>
      <x:c r="J213" s="10" t="n">
        <x:v>0</x:v>
      </x:c>
      <x:c r="K213" s="10" t="n">
        <x:v>32</x:v>
      </x:c>
      <x:c r="L213" s="10" t="n">
        <x:f>G213*I213</x:f>
        <x:v>79.95</x:v>
      </x:c>
      <x:c r="M213" s="10" t="n">
        <x:f>ROUND((L213-J213)*H213/G213,2)</x:f>
        <x:v>0</x:v>
      </x:c>
      <x:c r="N213" s="10" t="n">
        <x:f>L213-J213-M213</x:f>
        <x:v>79.95</x:v>
      </x:c>
      <x:c r="O213" s="10" t="n">
        <x:f>(G213-H213)*K213</x:f>
        <x:v>32</x:v>
      </x:c>
      <x:c r="P213" s="10" t="n">
        <x:f>N213-O213</x:f>
        <x:v>47.95</x:v>
      </x:c>
      <x:c r="Q213" s="9" t="n">
        <x:f>A213-WEEKDAY(A213,2)+1</x:f>
        <x:v>46265</x:v>
      </x:c>
      <x:c r="R213" s="2" t="str">
        <x:f>IF(AND(A213&gt;='Review'!$B$4,A213&lt;='Review'!$D$4),"Selected","Outside")</x:f>
        <x:v>Outside</x:v>
      </x:c>
    </x:row>
    <x:row r="214" ht="20" customHeight="1">
      <x:c r="A214" s="9" t="n">
        <x:v>46269</x:v>
      </x:c>
      <x:c r="B214" s="2" t="str">
        <x:v>MM-1165</x:v>
      </x:c>
      <x:c r="C214" s="2" t="str">
        <x:v>Paid Social</x:v>
      </x:c>
      <x:c r="D214" s="2" t="str">
        <x:v>PIN-001</x:v>
      </x:c>
      <x:c r="E214" s="2" t="str">
        <x:f>_xlfn.IFNA(VLOOKUP(D214,'Products'!$A$7:$I$22,2,FALSE),"Unmapped")</x:f>
        <x:v>Coffee enamel pin</x:v>
      </x:c>
      <x:c r="F214" s="2" t="str">
        <x:f>_xlfn.IFNA(VLOOKUP(D214,'Products'!$A$7:$I$22,3,FALSE),"Unmapped")</x:f>
        <x:v>Accessories</x:v>
      </x:c>
      <x:c r="G214" s="2" t="n">
        <x:v>1</x:v>
      </x:c>
      <x:c r="H214" s="2" t="n">
        <x:v>0</x:v>
      </x:c>
      <x:c r="I214" s="10" t="n">
        <x:v>9.95</x:v>
      </x:c>
      <x:c r="J214" s="10" t="n">
        <x:v>0</x:v>
      </x:c>
      <x:c r="K214" s="10" t="n">
        <x:v>2.5</x:v>
      </x:c>
      <x:c r="L214" s="10" t="n">
        <x:f>G214*I214</x:f>
        <x:v>9.95</x:v>
      </x:c>
      <x:c r="M214" s="10" t="n">
        <x:f>ROUND((L214-J214)*H214/G214,2)</x:f>
        <x:v>0</x:v>
      </x:c>
      <x:c r="N214" s="10" t="n">
        <x:f>L214-J214-M214</x:f>
        <x:v>9.95</x:v>
      </x:c>
      <x:c r="O214" s="10" t="n">
        <x:f>(G214-H214)*K214</x:f>
        <x:v>2.5</x:v>
      </x:c>
      <x:c r="P214" s="10" t="n">
        <x:f>N214-O214</x:f>
        <x:v>7.449999999999999</x:v>
      </x:c>
      <x:c r="Q214" s="9" t="n">
        <x:f>A214-WEEKDAY(A214,2)+1</x:f>
        <x:v>46265</x:v>
      </x:c>
      <x:c r="R214" s="2" t="str">
        <x:f>IF(AND(A214&gt;='Review'!$B$4,A214&lt;='Review'!$D$4),"Selected","Outside")</x:f>
        <x:v>Outside</x:v>
      </x:c>
    </x:row>
    <x:row r="215" ht="20" customHeight="1">
      <x:c r="A215" s="9" t="n">
        <x:v>46269</x:v>
      </x:c>
      <x:c r="B215" s="2" t="str">
        <x:v>MM-1149</x:v>
      </x:c>
      <x:c r="C215" s="2" t="str">
        <x:v>Paid Social</x:v>
      </x:c>
      <x:c r="D215" s="2" t="str">
        <x:v>GFT-002</x:v>
      </x:c>
      <x:c r="E215" s="2" t="str">
        <x:f>_xlfn.IFNA(VLOOKUP(D215,'Products'!$A$7:$I$22,2,FALSE),"Unmapped")</x:f>
        <x:v>Cozy weekend gift box</x:v>
      </x:c>
      <x:c r="F215" s="2" t="str">
        <x:f>_xlfn.IFNA(VLOOKUP(D215,'Products'!$A$7:$I$22,3,FALSE),"Unmapped")</x:f>
        <x:v>Gifts</x:v>
      </x:c>
      <x:c r="G215" s="2" t="n">
        <x:v>1</x:v>
      </x:c>
      <x:c r="H215" s="2" t="n">
        <x:v>0</x:v>
      </x:c>
      <x:c r="I215" s="10" t="n">
        <x:v>79.95</x:v>
      </x:c>
      <x:c r="J215" s="10" t="n">
        <x:v>0</x:v>
      </x:c>
      <x:c r="K215" s="10" t="n">
        <x:v>32</x:v>
      </x:c>
      <x:c r="L215" s="10" t="n">
        <x:f>G215*I215</x:f>
        <x:v>79.95</x:v>
      </x:c>
      <x:c r="M215" s="10" t="n">
        <x:f>ROUND((L215-J215)*H215/G215,2)</x:f>
        <x:v>0</x:v>
      </x:c>
      <x:c r="N215" s="10" t="n">
        <x:f>L215-J215-M215</x:f>
        <x:v>79.95</x:v>
      </x:c>
      <x:c r="O215" s="10" t="n">
        <x:f>(G215-H215)*K215</x:f>
        <x:v>32</x:v>
      </x:c>
      <x:c r="P215" s="10" t="n">
        <x:f>N215-O215</x:f>
        <x:v>47.95</x:v>
      </x:c>
      <x:c r="Q215" s="9" t="n">
        <x:f>A215-WEEKDAY(A215,2)+1</x:f>
        <x:v>46265</x:v>
      </x:c>
      <x:c r="R215" s="2" t="str">
        <x:f>IF(AND(A215&gt;='Review'!$B$4,A215&lt;='Review'!$D$4),"Selected","Outside")</x:f>
        <x:v>Outside</x:v>
      </x:c>
    </x:row>
    <x:row r="216" ht="20" customHeight="1">
      <x:c r="A216" s="9" t="n">
        <x:v>46269</x:v>
      </x:c>
      <x:c r="B216" s="2" t="str">
        <x:v>MM-1148</x:v>
      </x:c>
      <x:c r="C216" s="2" t="str">
        <x:v>Email</x:v>
      </x:c>
      <x:c r="D216" s="2" t="str">
        <x:v>TUM-002</x:v>
      </x:c>
      <x:c r="E216" s="2" t="str">
        <x:f>_xlfn.IFNA(VLOOKUP(D216,'Products'!$A$7:$I$22,2,FALSE),"Unmapped")</x:f>
        <x:v>Cold brew glass cup</x:v>
      </x:c>
      <x:c r="F216" s="2" t="str">
        <x:f>_xlfn.IFNA(VLOOKUP(D216,'Products'!$A$7:$I$22,3,FALSE),"Unmapped")</x:f>
        <x:v>Drinkware</x:v>
      </x:c>
      <x:c r="G216" s="2" t="n">
        <x:v>2</x:v>
      </x:c>
      <x:c r="H216" s="2" t="n">
        <x:v>0</x:v>
      </x:c>
      <x:c r="I216" s="10" t="n">
        <x:v>24.95</x:v>
      </x:c>
      <x:c r="J216" s="10" t="n">
        <x:v>4.99</x:v>
      </x:c>
      <x:c r="K216" s="10" t="n">
        <x:v>9</x:v>
      </x:c>
      <x:c r="L216" s="10" t="n">
        <x:f>G216*I216</x:f>
        <x:v>49.9</x:v>
      </x:c>
      <x:c r="M216" s="10" t="n">
        <x:f>ROUND((L216-J216)*H216/G216,2)</x:f>
        <x:v>0</x:v>
      </x:c>
      <x:c r="N216" s="10" t="n">
        <x:f>L216-J216-M216</x:f>
        <x:v>44.91</x:v>
      </x:c>
      <x:c r="O216" s="10" t="n">
        <x:f>(G216-H216)*K216</x:f>
        <x:v>18</x:v>
      </x:c>
      <x:c r="P216" s="10" t="n">
        <x:f>N216-O216</x:f>
        <x:v>26.909999999999997</x:v>
      </x:c>
      <x:c r="Q216" s="9" t="n">
        <x:f>A216-WEEKDAY(A216,2)+1</x:f>
        <x:v>46265</x:v>
      </x:c>
      <x:c r="R216" s="2" t="str">
        <x:f>IF(AND(A216&gt;='Review'!$B$4,A216&lt;='Review'!$D$4),"Selected","Outside")</x:f>
        <x:v>Outside</x:v>
      </x:c>
    </x:row>
    <x:row r="217" ht="20" customHeight="1">
      <x:c r="A217" s="9" t="n">
        <x:v>46269</x:v>
      </x:c>
      <x:c r="B217" s="2" t="str">
        <x:v>MM-1147</x:v>
      </x:c>
      <x:c r="C217" s="2" t="str">
        <x:v>Organic Search</x:v>
      </x:c>
      <x:c r="D217" s="2" t="str">
        <x:v>TOTE-001</x:v>
      </x:c>
      <x:c r="E217" s="2" t="str">
        <x:f>_xlfn.IFNA(VLOOKUP(D217,'Products'!$A$7:$I$22,2,FALSE),"Unmapped")</x:f>
        <x:v>Market canvas tote</x:v>
      </x:c>
      <x:c r="F217" s="2" t="str">
        <x:f>_xlfn.IFNA(VLOOKUP(D217,'Products'!$A$7:$I$22,3,FALSE),"Unmapped")</x:f>
        <x:v>Accessories</x:v>
      </x:c>
      <x:c r="G217" s="2" t="n">
        <x:v>1</x:v>
      </x:c>
      <x:c r="H217" s="2" t="n">
        <x:v>0</x:v>
      </x:c>
      <x:c r="I217" s="10" t="n">
        <x:v>19.95</x:v>
      </x:c>
      <x:c r="J217" s="10" t="n">
        <x:v>0</x:v>
      </x:c>
      <x:c r="K217" s="10" t="n">
        <x:v>6</x:v>
      </x:c>
      <x:c r="L217" s="10" t="n">
        <x:f>G217*I217</x:f>
        <x:v>19.95</x:v>
      </x:c>
      <x:c r="M217" s="10" t="n">
        <x:f>ROUND((L217-J217)*H217/G217,2)</x:f>
        <x:v>0</x:v>
      </x:c>
      <x:c r="N217" s="10" t="n">
        <x:f>L217-J217-M217</x:f>
        <x:v>19.95</x:v>
      </x:c>
      <x:c r="O217" s="10" t="n">
        <x:f>(G217-H217)*K217</x:f>
        <x:v>6</x:v>
      </x:c>
      <x:c r="P217" s="10" t="n">
        <x:f>N217-O217</x:f>
        <x:v>13.95</x:v>
      </x:c>
      <x:c r="Q217" s="9" t="n">
        <x:f>A217-WEEKDAY(A217,2)+1</x:f>
        <x:v>46265</x:v>
      </x:c>
      <x:c r="R217" s="2" t="str">
        <x:f>IF(AND(A217&gt;='Review'!$B$4,A217&lt;='Review'!$D$4),"Selected","Outside")</x:f>
        <x:v>Outside</x:v>
      </x:c>
    </x:row>
    <x:row r="218" ht="20" customHeight="1">
      <x:c r="A218" s="9" t="n">
        <x:v>46269</x:v>
      </x:c>
      <x:c r="B218" s="2" t="str">
        <x:v>MM-1147</x:v>
      </x:c>
      <x:c r="C218" s="2" t="str">
        <x:v>Organic Search</x:v>
      </x:c>
      <x:c r="D218" s="2" t="str">
        <x:v>APP-002</x:v>
      </x:c>
      <x:c r="E218" s="2" t="str">
        <x:f>_xlfn.IFNA(VLOOKUP(D218,'Products'!$A$7:$I$22,2,FALSE),"Unmapped")</x:f>
        <x:v>Weekend hoodie</x:v>
      </x:c>
      <x:c r="F218" s="2" t="str">
        <x:f>_xlfn.IFNA(VLOOKUP(D218,'Products'!$A$7:$I$22,3,FALSE),"Unmapped")</x:f>
        <x:v>Apparel</x:v>
      </x:c>
      <x:c r="G218" s="2" t="n">
        <x:v>1</x:v>
      </x:c>
      <x:c r="H218" s="2" t="n">
        <x:v>0</x:v>
      </x:c>
      <x:c r="I218" s="10" t="n">
        <x:v>69.95</x:v>
      </x:c>
      <x:c r="J218" s="10" t="n">
        <x:v>0</x:v>
      </x:c>
      <x:c r="K218" s="10" t="n">
        <x:v>28</x:v>
      </x:c>
      <x:c r="L218" s="10" t="n">
        <x:f>G218*I218</x:f>
        <x:v>69.95</x:v>
      </x:c>
      <x:c r="M218" s="10" t="n">
        <x:f>ROUND((L218-J218)*H218/G218,2)</x:f>
        <x:v>0</x:v>
      </x:c>
      <x:c r="N218" s="10" t="n">
        <x:f>L218-J218-M218</x:f>
        <x:v>69.95</x:v>
      </x:c>
      <x:c r="O218" s="10" t="n">
        <x:f>(G218-H218)*K218</x:f>
        <x:v>28</x:v>
      </x:c>
      <x:c r="P218" s="10" t="n">
        <x:f>N218-O218</x:f>
        <x:v>41.95</x:v>
      </x:c>
      <x:c r="Q218" s="9" t="n">
        <x:f>A218-WEEKDAY(A218,2)+1</x:f>
        <x:v>46265</x:v>
      </x:c>
      <x:c r="R218" s="2" t="str">
        <x:f>IF(AND(A218&gt;='Review'!$B$4,A218&lt;='Review'!$D$4),"Selected","Outside")</x:f>
        <x:v>Outside</x:v>
      </x:c>
    </x:row>
    <x:row r="219" ht="20" customHeight="1">
      <x:c r="A219" s="9" t="n">
        <x:v>46269</x:v>
      </x:c>
      <x:c r="B219" s="2" t="str">
        <x:v>MM-1155</x:v>
      </x:c>
      <x:c r="C219" s="2" t="str">
        <x:v>Organic Search</x:v>
      </x:c>
      <x:c r="D219" s="2" t="str">
        <x:v>PIN-001</x:v>
      </x:c>
      <x:c r="E219" s="2" t="str">
        <x:f>_xlfn.IFNA(VLOOKUP(D219,'Products'!$A$7:$I$22,2,FALSE),"Unmapped")</x:f>
        <x:v>Coffee enamel pin</x:v>
      </x:c>
      <x:c r="F219" s="2" t="str">
        <x:f>_xlfn.IFNA(VLOOKUP(D219,'Products'!$A$7:$I$22,3,FALSE),"Unmapped")</x:f>
        <x:v>Accessories</x:v>
      </x:c>
      <x:c r="G219" s="2" t="n">
        <x:v>1</x:v>
      </x:c>
      <x:c r="H219" s="2" t="n">
        <x:v>0</x:v>
      </x:c>
      <x:c r="I219" s="10" t="n">
        <x:v>9.95</x:v>
      </x:c>
      <x:c r="J219" s="10" t="n">
        <x:v>0.99</x:v>
      </x:c>
      <x:c r="K219" s="10" t="n">
        <x:v>2.5</x:v>
      </x:c>
      <x:c r="L219" s="10" t="n">
        <x:f>G219*I219</x:f>
        <x:v>9.95</x:v>
      </x:c>
      <x:c r="M219" s="10" t="n">
        <x:f>ROUND((L219-J219)*H219/G219,2)</x:f>
        <x:v>0</x:v>
      </x:c>
      <x:c r="N219" s="10" t="n">
        <x:f>L219-J219-M219</x:f>
        <x:v>8.959999999999999</x:v>
      </x:c>
      <x:c r="O219" s="10" t="n">
        <x:f>(G219-H219)*K219</x:f>
        <x:v>2.5</x:v>
      </x:c>
      <x:c r="P219" s="10" t="n">
        <x:f>N219-O219</x:f>
        <x:v>6.459999999999999</x:v>
      </x:c>
      <x:c r="Q219" s="9" t="n">
        <x:f>A219-WEEKDAY(A219,2)+1</x:f>
        <x:v>46265</x:v>
      </x:c>
      <x:c r="R219" s="2" t="str">
        <x:f>IF(AND(A219&gt;='Review'!$B$4,A219&lt;='Review'!$D$4),"Selected","Outside")</x:f>
        <x:v>Outside</x:v>
      </x:c>
    </x:row>
    <x:row r="220" ht="20" customHeight="1">
      <x:c r="A220" s="9" t="n">
        <x:v>46269</x:v>
      </x:c>
      <x:c r="B220" s="2" t="str">
        <x:v>MM-1156</x:v>
      </x:c>
      <x:c r="C220" s="2" t="str">
        <x:v>Organic Search</x:v>
      </x:c>
      <x:c r="D220" s="2" t="str">
        <x:v>BOT-001</x:v>
      </x:c>
      <x:c r="E220" s="2" t="str">
        <x:f>_xlfn.IFNA(VLOOKUP(D220,'Products'!$A$7:$I$22,2,FALSE),"Unmapped")</x:f>
        <x:v>Trail water bottle</x:v>
      </x:c>
      <x:c r="F220" s="2" t="str">
        <x:f>_xlfn.IFNA(VLOOKUP(D220,'Products'!$A$7:$I$22,3,FALSE),"Unmapped")</x:f>
        <x:v>Drinkware</x:v>
      </x:c>
      <x:c r="G220" s="2" t="n">
        <x:v>1</x:v>
      </x:c>
      <x:c r="H220" s="2" t="n">
        <x:v>0</x:v>
      </x:c>
      <x:c r="I220" s="10" t="n">
        <x:v>34.95</x:v>
      </x:c>
      <x:c r="J220" s="10" t="n">
        <x:v>3.49</x:v>
      </x:c>
      <x:c r="K220" s="10" t="n">
        <x:v>13.5</x:v>
      </x:c>
      <x:c r="L220" s="10" t="n">
        <x:f>G220*I220</x:f>
        <x:v>34.95</x:v>
      </x:c>
      <x:c r="M220" s="10" t="n">
        <x:f>ROUND((L220-J220)*H220/G220,2)</x:f>
        <x:v>0</x:v>
      </x:c>
      <x:c r="N220" s="10" t="n">
        <x:f>L220-J220-M220</x:f>
        <x:v>31.46</x:v>
      </x:c>
      <x:c r="O220" s="10" t="n">
        <x:f>(G220-H220)*K220</x:f>
        <x:v>13.5</x:v>
      </x:c>
      <x:c r="P220" s="10" t="n">
        <x:f>N220-O220</x:f>
        <x:v>17.96</x:v>
      </x:c>
      <x:c r="Q220" s="9" t="n">
        <x:f>A220-WEEKDAY(A220,2)+1</x:f>
        <x:v>46265</x:v>
      </x:c>
      <x:c r="R220" s="2" t="str">
        <x:f>IF(AND(A220&gt;='Review'!$B$4,A220&lt;='Review'!$D$4),"Selected","Outside")</x:f>
        <x:v>Outside</x:v>
      </x:c>
    </x:row>
    <x:row r="221" ht="20" customHeight="1">
      <x:c r="A221" s="9" t="n">
        <x:v>46269</x:v>
      </x:c>
      <x:c r="B221" s="2" t="str">
        <x:v>MM-1151</x:v>
      </x:c>
      <x:c r="C221" s="2" t="str">
        <x:v>Organic Search</x:v>
      </x:c>
      <x:c r="D221" s="2" t="str">
        <x:v>TOTE-001</x:v>
      </x:c>
      <x:c r="E221" s="2" t="str">
        <x:f>_xlfn.IFNA(VLOOKUP(D221,'Products'!$A$7:$I$22,2,FALSE),"Unmapped")</x:f>
        <x:v>Market canvas tote</x:v>
      </x:c>
      <x:c r="F221" s="2" t="str">
        <x:f>_xlfn.IFNA(VLOOKUP(D221,'Products'!$A$7:$I$22,3,FALSE),"Unmapped")</x:f>
        <x:v>Accessories</x:v>
      </x:c>
      <x:c r="G221" s="2" t="n">
        <x:v>2</x:v>
      </x:c>
      <x:c r="H221" s="2" t="n">
        <x:v>0</x:v>
      </x:c>
      <x:c r="I221" s="10" t="n">
        <x:v>19.95</x:v>
      </x:c>
      <x:c r="J221" s="10" t="n">
        <x:v>0</x:v>
      </x:c>
      <x:c r="K221" s="10" t="n">
        <x:v>6</x:v>
      </x:c>
      <x:c r="L221" s="10" t="n">
        <x:f>G221*I221</x:f>
        <x:v>39.9</x:v>
      </x:c>
      <x:c r="M221" s="10" t="n">
        <x:f>ROUND((L221-J221)*H221/G221,2)</x:f>
        <x:v>0</x:v>
      </x:c>
      <x:c r="N221" s="10" t="n">
        <x:f>L221-J221-M221</x:f>
        <x:v>39.9</x:v>
      </x:c>
      <x:c r="O221" s="10" t="n">
        <x:f>(G221-H221)*K221</x:f>
        <x:v>12</x:v>
      </x:c>
      <x:c r="P221" s="10" t="n">
        <x:f>N221-O221</x:f>
        <x:v>27.9</x:v>
      </x:c>
      <x:c r="Q221" s="9" t="n">
        <x:f>A221-WEEKDAY(A221,2)+1</x:f>
        <x:v>46265</x:v>
      </x:c>
      <x:c r="R221" s="2" t="str">
        <x:f>IF(AND(A221&gt;='Review'!$B$4,A221&lt;='Review'!$D$4),"Selected","Outside")</x:f>
        <x:v>Outside</x:v>
      </x:c>
    </x:row>
    <x:row r="222" ht="20" customHeight="1">
      <x:c r="A222" s="9" t="n">
        <x:v>46269</x:v>
      </x:c>
      <x:c r="B222" s="2" t="str">
        <x:v>MM-1153</x:v>
      </x:c>
      <x:c r="C222" s="2" t="str">
        <x:v>Email</x:v>
      </x:c>
      <x:c r="D222" s="2" t="str">
        <x:v>HAT-001</x:v>
      </x:c>
      <x:c r="E222" s="2" t="str">
        <x:f>_xlfn.IFNA(VLOOKUP(D222,'Products'!$A$7:$I$22,2,FALSE),"Unmapped")</x:f>
        <x:v>Classic canvas cap</x:v>
      </x:c>
      <x:c r="F222" s="2" t="str">
        <x:f>_xlfn.IFNA(VLOOKUP(D222,'Products'!$A$7:$I$22,3,FALSE),"Unmapped")</x:f>
        <x:v>Accessories</x:v>
      </x:c>
      <x:c r="G222" s="2" t="n">
        <x:v>1</x:v>
      </x:c>
      <x:c r="H222" s="2" t="n">
        <x:v>0</x:v>
      </x:c>
      <x:c r="I222" s="10" t="n">
        <x:v>24.95</x:v>
      </x:c>
      <x:c r="J222" s="10" t="n">
        <x:v>2.49</x:v>
      </x:c>
      <x:c r="K222" s="10" t="n">
        <x:v>8.5</x:v>
      </x:c>
      <x:c r="L222" s="10" t="n">
        <x:f>G222*I222</x:f>
        <x:v>24.95</x:v>
      </x:c>
      <x:c r="M222" s="10" t="n">
        <x:f>ROUND((L222-J222)*H222/G222,2)</x:f>
        <x:v>0</x:v>
      </x:c>
      <x:c r="N222" s="10" t="n">
        <x:f>L222-J222-M222</x:f>
        <x:v>22.46</x:v>
      </x:c>
      <x:c r="O222" s="10" t="n">
        <x:f>(G222-H222)*K222</x:f>
        <x:v>8.5</x:v>
      </x:c>
      <x:c r="P222" s="10" t="n">
        <x:f>N222-O222</x:f>
        <x:v>13.96</x:v>
      </x:c>
      <x:c r="Q222" s="9" t="n">
        <x:f>A222-WEEKDAY(A222,2)+1</x:f>
        <x:v>46265</x:v>
      </x:c>
      <x:c r="R222" s="2" t="str">
        <x:f>IF(AND(A222&gt;='Review'!$B$4,A222&lt;='Review'!$D$4),"Selected","Outside")</x:f>
        <x:v>Outside</x:v>
      </x:c>
    </x:row>
    <x:row r="223" ht="20" customHeight="1">
      <x:c r="A223" s="9" t="n">
        <x:v>46269</x:v>
      </x:c>
      <x:c r="B223" s="2" t="str">
        <x:v>MM-1157</x:v>
      </x:c>
      <x:c r="C223" s="2" t="str">
        <x:v>Direct</x:v>
      </x:c>
      <x:c r="D223" s="2" t="str">
        <x:v>BOT-001</x:v>
      </x:c>
      <x:c r="E223" s="2" t="str">
        <x:f>_xlfn.IFNA(VLOOKUP(D223,'Products'!$A$7:$I$22,2,FALSE),"Unmapped")</x:f>
        <x:v>Trail water bottle</x:v>
      </x:c>
      <x:c r="F223" s="2" t="str">
        <x:f>_xlfn.IFNA(VLOOKUP(D223,'Products'!$A$7:$I$22,3,FALSE),"Unmapped")</x:f>
        <x:v>Drinkware</x:v>
      </x:c>
      <x:c r="G223" s="2" t="n">
        <x:v>1</x:v>
      </x:c>
      <x:c r="H223" s="2" t="n">
        <x:v>0</x:v>
      </x:c>
      <x:c r="I223" s="10" t="n">
        <x:v>34.95</x:v>
      </x:c>
      <x:c r="J223" s="10" t="n">
        <x:v>0</x:v>
      </x:c>
      <x:c r="K223" s="10" t="n">
        <x:v>13.5</x:v>
      </x:c>
      <x:c r="L223" s="10" t="n">
        <x:f>G223*I223</x:f>
        <x:v>34.95</x:v>
      </x:c>
      <x:c r="M223" s="10" t="n">
        <x:f>ROUND((L223-J223)*H223/G223,2)</x:f>
        <x:v>0</x:v>
      </x:c>
      <x:c r="N223" s="10" t="n">
        <x:f>L223-J223-M223</x:f>
        <x:v>34.95</x:v>
      </x:c>
      <x:c r="O223" s="10" t="n">
        <x:f>(G223-H223)*K223</x:f>
        <x:v>13.5</x:v>
      </x:c>
      <x:c r="P223" s="10" t="n">
        <x:f>N223-O223</x:f>
        <x:v>21.450000000000003</x:v>
      </x:c>
      <x:c r="Q223" s="9" t="n">
        <x:f>A223-WEEKDAY(A223,2)+1</x:f>
        <x:v>46265</x:v>
      </x:c>
      <x:c r="R223" s="2" t="str">
        <x:f>IF(AND(A223&gt;='Review'!$B$4,A223&lt;='Review'!$D$4),"Selected","Outside")</x:f>
        <x:v>Outside</x:v>
      </x:c>
    </x:row>
    <x:row r="224" ht="20" customHeight="1">
      <x:c r="A224" s="9" t="n">
        <x:v>46270</x:v>
      </x:c>
      <x:c r="B224" s="2" t="str">
        <x:v>MM-1179</x:v>
      </x:c>
      <x:c r="C224" s="2" t="str">
        <x:v>Organic Search</x:v>
      </x:c>
      <x:c r="D224" s="2" t="str">
        <x:v>MUG-002</x:v>
      </x:c>
      <x:c r="E224" s="2" t="str">
        <x:f>_xlfn.IFNA(VLOOKUP(D224,'Products'!$A$7:$I$22,2,FALSE),"Unmapped")</x:f>
        <x:v>Campfire enamel mug</x:v>
      </x:c>
      <x:c r="F224" s="2" t="str">
        <x:f>_xlfn.IFNA(VLOOKUP(D224,'Products'!$A$7:$I$22,3,FALSE),"Unmapped")</x:f>
        <x:v>Drinkware</x:v>
      </x:c>
      <x:c r="G224" s="2" t="n">
        <x:v>1</x:v>
      </x:c>
      <x:c r="H224" s="2" t="n">
        <x:v>0</x:v>
      </x:c>
      <x:c r="I224" s="10" t="n">
        <x:v>22.95</x:v>
      </x:c>
      <x:c r="J224" s="10" t="n">
        <x:v>0</x:v>
      </x:c>
      <x:c r="K224" s="10" t="n">
        <x:v>8.5</x:v>
      </x:c>
      <x:c r="L224" s="10" t="n">
        <x:f>G224*I224</x:f>
        <x:v>22.95</x:v>
      </x:c>
      <x:c r="M224" s="10" t="n">
        <x:f>ROUND((L224-J224)*H224/G224,2)</x:f>
        <x:v>0</x:v>
      </x:c>
      <x:c r="N224" s="10" t="n">
        <x:f>L224-J224-M224</x:f>
        <x:v>22.95</x:v>
      </x:c>
      <x:c r="O224" s="10" t="n">
        <x:f>(G224-H224)*K224</x:f>
        <x:v>8.5</x:v>
      </x:c>
      <x:c r="P224" s="10" t="n">
        <x:f>N224-O224</x:f>
        <x:v>14.45</x:v>
      </x:c>
      <x:c r="Q224" s="9" t="n">
        <x:f>A224-WEEKDAY(A224,2)+1</x:f>
        <x:v>46265</x:v>
      </x:c>
      <x:c r="R224" s="2" t="str">
        <x:f>IF(AND(A224&gt;='Review'!$B$4,A224&lt;='Review'!$D$4),"Selected","Outside")</x:f>
        <x:v>Outside</x:v>
      </x:c>
    </x:row>
    <x:row r="225" ht="20" customHeight="1">
      <x:c r="A225" s="9" t="n">
        <x:v>46270</x:v>
      </x:c>
      <x:c r="B225" s="2" t="str">
        <x:v>MM-1169</x:v>
      </x:c>
      <x:c r="C225" s="2" t="str">
        <x:v>Email</x:v>
      </x:c>
      <x:c r="D225" s="2" t="str">
        <x:v>GFT-002</x:v>
      </x:c>
      <x:c r="E225" s="2" t="str">
        <x:f>_xlfn.IFNA(VLOOKUP(D225,'Products'!$A$7:$I$22,2,FALSE),"Unmapped")</x:f>
        <x:v>Cozy weekend gift box</x:v>
      </x:c>
      <x:c r="F225" s="2" t="str">
        <x:f>_xlfn.IFNA(VLOOKUP(D225,'Products'!$A$7:$I$22,3,FALSE),"Unmapped")</x:f>
        <x:v>Gifts</x:v>
      </x:c>
      <x:c r="G225" s="2" t="n">
        <x:v>2</x:v>
      </x:c>
      <x:c r="H225" s="2" t="n">
        <x:v>0</x:v>
      </x:c>
      <x:c r="I225" s="10" t="n">
        <x:v>79.95</x:v>
      </x:c>
      <x:c r="J225" s="10" t="n">
        <x:v>15.99</x:v>
      </x:c>
      <x:c r="K225" s="10" t="n">
        <x:v>32</x:v>
      </x:c>
      <x:c r="L225" s="10" t="n">
        <x:f>G225*I225</x:f>
        <x:v>159.9</x:v>
      </x:c>
      <x:c r="M225" s="10" t="n">
        <x:f>ROUND((L225-J225)*H225/G225,2)</x:f>
        <x:v>0</x:v>
      </x:c>
      <x:c r="N225" s="10" t="n">
        <x:f>L225-J225-M225</x:f>
        <x:v>143.91</x:v>
      </x:c>
      <x:c r="O225" s="10" t="n">
        <x:f>(G225-H225)*K225</x:f>
        <x:v>64</x:v>
      </x:c>
      <x:c r="P225" s="10" t="n">
        <x:f>N225-O225</x:f>
        <x:v>79.91</x:v>
      </x:c>
      <x:c r="Q225" s="9" t="n">
        <x:f>A225-WEEKDAY(A225,2)+1</x:f>
        <x:v>46265</x:v>
      </x:c>
      <x:c r="R225" s="2" t="str">
        <x:f>IF(AND(A225&gt;='Review'!$B$4,A225&lt;='Review'!$D$4),"Selected","Outside")</x:f>
        <x:v>Outside</x:v>
      </x:c>
    </x:row>
    <x:row r="226" ht="20" customHeight="1">
      <x:c r="A226" s="9" t="n">
        <x:v>46270</x:v>
      </x:c>
      <x:c r="B226" s="2" t="str">
        <x:v>MM-1167</x:v>
      </x:c>
      <x:c r="C226" s="2" t="str">
        <x:v>Paid Social</x:v>
      </x:c>
      <x:c r="D226" s="2" t="str">
        <x:v>GFT-001</x:v>
      </x:c>
      <x:c r="E226" s="2" t="str">
        <x:f>_xlfn.IFNA(VLOOKUP(D226,'Products'!$A$7:$I$22,2,FALSE),"Unmapped")</x:f>
        <x:v>Morning ritual gift set</x:v>
      </x:c>
      <x:c r="F226" s="2" t="str">
        <x:f>_xlfn.IFNA(VLOOKUP(D226,'Products'!$A$7:$I$22,3,FALSE),"Unmapped")</x:f>
        <x:v>Gifts</x:v>
      </x:c>
      <x:c r="G226" s="2" t="n">
        <x:v>1</x:v>
      </x:c>
      <x:c r="H226" s="2" t="n">
        <x:v>0</x:v>
      </x:c>
      <x:c r="I226" s="10" t="n">
        <x:v>59.95</x:v>
      </x:c>
      <x:c r="J226" s="10" t="n">
        <x:v>5.99</x:v>
      </x:c>
      <x:c r="K226" s="10" t="n">
        <x:v>24</x:v>
      </x:c>
      <x:c r="L226" s="10" t="n">
        <x:f>G226*I226</x:f>
        <x:v>59.95</x:v>
      </x:c>
      <x:c r="M226" s="10" t="n">
        <x:f>ROUND((L226-J226)*H226/G226,2)</x:f>
        <x:v>0</x:v>
      </x:c>
      <x:c r="N226" s="10" t="n">
        <x:f>L226-J226-M226</x:f>
        <x:v>53.96</x:v>
      </x:c>
      <x:c r="O226" s="10" t="n">
        <x:f>(G226-H226)*K226</x:f>
        <x:v>24</x:v>
      </x:c>
      <x:c r="P226" s="10" t="n">
        <x:f>N226-O226</x:f>
        <x:v>29.96</x:v>
      </x:c>
      <x:c r="Q226" s="9" t="n">
        <x:f>A226-WEEKDAY(A226,2)+1</x:f>
        <x:v>46265</x:v>
      </x:c>
      <x:c r="R226" s="2" t="str">
        <x:f>IF(AND(A226&gt;='Review'!$B$4,A226&lt;='Review'!$D$4),"Selected","Outside")</x:f>
        <x:v>Outside</x:v>
      </x:c>
    </x:row>
    <x:row r="227" ht="20" customHeight="1">
      <x:c r="A227" s="9" t="n">
        <x:v>46270</x:v>
      </x:c>
      <x:c r="B227" s="2" t="str">
        <x:v>MM-1186</x:v>
      </x:c>
      <x:c r="C227" s="2" t="str">
        <x:v>Organic Search</x:v>
      </x:c>
      <x:c r="D227" s="2" t="str">
        <x:v>TOTE-001</x:v>
      </x:c>
      <x:c r="E227" s="2" t="str">
        <x:f>_xlfn.IFNA(VLOOKUP(D227,'Products'!$A$7:$I$22,2,FALSE),"Unmapped")</x:f>
        <x:v>Market canvas tote</x:v>
      </x:c>
      <x:c r="F227" s="2" t="str">
        <x:f>_xlfn.IFNA(VLOOKUP(D227,'Products'!$A$7:$I$22,3,FALSE),"Unmapped")</x:f>
        <x:v>Accessories</x:v>
      </x:c>
      <x:c r="G227" s="2" t="n">
        <x:v>2</x:v>
      </x:c>
      <x:c r="H227" s="2" t="n">
        <x:v>0</x:v>
      </x:c>
      <x:c r="I227" s="10" t="n">
        <x:v>19.95</x:v>
      </x:c>
      <x:c r="J227" s="10" t="n">
        <x:v>0</x:v>
      </x:c>
      <x:c r="K227" s="10" t="n">
        <x:v>6</x:v>
      </x:c>
      <x:c r="L227" s="10" t="n">
        <x:f>G227*I227</x:f>
        <x:v>39.9</x:v>
      </x:c>
      <x:c r="M227" s="10" t="n">
        <x:f>ROUND((L227-J227)*H227/G227,2)</x:f>
        <x:v>0</x:v>
      </x:c>
      <x:c r="N227" s="10" t="n">
        <x:f>L227-J227-M227</x:f>
        <x:v>39.9</x:v>
      </x:c>
      <x:c r="O227" s="10" t="n">
        <x:f>(G227-H227)*K227</x:f>
        <x:v>12</x:v>
      </x:c>
      <x:c r="P227" s="10" t="n">
        <x:f>N227-O227</x:f>
        <x:v>27.9</x:v>
      </x:c>
      <x:c r="Q227" s="9" t="n">
        <x:f>A227-WEEKDAY(A227,2)+1</x:f>
        <x:v>46265</x:v>
      </x:c>
      <x:c r="R227" s="2" t="str">
        <x:f>IF(AND(A227&gt;='Review'!$B$4,A227&lt;='Review'!$D$4),"Selected","Outside")</x:f>
        <x:v>Outside</x:v>
      </x:c>
    </x:row>
    <x:row r="228" ht="20" customHeight="1">
      <x:c r="A228" s="9" t="n">
        <x:v>46270</x:v>
      </x:c>
      <x:c r="B228" s="2" t="str">
        <x:v>MM-1174</x:v>
      </x:c>
      <x:c r="C228" s="2" t="str">
        <x:v>Organic Search</x:v>
      </x:c>
      <x:c r="D228" s="2" t="str">
        <x:v>APP-003</x:v>
      </x:c>
      <x:c r="E228" s="2" t="str">
        <x:f>_xlfn.IFNA(VLOOKUP(D228,'Products'!$A$7:$I$22,2,FALSE),"Unmapped")</x:f>
        <x:v>Coffee club tee</x:v>
      </x:c>
      <x:c r="F228" s="2" t="str">
        <x:f>_xlfn.IFNA(VLOOKUP(D228,'Products'!$A$7:$I$22,3,FALSE),"Unmapped")</x:f>
        <x:v>Apparel</x:v>
      </x:c>
      <x:c r="G228" s="2" t="n">
        <x:v>1</x:v>
      </x:c>
      <x:c r="H228" s="2" t="n">
        <x:v>0</x:v>
      </x:c>
      <x:c r="I228" s="10" t="n">
        <x:v>29.95</x:v>
      </x:c>
      <x:c r="J228" s="10" t="n">
        <x:v>0</x:v>
      </x:c>
      <x:c r="K228" s="10" t="n">
        <x:v>10</x:v>
      </x:c>
      <x:c r="L228" s="10" t="n">
        <x:f>G228*I228</x:f>
        <x:v>29.95</x:v>
      </x:c>
      <x:c r="M228" s="10" t="n">
        <x:f>ROUND((L228-J228)*H228/G228,2)</x:f>
        <x:v>0</x:v>
      </x:c>
      <x:c r="N228" s="10" t="n">
        <x:f>L228-J228-M228</x:f>
        <x:v>29.95</x:v>
      </x:c>
      <x:c r="O228" s="10" t="n">
        <x:f>(G228-H228)*K228</x:f>
        <x:v>10</x:v>
      </x:c>
      <x:c r="P228" s="10" t="n">
        <x:f>N228-O228</x:f>
        <x:v>19.95</x:v>
      </x:c>
      <x:c r="Q228" s="9" t="n">
        <x:f>A228-WEEKDAY(A228,2)+1</x:f>
        <x:v>46265</x:v>
      </x:c>
      <x:c r="R228" s="2" t="str">
        <x:f>IF(AND(A228&gt;='Review'!$B$4,A228&lt;='Review'!$D$4),"Selected","Outside")</x:f>
        <x:v>Outside</x:v>
      </x:c>
    </x:row>
    <x:row r="229" ht="20" customHeight="1">
      <x:c r="A229" s="9" t="n">
        <x:v>46270</x:v>
      </x:c>
      <x:c r="B229" s="2" t="str">
        <x:v>MM-1178</x:v>
      </x:c>
      <x:c r="C229" s="2" t="str">
        <x:v>Direct</x:v>
      </x:c>
      <x:c r="D229" s="2" t="str">
        <x:v>PIN-001</x:v>
      </x:c>
      <x:c r="E229" s="2" t="str">
        <x:f>_xlfn.IFNA(VLOOKUP(D229,'Products'!$A$7:$I$22,2,FALSE),"Unmapped")</x:f>
        <x:v>Coffee enamel pin</x:v>
      </x:c>
      <x:c r="F229" s="2" t="str">
        <x:f>_xlfn.IFNA(VLOOKUP(D229,'Products'!$A$7:$I$22,3,FALSE),"Unmapped")</x:f>
        <x:v>Accessories</x:v>
      </x:c>
      <x:c r="G229" s="2" t="n">
        <x:v>1</x:v>
      </x:c>
      <x:c r="H229" s="2" t="n">
        <x:v>0</x:v>
      </x:c>
      <x:c r="I229" s="10" t="n">
        <x:v>9.95</x:v>
      </x:c>
      <x:c r="J229" s="10" t="n">
        <x:v>0</x:v>
      </x:c>
      <x:c r="K229" s="10" t="n">
        <x:v>2.5</x:v>
      </x:c>
      <x:c r="L229" s="10" t="n">
        <x:f>G229*I229</x:f>
        <x:v>9.95</x:v>
      </x:c>
      <x:c r="M229" s="10" t="n">
        <x:f>ROUND((L229-J229)*H229/G229,2)</x:f>
        <x:v>0</x:v>
      </x:c>
      <x:c r="N229" s="10" t="n">
        <x:f>L229-J229-M229</x:f>
        <x:v>9.95</x:v>
      </x:c>
      <x:c r="O229" s="10" t="n">
        <x:f>(G229-H229)*K229</x:f>
        <x:v>2.5</x:v>
      </x:c>
      <x:c r="P229" s="10" t="n">
        <x:f>N229-O229</x:f>
        <x:v>7.449999999999999</x:v>
      </x:c>
      <x:c r="Q229" s="9" t="n">
        <x:f>A229-WEEKDAY(A229,2)+1</x:f>
        <x:v>46265</x:v>
      </x:c>
      <x:c r="R229" s="2" t="str">
        <x:f>IF(AND(A229&gt;='Review'!$B$4,A229&lt;='Review'!$D$4),"Selected","Outside")</x:f>
        <x:v>Outside</x:v>
      </x:c>
    </x:row>
    <x:row r="230" ht="20" customHeight="1">
      <x:c r="A230" s="9" t="n">
        <x:v>46270</x:v>
      </x:c>
      <x:c r="B230" s="2" t="str">
        <x:v>MM-1178</x:v>
      </x:c>
      <x:c r="C230" s="2" t="str">
        <x:v>Direct</x:v>
      </x:c>
      <x:c r="D230" s="2" t="str">
        <x:v>BOT-001</x:v>
      </x:c>
      <x:c r="E230" s="2" t="str">
        <x:f>_xlfn.IFNA(VLOOKUP(D230,'Products'!$A$7:$I$22,2,FALSE),"Unmapped")</x:f>
        <x:v>Trail water bottle</x:v>
      </x:c>
      <x:c r="F230" s="2" t="str">
        <x:f>_xlfn.IFNA(VLOOKUP(D230,'Products'!$A$7:$I$22,3,FALSE),"Unmapped")</x:f>
        <x:v>Drinkware</x:v>
      </x:c>
      <x:c r="G230" s="2" t="n">
        <x:v>1</x:v>
      </x:c>
      <x:c r="H230" s="2" t="n">
        <x:v>1</x:v>
      </x:c>
      <x:c r="I230" s="10" t="n">
        <x:v>34.95</x:v>
      </x:c>
      <x:c r="J230" s="10" t="n">
        <x:v>0</x:v>
      </x:c>
      <x:c r="K230" s="10" t="n">
        <x:v>13.5</x:v>
      </x:c>
      <x:c r="L230" s="10" t="n">
        <x:f>G230*I230</x:f>
        <x:v>34.95</x:v>
      </x:c>
      <x:c r="M230" s="10" t="n">
        <x:f>ROUND((L230-J230)*H230/G230,2)</x:f>
        <x:v>34.95</x:v>
      </x:c>
      <x:c r="N230" s="10" t="n">
        <x:f>L230-J230-M230</x:f>
        <x:v>0</x:v>
      </x:c>
      <x:c r="O230" s="10" t="n">
        <x:f>(G230-H230)*K230</x:f>
        <x:v>0</x:v>
      </x:c>
      <x:c r="P230" s="10" t="n">
        <x:f>N230-O230</x:f>
        <x:v>0</x:v>
      </x:c>
      <x:c r="Q230" s="9" t="n">
        <x:f>A230-WEEKDAY(A230,2)+1</x:f>
        <x:v>46265</x:v>
      </x:c>
      <x:c r="R230" s="2" t="str">
        <x:f>IF(AND(A230&gt;='Review'!$B$4,A230&lt;='Review'!$D$4),"Selected","Outside")</x:f>
        <x:v>Outside</x:v>
      </x:c>
    </x:row>
    <x:row r="231" ht="20" customHeight="1">
      <x:c r="A231" s="9" t="n">
        <x:v>46270</x:v>
      </x:c>
      <x:c r="B231" s="2" t="str">
        <x:v>MM-1183</x:v>
      </x:c>
      <x:c r="C231" s="2" t="str">
        <x:v>Organic Search</x:v>
      </x:c>
      <x:c r="D231" s="2" t="str">
        <x:v>GFT-001</x:v>
      </x:c>
      <x:c r="E231" s="2" t="str">
        <x:f>_xlfn.IFNA(VLOOKUP(D231,'Products'!$A$7:$I$22,2,FALSE),"Unmapped")</x:f>
        <x:v>Morning ritual gift set</x:v>
      </x:c>
      <x:c r="F231" s="2" t="str">
        <x:f>_xlfn.IFNA(VLOOKUP(D231,'Products'!$A$7:$I$22,3,FALSE),"Unmapped")</x:f>
        <x:v>Gifts</x:v>
      </x:c>
      <x:c r="G231" s="2" t="n">
        <x:v>2</x:v>
      </x:c>
      <x:c r="H231" s="2" t="n">
        <x:v>0</x:v>
      </x:c>
      <x:c r="I231" s="10" t="n">
        <x:v>59.95</x:v>
      </x:c>
      <x:c r="J231" s="10" t="n">
        <x:v>0</x:v>
      </x:c>
      <x:c r="K231" s="10" t="n">
        <x:v>24</x:v>
      </x:c>
      <x:c r="L231" s="10" t="n">
        <x:f>G231*I231</x:f>
        <x:v>119.9</x:v>
      </x:c>
      <x:c r="M231" s="10" t="n">
        <x:f>ROUND((L231-J231)*H231/G231,2)</x:f>
        <x:v>0</x:v>
      </x:c>
      <x:c r="N231" s="10" t="n">
        <x:f>L231-J231-M231</x:f>
        <x:v>119.9</x:v>
      </x:c>
      <x:c r="O231" s="10" t="n">
        <x:f>(G231-H231)*K231</x:f>
        <x:v>48</x:v>
      </x:c>
      <x:c r="P231" s="10" t="n">
        <x:f>N231-O231</x:f>
        <x:v>71.9</x:v>
      </x:c>
      <x:c r="Q231" s="9" t="n">
        <x:f>A231-WEEKDAY(A231,2)+1</x:f>
        <x:v>46265</x:v>
      </x:c>
      <x:c r="R231" s="2" t="str">
        <x:f>IF(AND(A231&gt;='Review'!$B$4,A231&lt;='Review'!$D$4),"Selected","Outside")</x:f>
        <x:v>Outside</x:v>
      </x:c>
    </x:row>
    <x:row r="232" ht="20" customHeight="1">
      <x:c r="A232" s="9" t="n">
        <x:v>46270</x:v>
      </x:c>
      <x:c r="B232" s="2" t="str">
        <x:v>MM-1184</x:v>
      </x:c>
      <x:c r="C232" s="2" t="str">
        <x:v>Email</x:v>
      </x:c>
      <x:c r="D232" s="2" t="str">
        <x:v>GFT-001</x:v>
      </x:c>
      <x:c r="E232" s="2" t="str">
        <x:f>_xlfn.IFNA(VLOOKUP(D232,'Products'!$A$7:$I$22,2,FALSE),"Unmapped")</x:f>
        <x:v>Morning ritual gift set</x:v>
      </x:c>
      <x:c r="F232" s="2" t="str">
        <x:f>_xlfn.IFNA(VLOOKUP(D232,'Products'!$A$7:$I$22,3,FALSE),"Unmapped")</x:f>
        <x:v>Gifts</x:v>
      </x:c>
      <x:c r="G232" s="2" t="n">
        <x:v>2</x:v>
      </x:c>
      <x:c r="H232" s="2" t="n">
        <x:v>0</x:v>
      </x:c>
      <x:c r="I232" s="10" t="n">
        <x:v>59.95</x:v>
      </x:c>
      <x:c r="J232" s="10" t="n">
        <x:v>11.99</x:v>
      </x:c>
      <x:c r="K232" s="10" t="n">
        <x:v>24</x:v>
      </x:c>
      <x:c r="L232" s="10" t="n">
        <x:f>G232*I232</x:f>
        <x:v>119.9</x:v>
      </x:c>
      <x:c r="M232" s="10" t="n">
        <x:f>ROUND((L232-J232)*H232/G232,2)</x:f>
        <x:v>0</x:v>
      </x:c>
      <x:c r="N232" s="10" t="n">
        <x:f>L232-J232-M232</x:f>
        <x:v>107.91000000000001</x:v>
      </x:c>
      <x:c r="O232" s="10" t="n">
        <x:f>(G232-H232)*K232</x:f>
        <x:v>48</x:v>
      </x:c>
      <x:c r="P232" s="10" t="n">
        <x:f>N232-O232</x:f>
        <x:v>59.91000000000001</x:v>
      </x:c>
      <x:c r="Q232" s="9" t="n">
        <x:f>A232-WEEKDAY(A232,2)+1</x:f>
        <x:v>46265</x:v>
      </x:c>
      <x:c r="R232" s="2" t="str">
        <x:f>IF(AND(A232&gt;='Review'!$B$4,A232&lt;='Review'!$D$4),"Selected","Outside")</x:f>
        <x:v>Outside</x:v>
      </x:c>
    </x:row>
    <x:row r="233" ht="20" customHeight="1">
      <x:c r="A233" s="9" t="n">
        <x:v>46270</x:v>
      </x:c>
      <x:c r="B233" s="2" t="str">
        <x:v>MM-1188</x:v>
      </x:c>
      <x:c r="C233" s="2" t="str">
        <x:v>Paid Social</x:v>
      </x:c>
      <x:c r="D233" s="2" t="str">
        <x:v>KEY-001</x:v>
      </x:c>
      <x:c r="E233" s="2" t="str">
        <x:f>_xlfn.IFNA(VLOOKUP(D233,'Products'!$A$7:$I$22,2,FALSE),"Unmapped")</x:f>
        <x:v>Maple keyring</x:v>
      </x:c>
      <x:c r="F233" s="2" t="str">
        <x:f>_xlfn.IFNA(VLOOKUP(D233,'Products'!$A$7:$I$22,3,FALSE),"Unmapped")</x:f>
        <x:v>Accessories</x:v>
      </x:c>
      <x:c r="G233" s="2" t="n">
        <x:v>1</x:v>
      </x:c>
      <x:c r="H233" s="2" t="n">
        <x:v>0</x:v>
      </x:c>
      <x:c r="I233" s="10" t="n">
        <x:v>12.95</x:v>
      </x:c>
      <x:c r="J233" s="10" t="n">
        <x:v>0</x:v>
      </x:c>
      <x:c r="K233" s="10" t="n">
        <x:v>3.5</x:v>
      </x:c>
      <x:c r="L233" s="10" t="n">
        <x:f>G233*I233</x:f>
        <x:v>12.95</x:v>
      </x:c>
      <x:c r="M233" s="10" t="n">
        <x:f>ROUND((L233-J233)*H233/G233,2)</x:f>
        <x:v>0</x:v>
      </x:c>
      <x:c r="N233" s="10" t="n">
        <x:f>L233-J233-M233</x:f>
        <x:v>12.95</x:v>
      </x:c>
      <x:c r="O233" s="10" t="n">
        <x:f>(G233-H233)*K233</x:f>
        <x:v>3.5</x:v>
      </x:c>
      <x:c r="P233" s="10" t="n">
        <x:f>N233-O233</x:f>
        <x:v>9.45</x:v>
      </x:c>
      <x:c r="Q233" s="9" t="n">
        <x:f>A233-WEEKDAY(A233,2)+1</x:f>
        <x:v>46265</x:v>
      </x:c>
      <x:c r="R233" s="2" t="str">
        <x:f>IF(AND(A233&gt;='Review'!$B$4,A233&lt;='Review'!$D$4),"Selected","Outside")</x:f>
        <x:v>Outside</x:v>
      </x:c>
    </x:row>
    <x:row r="234" ht="20" customHeight="1">
      <x:c r="A234" s="9" t="n">
        <x:v>46270</x:v>
      </x:c>
      <x:c r="B234" s="2" t="str">
        <x:v>MM-1168</x:v>
      </x:c>
      <x:c r="C234" s="2" t="str">
        <x:v>Paid Social</x:v>
      </x:c>
      <x:c r="D234" s="2" t="str">
        <x:v>PIN-001</x:v>
      </x:c>
      <x:c r="E234" s="2" t="str">
        <x:f>_xlfn.IFNA(VLOOKUP(D234,'Products'!$A$7:$I$22,2,FALSE),"Unmapped")</x:f>
        <x:v>Coffee enamel pin</x:v>
      </x:c>
      <x:c r="F234" s="2" t="str">
        <x:f>_xlfn.IFNA(VLOOKUP(D234,'Products'!$A$7:$I$22,3,FALSE),"Unmapped")</x:f>
        <x:v>Accessories</x:v>
      </x:c>
      <x:c r="G234" s="2" t="n">
        <x:v>3</x:v>
      </x:c>
      <x:c r="H234" s="2" t="n">
        <x:v>0</x:v>
      </x:c>
      <x:c r="I234" s="10" t="n">
        <x:v>9.95</x:v>
      </x:c>
      <x:c r="J234" s="10" t="n">
        <x:v>0</x:v>
      </x:c>
      <x:c r="K234" s="10" t="n">
        <x:v>2.5</x:v>
      </x:c>
      <x:c r="L234" s="10" t="n">
        <x:f>G234*I234</x:f>
        <x:v>29.849999999999998</x:v>
      </x:c>
      <x:c r="M234" s="10" t="n">
        <x:f>ROUND((L234-J234)*H234/G234,2)</x:f>
        <x:v>0</x:v>
      </x:c>
      <x:c r="N234" s="10" t="n">
        <x:f>L234-J234-M234</x:f>
        <x:v>29.849999999999998</x:v>
      </x:c>
      <x:c r="O234" s="10" t="n">
        <x:f>(G234-H234)*K234</x:f>
        <x:v>7.5</x:v>
      </x:c>
      <x:c r="P234" s="10" t="n">
        <x:f>N234-O234</x:f>
        <x:v>22.349999999999998</x:v>
      </x:c>
      <x:c r="Q234" s="9" t="n">
        <x:f>A234-WEEKDAY(A234,2)+1</x:f>
        <x:v>46265</x:v>
      </x:c>
      <x:c r="R234" s="2" t="str">
        <x:f>IF(AND(A234&gt;='Review'!$B$4,A234&lt;='Review'!$D$4),"Selected","Outside")</x:f>
        <x:v>Outside</x:v>
      </x:c>
    </x:row>
    <x:row r="235" ht="20" customHeight="1">
      <x:c r="A235" s="9" t="n">
        <x:v>46270</x:v>
      </x:c>
      <x:c r="B235" s="2" t="str">
        <x:v>MM-1175</x:v>
      </x:c>
      <x:c r="C235" s="2" t="str">
        <x:v>Email</x:v>
      </x:c>
      <x:c r="D235" s="2" t="str">
        <x:v>APP-003</x:v>
      </x:c>
      <x:c r="E235" s="2" t="str">
        <x:f>_xlfn.IFNA(VLOOKUP(D235,'Products'!$A$7:$I$22,2,FALSE),"Unmapped")</x:f>
        <x:v>Coffee club tee</x:v>
      </x:c>
      <x:c r="F235" s="2" t="str">
        <x:f>_xlfn.IFNA(VLOOKUP(D235,'Products'!$A$7:$I$22,3,FALSE),"Unmapped")</x:f>
        <x:v>Apparel</x:v>
      </x:c>
      <x:c r="G235" s="2" t="n">
        <x:v>1</x:v>
      </x:c>
      <x:c r="H235" s="2" t="n">
        <x:v>0</x:v>
      </x:c>
      <x:c r="I235" s="10" t="n">
        <x:v>29.95</x:v>
      </x:c>
      <x:c r="J235" s="10" t="n">
        <x:v>2.99</x:v>
      </x:c>
      <x:c r="K235" s="10" t="n">
        <x:v>10</x:v>
      </x:c>
      <x:c r="L235" s="10" t="n">
        <x:f>G235*I235</x:f>
        <x:v>29.95</x:v>
      </x:c>
      <x:c r="M235" s="10" t="n">
        <x:f>ROUND((L235-J235)*H235/G235,2)</x:f>
        <x:v>0</x:v>
      </x:c>
      <x:c r="N235" s="10" t="n">
        <x:f>L235-J235-M235</x:f>
        <x:v>26.96</x:v>
      </x:c>
      <x:c r="O235" s="10" t="n">
        <x:f>(G235-H235)*K235</x:f>
        <x:v>10</x:v>
      </x:c>
      <x:c r="P235" s="10" t="n">
        <x:f>N235-O235</x:f>
        <x:v>16.96</x:v>
      </x:c>
      <x:c r="Q235" s="9" t="n">
        <x:f>A235-WEEKDAY(A235,2)+1</x:f>
        <x:v>46265</x:v>
      </x:c>
      <x:c r="R235" s="2" t="str">
        <x:f>IF(AND(A235&gt;='Review'!$B$4,A235&lt;='Review'!$D$4),"Selected","Outside")</x:f>
        <x:v>Outside</x:v>
      </x:c>
    </x:row>
    <x:row r="236" ht="20" customHeight="1">
      <x:c r="A236" s="9" t="n">
        <x:v>46270</x:v>
      </x:c>
      <x:c r="B236" s="2" t="str">
        <x:v>MM-1185</x:v>
      </x:c>
      <x:c r="C236" s="2" t="str">
        <x:v>Email</x:v>
      </x:c>
      <x:c r="D236" s="2" t="str">
        <x:v>PIN-001</x:v>
      </x:c>
      <x:c r="E236" s="2" t="str">
        <x:f>_xlfn.IFNA(VLOOKUP(D236,'Products'!$A$7:$I$22,2,FALSE),"Unmapped")</x:f>
        <x:v>Coffee enamel pin</x:v>
      </x:c>
      <x:c r="F236" s="2" t="str">
        <x:f>_xlfn.IFNA(VLOOKUP(D236,'Products'!$A$7:$I$22,3,FALSE),"Unmapped")</x:f>
        <x:v>Accessories</x:v>
      </x:c>
      <x:c r="G236" s="2" t="n">
        <x:v>1</x:v>
      </x:c>
      <x:c r="H236" s="2" t="n">
        <x:v>0</x:v>
      </x:c>
      <x:c r="I236" s="10" t="n">
        <x:v>9.95</x:v>
      </x:c>
      <x:c r="J236" s="10" t="n">
        <x:v>0.99</x:v>
      </x:c>
      <x:c r="K236" s="10" t="n">
        <x:v>2.5</x:v>
      </x:c>
      <x:c r="L236" s="10" t="n">
        <x:f>G236*I236</x:f>
        <x:v>9.95</x:v>
      </x:c>
      <x:c r="M236" s="10" t="n">
        <x:f>ROUND((L236-J236)*H236/G236,2)</x:f>
        <x:v>0</x:v>
      </x:c>
      <x:c r="N236" s="10" t="n">
        <x:f>L236-J236-M236</x:f>
        <x:v>8.959999999999999</x:v>
      </x:c>
      <x:c r="O236" s="10" t="n">
        <x:f>(G236-H236)*K236</x:f>
        <x:v>2.5</x:v>
      </x:c>
      <x:c r="P236" s="10" t="n">
        <x:f>N236-O236</x:f>
        <x:v>6.459999999999999</x:v>
      </x:c>
      <x:c r="Q236" s="9" t="n">
        <x:f>A236-WEEKDAY(A236,2)+1</x:f>
        <x:v>46265</x:v>
      </x:c>
      <x:c r="R236" s="2" t="str">
        <x:f>IF(AND(A236&gt;='Review'!$B$4,A236&lt;='Review'!$D$4),"Selected","Outside")</x:f>
        <x:v>Outside</x:v>
      </x:c>
    </x:row>
    <x:row r="237" ht="20" customHeight="1">
      <x:c r="A237" s="9" t="n">
        <x:v>46270</x:v>
      </x:c>
      <x:c r="B237" s="2" t="str">
        <x:v>MM-1170</x:v>
      </x:c>
      <x:c r="C237" s="2" t="str">
        <x:v>Paid Social</x:v>
      </x:c>
      <x:c r="D237" s="2" t="str">
        <x:v>TUM-002</x:v>
      </x:c>
      <x:c r="E237" s="2" t="str">
        <x:f>_xlfn.IFNA(VLOOKUP(D237,'Products'!$A$7:$I$22,2,FALSE),"Unmapped")</x:f>
        <x:v>Cold brew glass cup</x:v>
      </x:c>
      <x:c r="F237" s="2" t="str">
        <x:f>_xlfn.IFNA(VLOOKUP(D237,'Products'!$A$7:$I$22,3,FALSE),"Unmapped")</x:f>
        <x:v>Drinkware</x:v>
      </x:c>
      <x:c r="G237" s="2" t="n">
        <x:v>2</x:v>
      </x:c>
      <x:c r="H237" s="2" t="n">
        <x:v>0</x:v>
      </x:c>
      <x:c r="I237" s="10" t="n">
        <x:v>24.95</x:v>
      </x:c>
      <x:c r="J237" s="10" t="n">
        <x:v>0</x:v>
      </x:c>
      <x:c r="K237" s="10" t="n">
        <x:v>9</x:v>
      </x:c>
      <x:c r="L237" s="10" t="n">
        <x:f>G237*I237</x:f>
        <x:v>49.9</x:v>
      </x:c>
      <x:c r="M237" s="10" t="n">
        <x:f>ROUND((L237-J237)*H237/G237,2)</x:f>
        <x:v>0</x:v>
      </x:c>
      <x:c r="N237" s="10" t="n">
        <x:f>L237-J237-M237</x:f>
        <x:v>49.9</x:v>
      </x:c>
      <x:c r="O237" s="10" t="n">
        <x:f>(G237-H237)*K237</x:f>
        <x:v>18</x:v>
      </x:c>
      <x:c r="P237" s="10" t="n">
        <x:f>N237-O237</x:f>
        <x:v>31.9</x:v>
      </x:c>
      <x:c r="Q237" s="9" t="n">
        <x:f>A237-WEEKDAY(A237,2)+1</x:f>
        <x:v>46265</x:v>
      </x:c>
      <x:c r="R237" s="2" t="str">
        <x:f>IF(AND(A237&gt;='Review'!$B$4,A237&lt;='Review'!$D$4),"Selected","Outside")</x:f>
        <x:v>Outside</x:v>
      </x:c>
    </x:row>
    <x:row r="238" ht="20" customHeight="1">
      <x:c r="A238" s="9" t="n">
        <x:v>46270</x:v>
      </x:c>
      <x:c r="B238" s="2" t="str">
        <x:v>MM-1170</x:v>
      </x:c>
      <x:c r="C238" s="2" t="str">
        <x:v>Paid Social</x:v>
      </x:c>
      <x:c r="D238" s="2" t="str">
        <x:v>APP-003</x:v>
      </x:c>
      <x:c r="E238" s="2" t="str">
        <x:f>_xlfn.IFNA(VLOOKUP(D238,'Products'!$A$7:$I$22,2,FALSE),"Unmapped")</x:f>
        <x:v>Coffee club tee</x:v>
      </x:c>
      <x:c r="F238" s="2" t="str">
        <x:f>_xlfn.IFNA(VLOOKUP(D238,'Products'!$A$7:$I$22,3,FALSE),"Unmapped")</x:f>
        <x:v>Apparel</x:v>
      </x:c>
      <x:c r="G238" s="2" t="n">
        <x:v>3</x:v>
      </x:c>
      <x:c r="H238" s="2" t="n">
        <x:v>0</x:v>
      </x:c>
      <x:c r="I238" s="10" t="n">
        <x:v>29.95</x:v>
      </x:c>
      <x:c r="J238" s="10" t="n">
        <x:v>0</x:v>
      </x:c>
      <x:c r="K238" s="10" t="n">
        <x:v>10</x:v>
      </x:c>
      <x:c r="L238" s="10" t="n">
        <x:f>G238*I238</x:f>
        <x:v>89.85</x:v>
      </x:c>
      <x:c r="M238" s="10" t="n">
        <x:f>ROUND((L238-J238)*H238/G238,2)</x:f>
        <x:v>0</x:v>
      </x:c>
      <x:c r="N238" s="10" t="n">
        <x:f>L238-J238-M238</x:f>
        <x:v>89.85</x:v>
      </x:c>
      <x:c r="O238" s="10" t="n">
        <x:f>(G238-H238)*K238</x:f>
        <x:v>30</x:v>
      </x:c>
      <x:c r="P238" s="10" t="n">
        <x:f>N238-O238</x:f>
        <x:v>59.849999999999994</x:v>
      </x:c>
      <x:c r="Q238" s="9" t="n">
        <x:f>A238-WEEKDAY(A238,2)+1</x:f>
        <x:v>46265</x:v>
      </x:c>
      <x:c r="R238" s="2" t="str">
        <x:f>IF(AND(A238&gt;='Review'!$B$4,A238&lt;='Review'!$D$4),"Selected","Outside")</x:f>
        <x:v>Outside</x:v>
      </x:c>
    </x:row>
    <x:row r="239" ht="20" customHeight="1">
      <x:c r="A239" s="9" t="n">
        <x:v>46270</x:v>
      </x:c>
      <x:c r="B239" s="2" t="str">
        <x:v>MM-1181</x:v>
      </x:c>
      <x:c r="C239" s="2" t="str">
        <x:v>Organic Search</x:v>
      </x:c>
      <x:c r="D239" s="2" t="str">
        <x:v>TOTE-001</x:v>
      </x:c>
      <x:c r="E239" s="2" t="str">
        <x:f>_xlfn.IFNA(VLOOKUP(D239,'Products'!$A$7:$I$22,2,FALSE),"Unmapped")</x:f>
        <x:v>Market canvas tote</x:v>
      </x:c>
      <x:c r="F239" s="2" t="str">
        <x:f>_xlfn.IFNA(VLOOKUP(D239,'Products'!$A$7:$I$22,3,FALSE),"Unmapped")</x:f>
        <x:v>Accessories</x:v>
      </x:c>
      <x:c r="G239" s="2" t="n">
        <x:v>1</x:v>
      </x:c>
      <x:c r="H239" s="2" t="n">
        <x:v>1</x:v>
      </x:c>
      <x:c r="I239" s="10" t="n">
        <x:v>19.95</x:v>
      </x:c>
      <x:c r="J239" s="10" t="n">
        <x:v>0</x:v>
      </x:c>
      <x:c r="K239" s="10" t="n">
        <x:v>6</x:v>
      </x:c>
      <x:c r="L239" s="10" t="n">
        <x:f>G239*I239</x:f>
        <x:v>19.95</x:v>
      </x:c>
      <x:c r="M239" s="10" t="n">
        <x:f>ROUND((L239-J239)*H239/G239,2)</x:f>
        <x:v>19.95</x:v>
      </x:c>
      <x:c r="N239" s="10" t="n">
        <x:f>L239-J239-M239</x:f>
        <x:v>0</x:v>
      </x:c>
      <x:c r="O239" s="10" t="n">
        <x:f>(G239-H239)*K239</x:f>
        <x:v>0</x:v>
      </x:c>
      <x:c r="P239" s="10" t="n">
        <x:f>N239-O239</x:f>
        <x:v>0</x:v>
      </x:c>
      <x:c r="Q239" s="9" t="n">
        <x:f>A239-WEEKDAY(A239,2)+1</x:f>
        <x:v>46265</x:v>
      </x:c>
      <x:c r="R239" s="2" t="str">
        <x:f>IF(AND(A239&gt;='Review'!$B$4,A239&lt;='Review'!$D$4),"Selected","Outside")</x:f>
        <x:v>Outside</x:v>
      </x:c>
    </x:row>
    <x:row r="240" ht="20" customHeight="1">
      <x:c r="A240" s="9" t="n">
        <x:v>46270</x:v>
      </x:c>
      <x:c r="B240" s="2" t="str">
        <x:v>MM-1176</x:v>
      </x:c>
      <x:c r="C240" s="2" t="str">
        <x:v>Email</x:v>
      </x:c>
      <x:c r="D240" s="2" t="str">
        <x:v>TOTE-001</x:v>
      </x:c>
      <x:c r="E240" s="2" t="str">
        <x:f>_xlfn.IFNA(VLOOKUP(D240,'Products'!$A$7:$I$22,2,FALSE),"Unmapped")</x:f>
        <x:v>Market canvas tote</x:v>
      </x:c>
      <x:c r="F240" s="2" t="str">
        <x:f>_xlfn.IFNA(VLOOKUP(D240,'Products'!$A$7:$I$22,3,FALSE),"Unmapped")</x:f>
        <x:v>Accessories</x:v>
      </x:c>
      <x:c r="G240" s="2" t="n">
        <x:v>2</x:v>
      </x:c>
      <x:c r="H240" s="2" t="n">
        <x:v>0</x:v>
      </x:c>
      <x:c r="I240" s="10" t="n">
        <x:v>19.95</x:v>
      </x:c>
      <x:c r="J240" s="10" t="n">
        <x:v>3.99</x:v>
      </x:c>
      <x:c r="K240" s="10" t="n">
        <x:v>6</x:v>
      </x:c>
      <x:c r="L240" s="10" t="n">
        <x:f>G240*I240</x:f>
        <x:v>39.9</x:v>
      </x:c>
      <x:c r="M240" s="10" t="n">
        <x:f>ROUND((L240-J240)*H240/G240,2)</x:f>
        <x:v>0</x:v>
      </x:c>
      <x:c r="N240" s="10" t="n">
        <x:f>L240-J240-M240</x:f>
        <x:v>35.91</x:v>
      </x:c>
      <x:c r="O240" s="10" t="n">
        <x:f>(G240-H240)*K240</x:f>
        <x:v>12</x:v>
      </x:c>
      <x:c r="P240" s="10" t="n">
        <x:f>N240-O240</x:f>
        <x:v>23.909999999999997</x:v>
      </x:c>
      <x:c r="Q240" s="9" t="n">
        <x:f>A240-WEEKDAY(A240,2)+1</x:f>
        <x:v>46265</x:v>
      </x:c>
      <x:c r="R240" s="2" t="str">
        <x:f>IF(AND(A240&gt;='Review'!$B$4,A240&lt;='Review'!$D$4),"Selected","Outside")</x:f>
        <x:v>Outside</x:v>
      </x:c>
    </x:row>
    <x:row r="241" ht="20" customHeight="1">
      <x:c r="A241" s="9" t="n">
        <x:v>46270</x:v>
      </x:c>
      <x:c r="B241" s="2" t="str">
        <x:v>MM-1182</x:v>
      </x:c>
      <x:c r="C241" s="2" t="str">
        <x:v>Email</x:v>
      </x:c>
      <x:c r="D241" s="2" t="str">
        <x:v>TUM-001</x:v>
      </x:c>
      <x:c r="E241" s="2" t="str">
        <x:f>_xlfn.IFNA(VLOOKUP(D241,'Products'!$A$7:$I$22,2,FALSE),"Unmapped")</x:f>
        <x:v>Maple travel tumbler</x:v>
      </x:c>
      <x:c r="F241" s="2" t="str">
        <x:f>_xlfn.IFNA(VLOOKUP(D241,'Products'!$A$7:$I$22,3,FALSE),"Unmapped")</x:f>
        <x:v>Drinkware</x:v>
      </x:c>
      <x:c r="G241" s="2" t="n">
        <x:v>1</x:v>
      </x:c>
      <x:c r="H241" s="2" t="n">
        <x:v>0</x:v>
      </x:c>
      <x:c r="I241" s="10" t="n">
        <x:v>32.95</x:v>
      </x:c>
      <x:c r="J241" s="10" t="n">
        <x:v>3.29</x:v>
      </x:c>
      <x:c r="K241" s="10" t="n">
        <x:v>12</x:v>
      </x:c>
      <x:c r="L241" s="10" t="n">
        <x:f>G241*I241</x:f>
        <x:v>32.95</x:v>
      </x:c>
      <x:c r="M241" s="10" t="n">
        <x:f>ROUND((L241-J241)*H241/G241,2)</x:f>
        <x:v>0</x:v>
      </x:c>
      <x:c r="N241" s="10" t="n">
        <x:f>L241-J241-M241</x:f>
        <x:v>29.660000000000004</x:v>
      </x:c>
      <x:c r="O241" s="10" t="n">
        <x:f>(G241-H241)*K241</x:f>
        <x:v>12</x:v>
      </x:c>
      <x:c r="P241" s="10" t="n">
        <x:f>N241-O241</x:f>
        <x:v>17.660000000000004</x:v>
      </x:c>
      <x:c r="Q241" s="9" t="n">
        <x:f>A241-WEEKDAY(A241,2)+1</x:f>
        <x:v>46265</x:v>
      </x:c>
      <x:c r="R241" s="2" t="str">
        <x:f>IF(AND(A241&gt;='Review'!$B$4,A241&lt;='Review'!$D$4),"Selected","Outside")</x:f>
        <x:v>Outside</x:v>
      </x:c>
    </x:row>
    <x:row r="242" ht="20" customHeight="1">
      <x:c r="A242" s="9" t="n">
        <x:v>46270</x:v>
      </x:c>
      <x:c r="B242" s="2" t="str">
        <x:v>MM-1172</x:v>
      </x:c>
      <x:c r="C242" s="2" t="str">
        <x:v>Organic Search</x:v>
      </x:c>
      <x:c r="D242" s="2" t="str">
        <x:v>APP-001</x:v>
      </x:c>
      <x:c r="E242" s="2" t="str">
        <x:f>_xlfn.IFNA(VLOOKUP(D242,'Products'!$A$7:$I$22,2,FALSE),"Unmapped")</x:f>
        <x:v>Everyday crewneck</x:v>
      </x:c>
      <x:c r="F242" s="2" t="str">
        <x:f>_xlfn.IFNA(VLOOKUP(D242,'Products'!$A$7:$I$22,3,FALSE),"Unmapped")</x:f>
        <x:v>Apparel</x:v>
      </x:c>
      <x:c r="G242" s="2" t="n">
        <x:v>1</x:v>
      </x:c>
      <x:c r="H242" s="2" t="n">
        <x:v>0</x:v>
      </x:c>
      <x:c r="I242" s="10" t="n">
        <x:v>54.95</x:v>
      </x:c>
      <x:c r="J242" s="10" t="n">
        <x:v>0</x:v>
      </x:c>
      <x:c r="K242" s="10" t="n">
        <x:v>22</x:v>
      </x:c>
      <x:c r="L242" s="10" t="n">
        <x:f>G242*I242</x:f>
        <x:v>54.95</x:v>
      </x:c>
      <x:c r="M242" s="10" t="n">
        <x:f>ROUND((L242-J242)*H242/G242,2)</x:f>
        <x:v>0</x:v>
      </x:c>
      <x:c r="N242" s="10" t="n">
        <x:f>L242-J242-M242</x:f>
        <x:v>54.95</x:v>
      </x:c>
      <x:c r="O242" s="10" t="n">
        <x:f>(G242-H242)*K242</x:f>
        <x:v>22</x:v>
      </x:c>
      <x:c r="P242" s="10" t="n">
        <x:f>N242-O242</x:f>
        <x:v>32.95</x:v>
      </x:c>
      <x:c r="Q242" s="9" t="n">
        <x:f>A242-WEEKDAY(A242,2)+1</x:f>
        <x:v>46265</x:v>
      </x:c>
      <x:c r="R242" s="2" t="str">
        <x:f>IF(AND(A242&gt;='Review'!$B$4,A242&lt;='Review'!$D$4),"Selected","Outside")</x:f>
        <x:v>Outside</x:v>
      </x:c>
    </x:row>
    <x:row r="243" ht="20" customHeight="1">
      <x:c r="A243" s="9" t="n">
        <x:v>46270</x:v>
      </x:c>
      <x:c r="B243" s="2" t="str">
        <x:v>MM-1172</x:v>
      </x:c>
      <x:c r="C243" s="2" t="str">
        <x:v>Organic Search</x:v>
      </x:c>
      <x:c r="D243" s="2" t="str">
        <x:v>KEY-001</x:v>
      </x:c>
      <x:c r="E243" s="2" t="str">
        <x:f>_xlfn.IFNA(VLOOKUP(D243,'Products'!$A$7:$I$22,2,FALSE),"Unmapped")</x:f>
        <x:v>Maple keyring</x:v>
      </x:c>
      <x:c r="F243" s="2" t="str">
        <x:f>_xlfn.IFNA(VLOOKUP(D243,'Products'!$A$7:$I$22,3,FALSE),"Unmapped")</x:f>
        <x:v>Accessories</x:v>
      </x:c>
      <x:c r="G243" s="2" t="n">
        <x:v>1</x:v>
      </x:c>
      <x:c r="H243" s="2" t="n">
        <x:v>0</x:v>
      </x:c>
      <x:c r="I243" s="10" t="n">
        <x:v>12.95</x:v>
      </x:c>
      <x:c r="J243" s="10" t="n">
        <x:v>0</x:v>
      </x:c>
      <x:c r="K243" s="10" t="n">
        <x:v>3.5</x:v>
      </x:c>
      <x:c r="L243" s="10" t="n">
        <x:f>G243*I243</x:f>
        <x:v>12.95</x:v>
      </x:c>
      <x:c r="M243" s="10" t="n">
        <x:f>ROUND((L243-J243)*H243/G243,2)</x:f>
        <x:v>0</x:v>
      </x:c>
      <x:c r="N243" s="10" t="n">
        <x:f>L243-J243-M243</x:f>
        <x:v>12.95</x:v>
      </x:c>
      <x:c r="O243" s="10" t="n">
        <x:f>(G243-H243)*K243</x:f>
        <x:v>3.5</x:v>
      </x:c>
      <x:c r="P243" s="10" t="n">
        <x:f>N243-O243</x:f>
        <x:v>9.45</x:v>
      </x:c>
      <x:c r="Q243" s="9" t="n">
        <x:f>A243-WEEKDAY(A243,2)+1</x:f>
        <x:v>46265</x:v>
      </x:c>
      <x:c r="R243" s="2" t="str">
        <x:f>IF(AND(A243&gt;='Review'!$B$4,A243&lt;='Review'!$D$4),"Selected","Outside")</x:f>
        <x:v>Outside</x:v>
      </x:c>
    </x:row>
    <x:row r="244" ht="20" customHeight="1">
      <x:c r="A244" s="9" t="n">
        <x:v>46270</x:v>
      </x:c>
      <x:c r="B244" s="2" t="str">
        <x:v>MM-1173</x:v>
      </x:c>
      <x:c r="C244" s="2" t="str">
        <x:v>Email</x:v>
      </x:c>
      <x:c r="D244" s="2" t="str">
        <x:v>TOTE-001</x:v>
      </x:c>
      <x:c r="E244" s="2" t="str">
        <x:f>_xlfn.IFNA(VLOOKUP(D244,'Products'!$A$7:$I$22,2,FALSE),"Unmapped")</x:f>
        <x:v>Market canvas tote</x:v>
      </x:c>
      <x:c r="F244" s="2" t="str">
        <x:f>_xlfn.IFNA(VLOOKUP(D244,'Products'!$A$7:$I$22,3,FALSE),"Unmapped")</x:f>
        <x:v>Accessories</x:v>
      </x:c>
      <x:c r="G244" s="2" t="n">
        <x:v>1</x:v>
      </x:c>
      <x:c r="H244" s="2" t="n">
        <x:v>0</x:v>
      </x:c>
      <x:c r="I244" s="10" t="n">
        <x:v>19.95</x:v>
      </x:c>
      <x:c r="J244" s="10" t="n">
        <x:v>1.99</x:v>
      </x:c>
      <x:c r="K244" s="10" t="n">
        <x:v>6</x:v>
      </x:c>
      <x:c r="L244" s="10" t="n">
        <x:f>G244*I244</x:f>
        <x:v>19.95</x:v>
      </x:c>
      <x:c r="M244" s="10" t="n">
        <x:f>ROUND((L244-J244)*H244/G244,2)</x:f>
        <x:v>0</x:v>
      </x:c>
      <x:c r="N244" s="10" t="n">
        <x:f>L244-J244-M244</x:f>
        <x:v>17.96</x:v>
      </x:c>
      <x:c r="O244" s="10" t="n">
        <x:f>(G244-H244)*K244</x:f>
        <x:v>6</x:v>
      </x:c>
      <x:c r="P244" s="10" t="n">
        <x:f>N244-O244</x:f>
        <x:v>11.96</x:v>
      </x:c>
      <x:c r="Q244" s="9" t="n">
        <x:f>A244-WEEKDAY(A244,2)+1</x:f>
        <x:v>46265</x:v>
      </x:c>
      <x:c r="R244" s="2" t="str">
        <x:f>IF(AND(A244&gt;='Review'!$B$4,A244&lt;='Review'!$D$4),"Selected","Outside")</x:f>
        <x:v>Outside</x:v>
      </x:c>
    </x:row>
    <x:row r="245" ht="20" customHeight="1">
      <x:c r="A245" s="9" t="n">
        <x:v>46270</x:v>
      </x:c>
      <x:c r="B245" s="2" t="str">
        <x:v>MM-1171</x:v>
      </x:c>
      <x:c r="C245" s="2" t="str">
        <x:v>Email</x:v>
      </x:c>
      <x:c r="D245" s="2" t="str">
        <x:v>TOTE-001</x:v>
      </x:c>
      <x:c r="E245" s="2" t="str">
        <x:f>_xlfn.IFNA(VLOOKUP(D245,'Products'!$A$7:$I$22,2,FALSE),"Unmapped")</x:f>
        <x:v>Market canvas tote</x:v>
      </x:c>
      <x:c r="F245" s="2" t="str">
        <x:f>_xlfn.IFNA(VLOOKUP(D245,'Products'!$A$7:$I$22,3,FALSE),"Unmapped")</x:f>
        <x:v>Accessories</x:v>
      </x:c>
      <x:c r="G245" s="2" t="n">
        <x:v>3</x:v>
      </x:c>
      <x:c r="H245" s="2" t="n">
        <x:v>1</x:v>
      </x:c>
      <x:c r="I245" s="10" t="n">
        <x:v>19.95</x:v>
      </x:c>
      <x:c r="J245" s="10" t="n">
        <x:v>5.98</x:v>
      </x:c>
      <x:c r="K245" s="10" t="n">
        <x:v>6</x:v>
      </x:c>
      <x:c r="L245" s="10" t="n">
        <x:f>G245*I245</x:f>
        <x:v>59.849999999999994</x:v>
      </x:c>
      <x:c r="M245" s="10" t="n">
        <x:f>ROUND((L245-J245)*H245/G245,2)</x:f>
        <x:v>17.96</x:v>
      </x:c>
      <x:c r="N245" s="10" t="n">
        <x:f>L245-J245-M245</x:f>
        <x:v>35.90999999999999</x:v>
      </x:c>
      <x:c r="O245" s="10" t="n">
        <x:f>(G245-H245)*K245</x:f>
        <x:v>12</x:v>
      </x:c>
      <x:c r="P245" s="10" t="n">
        <x:f>N245-O245</x:f>
        <x:v>23.90999999999999</x:v>
      </x:c>
      <x:c r="Q245" s="9" t="n">
        <x:f>A245-WEEKDAY(A245,2)+1</x:f>
        <x:v>46265</x:v>
      </x:c>
      <x:c r="R245" s="2" t="str">
        <x:f>IF(AND(A245&gt;='Review'!$B$4,A245&lt;='Review'!$D$4),"Selected","Outside")</x:f>
        <x:v>Outside</x:v>
      </x:c>
    </x:row>
    <x:row r="246" ht="20" customHeight="1">
      <x:c r="A246" s="9" t="n">
        <x:v>46270</x:v>
      </x:c>
      <x:c r="B246" s="2" t="str">
        <x:v>MM-1177</x:v>
      </x:c>
      <x:c r="C246" s="2" t="str">
        <x:v>Paid Social</x:v>
      </x:c>
      <x:c r="D246" s="2" t="str">
        <x:v>APP-001</x:v>
      </x:c>
      <x:c r="E246" s="2" t="str">
        <x:f>_xlfn.IFNA(VLOOKUP(D246,'Products'!$A$7:$I$22,2,FALSE),"Unmapped")</x:f>
        <x:v>Everyday crewneck</x:v>
      </x:c>
      <x:c r="F246" s="2" t="str">
        <x:f>_xlfn.IFNA(VLOOKUP(D246,'Products'!$A$7:$I$22,3,FALSE),"Unmapped")</x:f>
        <x:v>Apparel</x:v>
      </x:c>
      <x:c r="G246" s="2" t="n">
        <x:v>1</x:v>
      </x:c>
      <x:c r="H246" s="2" t="n">
        <x:v>0</x:v>
      </x:c>
      <x:c r="I246" s="10" t="n">
        <x:v>54.95</x:v>
      </x:c>
      <x:c r="J246" s="10" t="n">
        <x:v>0</x:v>
      </x:c>
      <x:c r="K246" s="10" t="n">
        <x:v>22</x:v>
      </x:c>
      <x:c r="L246" s="10" t="n">
        <x:f>G246*I246</x:f>
        <x:v>54.95</x:v>
      </x:c>
      <x:c r="M246" s="10" t="n">
        <x:f>ROUND((L246-J246)*H246/G246,2)</x:f>
        <x:v>0</x:v>
      </x:c>
      <x:c r="N246" s="10" t="n">
        <x:f>L246-J246-M246</x:f>
        <x:v>54.95</x:v>
      </x:c>
      <x:c r="O246" s="10" t="n">
        <x:f>(G246-H246)*K246</x:f>
        <x:v>22</x:v>
      </x:c>
      <x:c r="P246" s="10" t="n">
        <x:f>N246-O246</x:f>
        <x:v>32.95</x:v>
      </x:c>
      <x:c r="Q246" s="9" t="n">
        <x:f>A246-WEEKDAY(A246,2)+1</x:f>
        <x:v>46265</x:v>
      </x:c>
      <x:c r="R246" s="2" t="str">
        <x:f>IF(AND(A246&gt;='Review'!$B$4,A246&lt;='Review'!$D$4),"Selected","Outside")</x:f>
        <x:v>Outside</x:v>
      </x:c>
    </x:row>
    <x:row r="247" ht="20" customHeight="1">
      <x:c r="A247" s="9" t="n">
        <x:v>46270</x:v>
      </x:c>
      <x:c r="B247" s="2" t="str">
        <x:v>MM-1177</x:v>
      </x:c>
      <x:c r="C247" s="2" t="str">
        <x:v>Paid Social</x:v>
      </x:c>
      <x:c r="D247" s="2" t="str">
        <x:v>TUM-001</x:v>
      </x:c>
      <x:c r="E247" s="2" t="str">
        <x:f>_xlfn.IFNA(VLOOKUP(D247,'Products'!$A$7:$I$22,2,FALSE),"Unmapped")</x:f>
        <x:v>Maple travel tumbler</x:v>
      </x:c>
      <x:c r="F247" s="2" t="str">
        <x:f>_xlfn.IFNA(VLOOKUP(D247,'Products'!$A$7:$I$22,3,FALSE),"Unmapped")</x:f>
        <x:v>Drinkware</x:v>
      </x:c>
      <x:c r="G247" s="2" t="n">
        <x:v>3</x:v>
      </x:c>
      <x:c r="H247" s="2" t="n">
        <x:v>0</x:v>
      </x:c>
      <x:c r="I247" s="10" t="n">
        <x:v>32.95</x:v>
      </x:c>
      <x:c r="J247" s="10" t="n">
        <x:v>0</x:v>
      </x:c>
      <x:c r="K247" s="10" t="n">
        <x:v>12</x:v>
      </x:c>
      <x:c r="L247" s="10" t="n">
        <x:f>G247*I247</x:f>
        <x:v>98.85000000000001</x:v>
      </x:c>
      <x:c r="M247" s="10" t="n">
        <x:f>ROUND((L247-J247)*H247/G247,2)</x:f>
        <x:v>0</x:v>
      </x:c>
      <x:c r="N247" s="10" t="n">
        <x:f>L247-J247-M247</x:f>
        <x:v>98.85000000000001</x:v>
      </x:c>
      <x:c r="O247" s="10" t="n">
        <x:f>(G247-H247)*K247</x:f>
        <x:v>36</x:v>
      </x:c>
      <x:c r="P247" s="10" t="n">
        <x:f>N247-O247</x:f>
        <x:v>62.85000000000001</x:v>
      </x:c>
      <x:c r="Q247" s="9" t="n">
        <x:f>A247-WEEKDAY(A247,2)+1</x:f>
        <x:v>46265</x:v>
      </x:c>
      <x:c r="R247" s="2" t="str">
        <x:f>IF(AND(A247&gt;='Review'!$B$4,A247&lt;='Review'!$D$4),"Selected","Outside")</x:f>
        <x:v>Outside</x:v>
      </x:c>
    </x:row>
    <x:row r="248" ht="20" customHeight="1">
      <x:c r="A248" s="9" t="n">
        <x:v>46270</x:v>
      </x:c>
      <x:c r="B248" s="2" t="str">
        <x:v>MM-1180</x:v>
      </x:c>
      <x:c r="C248" s="2" t="str">
        <x:v>Paid Social</x:v>
      </x:c>
      <x:c r="D248" s="2" t="str">
        <x:v>TUM-001</x:v>
      </x:c>
      <x:c r="E248" s="2" t="str">
        <x:f>_xlfn.IFNA(VLOOKUP(D248,'Products'!$A$7:$I$22,2,FALSE),"Unmapped")</x:f>
        <x:v>Maple travel tumbler</x:v>
      </x:c>
      <x:c r="F248" s="2" t="str">
        <x:f>_xlfn.IFNA(VLOOKUP(D248,'Products'!$A$7:$I$22,3,FALSE),"Unmapped")</x:f>
        <x:v>Drinkware</x:v>
      </x:c>
      <x:c r="G248" s="2" t="n">
        <x:v>1</x:v>
      </x:c>
      <x:c r="H248" s="2" t="n">
        <x:v>0</x:v>
      </x:c>
      <x:c r="I248" s="10" t="n">
        <x:v>32.95</x:v>
      </x:c>
      <x:c r="J248" s="10" t="n">
        <x:v>0</x:v>
      </x:c>
      <x:c r="K248" s="10" t="n">
        <x:v>12</x:v>
      </x:c>
      <x:c r="L248" s="10" t="n">
        <x:f>G248*I248</x:f>
        <x:v>32.95</x:v>
      </x:c>
      <x:c r="M248" s="10" t="n">
        <x:f>ROUND((L248-J248)*H248/G248,2)</x:f>
        <x:v>0</x:v>
      </x:c>
      <x:c r="N248" s="10" t="n">
        <x:f>L248-J248-M248</x:f>
        <x:v>32.95</x:v>
      </x:c>
      <x:c r="O248" s="10" t="n">
        <x:f>(G248-H248)*K248</x:f>
        <x:v>12</x:v>
      </x:c>
      <x:c r="P248" s="10" t="n">
        <x:f>N248-O248</x:f>
        <x:v>20.950000000000003</x:v>
      </x:c>
      <x:c r="Q248" s="9" t="n">
        <x:f>A248-WEEKDAY(A248,2)+1</x:f>
        <x:v>46265</x:v>
      </x:c>
      <x:c r="R248" s="2" t="str">
        <x:f>IF(AND(A248&gt;='Review'!$B$4,A248&lt;='Review'!$D$4),"Selected","Outside")</x:f>
        <x:v>Outside</x:v>
      </x:c>
    </x:row>
    <x:row r="249" ht="20" customHeight="1">
      <x:c r="A249" s="9" t="n">
        <x:v>46270</x:v>
      </x:c>
      <x:c r="B249" s="2" t="str">
        <x:v>MM-1180</x:v>
      </x:c>
      <x:c r="C249" s="2" t="str">
        <x:v>Paid Social</x:v>
      </x:c>
      <x:c r="D249" s="2" t="str">
        <x:v>BOT-001</x:v>
      </x:c>
      <x:c r="E249" s="2" t="str">
        <x:f>_xlfn.IFNA(VLOOKUP(D249,'Products'!$A$7:$I$22,2,FALSE),"Unmapped")</x:f>
        <x:v>Trail water bottle</x:v>
      </x:c>
      <x:c r="F249" s="2" t="str">
        <x:f>_xlfn.IFNA(VLOOKUP(D249,'Products'!$A$7:$I$22,3,FALSE),"Unmapped")</x:f>
        <x:v>Drinkware</x:v>
      </x:c>
      <x:c r="G249" s="2" t="n">
        <x:v>3</x:v>
      </x:c>
      <x:c r="H249" s="2" t="n">
        <x:v>0</x:v>
      </x:c>
      <x:c r="I249" s="10" t="n">
        <x:v>34.95</x:v>
      </x:c>
      <x:c r="J249" s="10" t="n">
        <x:v>0</x:v>
      </x:c>
      <x:c r="K249" s="10" t="n">
        <x:v>13.5</x:v>
      </x:c>
      <x:c r="L249" s="10" t="n">
        <x:f>G249*I249</x:f>
        <x:v>104.85000000000001</x:v>
      </x:c>
      <x:c r="M249" s="10" t="n">
        <x:f>ROUND((L249-J249)*H249/G249,2)</x:f>
        <x:v>0</x:v>
      </x:c>
      <x:c r="N249" s="10" t="n">
        <x:f>L249-J249-M249</x:f>
        <x:v>104.85000000000001</x:v>
      </x:c>
      <x:c r="O249" s="10" t="n">
        <x:f>(G249-H249)*K249</x:f>
        <x:v>40.5</x:v>
      </x:c>
      <x:c r="P249" s="10" t="n">
        <x:f>N249-O249</x:f>
        <x:v>64.35000000000001</x:v>
      </x:c>
      <x:c r="Q249" s="9" t="n">
        <x:f>A249-WEEKDAY(A249,2)+1</x:f>
        <x:v>46265</x:v>
      </x:c>
      <x:c r="R249" s="2" t="str">
        <x:f>IF(AND(A249&gt;='Review'!$B$4,A249&lt;='Review'!$D$4),"Selected","Outside")</x:f>
        <x:v>Outside</x:v>
      </x:c>
    </x:row>
    <x:row r="250" ht="20" customHeight="1">
      <x:c r="A250" s="9" t="n">
        <x:v>46271</x:v>
      </x:c>
      <x:c r="B250" s="2" t="str">
        <x:v>MM-1190</x:v>
      </x:c>
      <x:c r="C250" s="2" t="str">
        <x:v>Organic Search</x:v>
      </x:c>
      <x:c r="D250" s="2" t="str">
        <x:v>KEY-001</x:v>
      </x:c>
      <x:c r="E250" s="2" t="str">
        <x:f>_xlfn.IFNA(VLOOKUP(D250,'Products'!$A$7:$I$22,2,FALSE),"Unmapped")</x:f>
        <x:v>Maple keyring</x:v>
      </x:c>
      <x:c r="F250" s="2" t="str">
        <x:f>_xlfn.IFNA(VLOOKUP(D250,'Products'!$A$7:$I$22,3,FALSE),"Unmapped")</x:f>
        <x:v>Accessories</x:v>
      </x:c>
      <x:c r="G250" s="2" t="n">
        <x:v>1</x:v>
      </x:c>
      <x:c r="H250" s="2" t="n">
        <x:v>0</x:v>
      </x:c>
      <x:c r="I250" s="10" t="n">
        <x:v>12.95</x:v>
      </x:c>
      <x:c r="J250" s="10" t="n">
        <x:v>1.29</x:v>
      </x:c>
      <x:c r="K250" s="10" t="n">
        <x:v>3.5</x:v>
      </x:c>
      <x:c r="L250" s="10" t="n">
        <x:f>G250*I250</x:f>
        <x:v>12.95</x:v>
      </x:c>
      <x:c r="M250" s="10" t="n">
        <x:f>ROUND((L250-J250)*H250/G250,2)</x:f>
        <x:v>0</x:v>
      </x:c>
      <x:c r="N250" s="10" t="n">
        <x:f>L250-J250-M250</x:f>
        <x:v>11.66</x:v>
      </x:c>
      <x:c r="O250" s="10" t="n">
        <x:f>(G250-H250)*K250</x:f>
        <x:v>3.5</x:v>
      </x:c>
      <x:c r="P250" s="10" t="n">
        <x:f>N250-O250</x:f>
        <x:v>8.16</x:v>
      </x:c>
      <x:c r="Q250" s="9" t="n">
        <x:f>A250-WEEKDAY(A250,2)+1</x:f>
        <x:v>46265</x:v>
      </x:c>
      <x:c r="R250" s="2" t="str">
        <x:f>IF(AND(A250&gt;='Review'!$B$4,A250&lt;='Review'!$D$4),"Selected","Outside")</x:f>
        <x:v>Outside</x:v>
      </x:c>
    </x:row>
    <x:row r="251" ht="20" customHeight="1">
      <x:c r="A251" s="9" t="n">
        <x:v>46271</x:v>
      </x:c>
      <x:c r="B251" s="2" t="str">
        <x:v>MM-1209</x:v>
      </x:c>
      <x:c r="C251" s="2" t="str">
        <x:v>Email</x:v>
      </x:c>
      <x:c r="D251" s="2" t="str">
        <x:v>GFT-002</x:v>
      </x:c>
      <x:c r="E251" s="2" t="str">
        <x:f>_xlfn.IFNA(VLOOKUP(D251,'Products'!$A$7:$I$22,2,FALSE),"Unmapped")</x:f>
        <x:v>Cozy weekend gift box</x:v>
      </x:c>
      <x:c r="F251" s="2" t="str">
        <x:f>_xlfn.IFNA(VLOOKUP(D251,'Products'!$A$7:$I$22,3,FALSE),"Unmapped")</x:f>
        <x:v>Gifts</x:v>
      </x:c>
      <x:c r="G251" s="2" t="n">
        <x:v>1</x:v>
      </x:c>
      <x:c r="H251" s="2" t="n">
        <x:v>0</x:v>
      </x:c>
      <x:c r="I251" s="10" t="n">
        <x:v>79.95</x:v>
      </x:c>
      <x:c r="J251" s="10" t="n">
        <x:v>7.99</x:v>
      </x:c>
      <x:c r="K251" s="10" t="n">
        <x:v>32</x:v>
      </x:c>
      <x:c r="L251" s="10" t="n">
        <x:f>G251*I251</x:f>
        <x:v>79.95</x:v>
      </x:c>
      <x:c r="M251" s="10" t="n">
        <x:f>ROUND((L251-J251)*H251/G251,2)</x:f>
        <x:v>0</x:v>
      </x:c>
      <x:c r="N251" s="10" t="n">
        <x:f>L251-J251-M251</x:f>
        <x:v>71.96000000000001</x:v>
      </x:c>
      <x:c r="O251" s="10" t="n">
        <x:f>(G251-H251)*K251</x:f>
        <x:v>32</x:v>
      </x:c>
      <x:c r="P251" s="10" t="n">
        <x:f>N251-O251</x:f>
        <x:v>39.96000000000001</x:v>
      </x:c>
      <x:c r="Q251" s="9" t="n">
        <x:f>A251-WEEKDAY(A251,2)+1</x:f>
        <x:v>46265</x:v>
      </x:c>
      <x:c r="R251" s="2" t="str">
        <x:f>IF(AND(A251&gt;='Review'!$B$4,A251&lt;='Review'!$D$4),"Selected","Outside")</x:f>
        <x:v>Outside</x:v>
      </x:c>
    </x:row>
    <x:row r="252" ht="20" customHeight="1">
      <x:c r="A252" s="9" t="n">
        <x:v>46271</x:v>
      </x:c>
      <x:c r="B252" s="2" t="str">
        <x:v>MM-1200</x:v>
      </x:c>
      <x:c r="C252" s="2" t="str">
        <x:v>Paid Social</x:v>
      </x:c>
      <x:c r="D252" s="2" t="str">
        <x:v>MUG-002</x:v>
      </x:c>
      <x:c r="E252" s="2" t="str">
        <x:f>_xlfn.IFNA(VLOOKUP(D252,'Products'!$A$7:$I$22,2,FALSE),"Unmapped")</x:f>
        <x:v>Campfire enamel mug</x:v>
      </x:c>
      <x:c r="F252" s="2" t="str">
        <x:f>_xlfn.IFNA(VLOOKUP(D252,'Products'!$A$7:$I$22,3,FALSE),"Unmapped")</x:f>
        <x:v>Drinkware</x:v>
      </x:c>
      <x:c r="G252" s="2" t="n">
        <x:v>3</x:v>
      </x:c>
      <x:c r="H252" s="2" t="n">
        <x:v>0</x:v>
      </x:c>
      <x:c r="I252" s="10" t="n">
        <x:v>22.95</x:v>
      </x:c>
      <x:c r="J252" s="10" t="n">
        <x:v>6.88</x:v>
      </x:c>
      <x:c r="K252" s="10" t="n">
        <x:v>8.5</x:v>
      </x:c>
      <x:c r="L252" s="10" t="n">
        <x:f>G252*I252</x:f>
        <x:v>68.85</x:v>
      </x:c>
      <x:c r="M252" s="10" t="n">
        <x:f>ROUND((L252-J252)*H252/G252,2)</x:f>
        <x:v>0</x:v>
      </x:c>
      <x:c r="N252" s="10" t="n">
        <x:f>L252-J252-M252</x:f>
        <x:v>61.96999999999999</x:v>
      </x:c>
      <x:c r="O252" s="10" t="n">
        <x:f>(G252-H252)*K252</x:f>
        <x:v>25.5</x:v>
      </x:c>
      <x:c r="P252" s="10" t="n">
        <x:f>N252-O252</x:f>
        <x:v>36.46999999999999</x:v>
      </x:c>
      <x:c r="Q252" s="9" t="n">
        <x:f>A252-WEEKDAY(A252,2)+1</x:f>
        <x:v>46265</x:v>
      </x:c>
      <x:c r="R252" s="2" t="str">
        <x:f>IF(AND(A252&gt;='Review'!$B$4,A252&lt;='Review'!$D$4),"Selected","Outside")</x:f>
        <x:v>Outside</x:v>
      </x:c>
    </x:row>
    <x:row r="253" ht="20" customHeight="1">
      <x:c r="A253" s="9" t="n">
        <x:v>46271</x:v>
      </x:c>
      <x:c r="B253" s="2" t="str">
        <x:v>MM-1200</x:v>
      </x:c>
      <x:c r="C253" s="2" t="str">
        <x:v>Paid Social</x:v>
      </x:c>
      <x:c r="D253" s="2" t="str">
        <x:v>MUG-001</x:v>
      </x:c>
      <x:c r="E253" s="2" t="str">
        <x:f>_xlfn.IFNA(VLOOKUP(D253,'Products'!$A$7:$I$22,2,FALSE),"Unmapped")</x:f>
        <x:v>Everyday ceramic mug</x:v>
      </x:c>
      <x:c r="F253" s="2" t="str">
        <x:f>_xlfn.IFNA(VLOOKUP(D253,'Products'!$A$7:$I$22,3,FALSE),"Unmapped")</x:f>
        <x:v>Drinkware</x:v>
      </x:c>
      <x:c r="G253" s="2" t="n">
        <x:v>1</x:v>
      </x:c>
      <x:c r="H253" s="2" t="n">
        <x:v>0</x:v>
      </x:c>
      <x:c r="I253" s="10" t="n">
        <x:v>18.95</x:v>
      </x:c>
      <x:c r="J253" s="10" t="n">
        <x:v>0</x:v>
      </x:c>
      <x:c r="K253" s="10" t="n">
        <x:v>6.5</x:v>
      </x:c>
      <x:c r="L253" s="10" t="n">
        <x:f>G253*I253</x:f>
        <x:v>18.95</x:v>
      </x:c>
      <x:c r="M253" s="10" t="n">
        <x:f>ROUND((L253-J253)*H253/G253,2)</x:f>
        <x:v>0</x:v>
      </x:c>
      <x:c r="N253" s="10" t="n">
        <x:f>L253-J253-M253</x:f>
        <x:v>18.95</x:v>
      </x:c>
      <x:c r="O253" s="10" t="n">
        <x:f>(G253-H253)*K253</x:f>
        <x:v>6.5</x:v>
      </x:c>
      <x:c r="P253" s="10" t="n">
        <x:f>N253-O253</x:f>
        <x:v>12.45</x:v>
      </x:c>
      <x:c r="Q253" s="9" t="n">
        <x:f>A253-WEEKDAY(A253,2)+1</x:f>
        <x:v>46265</x:v>
      </x:c>
      <x:c r="R253" s="2" t="str">
        <x:f>IF(AND(A253&gt;='Review'!$B$4,A253&lt;='Review'!$D$4),"Selected","Outside")</x:f>
        <x:v>Outside</x:v>
      </x:c>
    </x:row>
    <x:row r="254" ht="20" customHeight="1">
      <x:c r="A254" s="9" t="n">
        <x:v>46271</x:v>
      </x:c>
      <x:c r="B254" s="2" t="str">
        <x:v>MM-1200</x:v>
      </x:c>
      <x:c r="C254" s="2" t="str">
        <x:v>Paid Social</x:v>
      </x:c>
      <x:c r="D254" s="2" t="str">
        <x:v>BOT-001</x:v>
      </x:c>
      <x:c r="E254" s="2" t="str">
        <x:f>_xlfn.IFNA(VLOOKUP(D254,'Products'!$A$7:$I$22,2,FALSE),"Unmapped")</x:f>
        <x:v>Trail water bottle</x:v>
      </x:c>
      <x:c r="F254" s="2" t="str">
        <x:f>_xlfn.IFNA(VLOOKUP(D254,'Products'!$A$7:$I$22,3,FALSE),"Unmapped")</x:f>
        <x:v>Drinkware</x:v>
      </x:c>
      <x:c r="G254" s="2" t="n">
        <x:v>2</x:v>
      </x:c>
      <x:c r="H254" s="2" t="n">
        <x:v>0</x:v>
      </x:c>
      <x:c r="I254" s="10" t="n">
        <x:v>34.95</x:v>
      </x:c>
      <x:c r="J254" s="10" t="n">
        <x:v>0</x:v>
      </x:c>
      <x:c r="K254" s="10" t="n">
        <x:v>13.5</x:v>
      </x:c>
      <x:c r="L254" s="10" t="n">
        <x:f>G254*I254</x:f>
        <x:v>69.9</x:v>
      </x:c>
      <x:c r="M254" s="10" t="n">
        <x:f>ROUND((L254-J254)*H254/G254,2)</x:f>
        <x:v>0</x:v>
      </x:c>
      <x:c r="N254" s="10" t="n">
        <x:f>L254-J254-M254</x:f>
        <x:v>69.9</x:v>
      </x:c>
      <x:c r="O254" s="10" t="n">
        <x:f>(G254-H254)*K254</x:f>
        <x:v>27</x:v>
      </x:c>
      <x:c r="P254" s="10" t="n">
        <x:f>N254-O254</x:f>
        <x:v>42.900000000000006</x:v>
      </x:c>
      <x:c r="Q254" s="9" t="n">
        <x:f>A254-WEEKDAY(A254,2)+1</x:f>
        <x:v>46265</x:v>
      </x:c>
      <x:c r="R254" s="2" t="str">
        <x:f>IF(AND(A254&gt;='Review'!$B$4,A254&lt;='Review'!$D$4),"Selected","Outside")</x:f>
        <x:v>Outside</x:v>
      </x:c>
    </x:row>
    <x:row r="255" ht="20" customHeight="1">
      <x:c r="A255" s="9" t="n">
        <x:v>46271</x:v>
      </x:c>
      <x:c r="B255" s="2" t="str">
        <x:v>MM-1189</x:v>
      </x:c>
      <x:c r="C255" s="2" t="str">
        <x:v>Paid Social</x:v>
      </x:c>
      <x:c r="D255" s="2" t="str">
        <x:v>GFT-002</x:v>
      </x:c>
      <x:c r="E255" s="2" t="str">
        <x:f>_xlfn.IFNA(VLOOKUP(D255,'Products'!$A$7:$I$22,2,FALSE),"Unmapped")</x:f>
        <x:v>Cozy weekend gift box</x:v>
      </x:c>
      <x:c r="F255" s="2" t="str">
        <x:f>_xlfn.IFNA(VLOOKUP(D255,'Products'!$A$7:$I$22,3,FALSE),"Unmapped")</x:f>
        <x:v>Gifts</x:v>
      </x:c>
      <x:c r="G255" s="2" t="n">
        <x:v>1</x:v>
      </x:c>
      <x:c r="H255" s="2" t="n">
        <x:v>0</x:v>
      </x:c>
      <x:c r="I255" s="10" t="n">
        <x:v>79.95</x:v>
      </x:c>
      <x:c r="J255" s="10" t="n">
        <x:v>0</x:v>
      </x:c>
      <x:c r="K255" s="10" t="n">
        <x:v>32</x:v>
      </x:c>
      <x:c r="L255" s="10" t="n">
        <x:f>G255*I255</x:f>
        <x:v>79.95</x:v>
      </x:c>
      <x:c r="M255" s="10" t="n">
        <x:f>ROUND((L255-J255)*H255/G255,2)</x:f>
        <x:v>0</x:v>
      </x:c>
      <x:c r="N255" s="10" t="n">
        <x:f>L255-J255-M255</x:f>
        <x:v>79.95</x:v>
      </x:c>
      <x:c r="O255" s="10" t="n">
        <x:f>(G255-H255)*K255</x:f>
        <x:v>32</x:v>
      </x:c>
      <x:c r="P255" s="10" t="n">
        <x:f>N255-O255</x:f>
        <x:v>47.95</x:v>
      </x:c>
      <x:c r="Q255" s="9" t="n">
        <x:f>A255-WEEKDAY(A255,2)+1</x:f>
        <x:v>46265</x:v>
      </x:c>
      <x:c r="R255" s="2" t="str">
        <x:f>IF(AND(A255&gt;='Review'!$B$4,A255&lt;='Review'!$D$4),"Selected","Outside")</x:f>
        <x:v>Outside</x:v>
      </x:c>
    </x:row>
    <x:row r="256" ht="20" customHeight="1">
      <x:c r="A256" s="9" t="n">
        <x:v>46271</x:v>
      </x:c>
      <x:c r="B256" s="2" t="str">
        <x:v>MM-1195</x:v>
      </x:c>
      <x:c r="C256" s="2" t="str">
        <x:v>Direct</x:v>
      </x:c>
      <x:c r="D256" s="2" t="str">
        <x:v>APP-002</x:v>
      </x:c>
      <x:c r="E256" s="2" t="str">
        <x:f>_xlfn.IFNA(VLOOKUP(D256,'Products'!$A$7:$I$22,2,FALSE),"Unmapped")</x:f>
        <x:v>Weekend hoodie</x:v>
      </x:c>
      <x:c r="F256" s="2" t="str">
        <x:f>_xlfn.IFNA(VLOOKUP(D256,'Products'!$A$7:$I$22,3,FALSE),"Unmapped")</x:f>
        <x:v>Apparel</x:v>
      </x:c>
      <x:c r="G256" s="2" t="n">
        <x:v>1</x:v>
      </x:c>
      <x:c r="H256" s="2" t="n">
        <x:v>0</x:v>
      </x:c>
      <x:c r="I256" s="10" t="n">
        <x:v>69.95</x:v>
      </x:c>
      <x:c r="J256" s="10" t="n">
        <x:v>0</x:v>
      </x:c>
      <x:c r="K256" s="10" t="n">
        <x:v>28</x:v>
      </x:c>
      <x:c r="L256" s="10" t="n">
        <x:f>G256*I256</x:f>
        <x:v>69.95</x:v>
      </x:c>
      <x:c r="M256" s="10" t="n">
        <x:f>ROUND((L256-J256)*H256/G256,2)</x:f>
        <x:v>0</x:v>
      </x:c>
      <x:c r="N256" s="10" t="n">
        <x:f>L256-J256-M256</x:f>
        <x:v>69.95</x:v>
      </x:c>
      <x:c r="O256" s="10" t="n">
        <x:f>(G256-H256)*K256</x:f>
        <x:v>28</x:v>
      </x:c>
      <x:c r="P256" s="10" t="n">
        <x:f>N256-O256</x:f>
        <x:v>41.95</x:v>
      </x:c>
      <x:c r="Q256" s="9" t="n">
        <x:f>A256-WEEKDAY(A256,2)+1</x:f>
        <x:v>46265</x:v>
      </x:c>
      <x:c r="R256" s="2" t="str">
        <x:f>IF(AND(A256&gt;='Review'!$B$4,A256&lt;='Review'!$D$4),"Selected","Outside")</x:f>
        <x:v>Outside</x:v>
      </x:c>
    </x:row>
    <x:row r="257" ht="20" customHeight="1">
      <x:c r="A257" s="9" t="n">
        <x:v>46271</x:v>
      </x:c>
      <x:c r="B257" s="2" t="str">
        <x:v>MM-1195</x:v>
      </x:c>
      <x:c r="C257" s="2" t="str">
        <x:v>Direct</x:v>
      </x:c>
      <x:c r="D257" s="2" t="str">
        <x:v>MUG-001</x:v>
      </x:c>
      <x:c r="E257" s="2" t="str">
        <x:f>_xlfn.IFNA(VLOOKUP(D257,'Products'!$A$7:$I$22,2,FALSE),"Unmapped")</x:f>
        <x:v>Everyday ceramic mug</x:v>
      </x:c>
      <x:c r="F257" s="2" t="str">
        <x:f>_xlfn.IFNA(VLOOKUP(D257,'Products'!$A$7:$I$22,3,FALSE),"Unmapped")</x:f>
        <x:v>Drinkware</x:v>
      </x:c>
      <x:c r="G257" s="2" t="n">
        <x:v>1</x:v>
      </x:c>
      <x:c r="H257" s="2" t="n">
        <x:v>0</x:v>
      </x:c>
      <x:c r="I257" s="10" t="n">
        <x:v>18.95</x:v>
      </x:c>
      <x:c r="J257" s="10" t="n">
        <x:v>0</x:v>
      </x:c>
      <x:c r="K257" s="10" t="n">
        <x:v>6.5</x:v>
      </x:c>
      <x:c r="L257" s="10" t="n">
        <x:f>G257*I257</x:f>
        <x:v>18.95</x:v>
      </x:c>
      <x:c r="M257" s="10" t="n">
        <x:f>ROUND((L257-J257)*H257/G257,2)</x:f>
        <x:v>0</x:v>
      </x:c>
      <x:c r="N257" s="10" t="n">
        <x:f>L257-J257-M257</x:f>
        <x:v>18.95</x:v>
      </x:c>
      <x:c r="O257" s="10" t="n">
        <x:f>(G257-H257)*K257</x:f>
        <x:v>6.5</x:v>
      </x:c>
      <x:c r="P257" s="10" t="n">
        <x:f>N257-O257</x:f>
        <x:v>12.45</x:v>
      </x:c>
      <x:c r="Q257" s="9" t="n">
        <x:f>A257-WEEKDAY(A257,2)+1</x:f>
        <x:v>46265</x:v>
      </x:c>
      <x:c r="R257" s="2" t="str">
        <x:f>IF(AND(A257&gt;='Review'!$B$4,A257&lt;='Review'!$D$4),"Selected","Outside")</x:f>
        <x:v>Outside</x:v>
      </x:c>
    </x:row>
    <x:row r="258" ht="20" customHeight="1">
      <x:c r="A258" s="9" t="n">
        <x:v>46271</x:v>
      </x:c>
      <x:c r="B258" s="2" t="str">
        <x:v>MM-1205</x:v>
      </x:c>
      <x:c r="C258" s="2" t="str">
        <x:v>Direct</x:v>
      </x:c>
      <x:c r="D258" s="2" t="str">
        <x:v>GFT-002</x:v>
      </x:c>
      <x:c r="E258" s="2" t="str">
        <x:f>_xlfn.IFNA(VLOOKUP(D258,'Products'!$A$7:$I$22,2,FALSE),"Unmapped")</x:f>
        <x:v>Cozy weekend gift box</x:v>
      </x:c>
      <x:c r="F258" s="2" t="str">
        <x:f>_xlfn.IFNA(VLOOKUP(D258,'Products'!$A$7:$I$22,3,FALSE),"Unmapped")</x:f>
        <x:v>Gifts</x:v>
      </x:c>
      <x:c r="G258" s="2" t="n">
        <x:v>1</x:v>
      </x:c>
      <x:c r="H258" s="2" t="n">
        <x:v>0</x:v>
      </x:c>
      <x:c r="I258" s="10" t="n">
        <x:v>79.95</x:v>
      </x:c>
      <x:c r="J258" s="10" t="n">
        <x:v>0</x:v>
      </x:c>
      <x:c r="K258" s="10" t="n">
        <x:v>32</x:v>
      </x:c>
      <x:c r="L258" s="10" t="n">
        <x:f>G258*I258</x:f>
        <x:v>79.95</x:v>
      </x:c>
      <x:c r="M258" s="10" t="n">
        <x:f>ROUND((L258-J258)*H258/G258,2)</x:f>
        <x:v>0</x:v>
      </x:c>
      <x:c r="N258" s="10" t="n">
        <x:f>L258-J258-M258</x:f>
        <x:v>79.95</x:v>
      </x:c>
      <x:c r="O258" s="10" t="n">
        <x:f>(G258-H258)*K258</x:f>
        <x:v>32</x:v>
      </x:c>
      <x:c r="P258" s="10" t="n">
        <x:f>N258-O258</x:f>
        <x:v>47.95</x:v>
      </x:c>
      <x:c r="Q258" s="9" t="n">
        <x:f>A258-WEEKDAY(A258,2)+1</x:f>
        <x:v>46265</x:v>
      </x:c>
      <x:c r="R258" s="2" t="str">
        <x:f>IF(AND(A258&gt;='Review'!$B$4,A258&lt;='Review'!$D$4),"Selected","Outside")</x:f>
        <x:v>Outside</x:v>
      </x:c>
    </x:row>
    <x:row r="259" ht="20" customHeight="1">
      <x:c r="A259" s="9" t="n">
        <x:v>46271</x:v>
      </x:c>
      <x:c r="B259" s="2" t="str">
        <x:v>MM-1196</x:v>
      </x:c>
      <x:c r="C259" s="2" t="str">
        <x:v>Organic Search</x:v>
      </x:c>
      <x:c r="D259" s="2" t="str">
        <x:v>HAT-001</x:v>
      </x:c>
      <x:c r="E259" s="2" t="str">
        <x:f>_xlfn.IFNA(VLOOKUP(D259,'Products'!$A$7:$I$22,2,FALSE),"Unmapped")</x:f>
        <x:v>Classic canvas cap</x:v>
      </x:c>
      <x:c r="F259" s="2" t="str">
        <x:f>_xlfn.IFNA(VLOOKUP(D259,'Products'!$A$7:$I$22,3,FALSE),"Unmapped")</x:f>
        <x:v>Accessories</x:v>
      </x:c>
      <x:c r="G259" s="2" t="n">
        <x:v>3</x:v>
      </x:c>
      <x:c r="H259" s="2" t="n">
        <x:v>0</x:v>
      </x:c>
      <x:c r="I259" s="10" t="n">
        <x:v>24.95</x:v>
      </x:c>
      <x:c r="J259" s="10" t="n">
        <x:v>0</x:v>
      </x:c>
      <x:c r="K259" s="10" t="n">
        <x:v>8.5</x:v>
      </x:c>
      <x:c r="L259" s="10" t="n">
        <x:f>G259*I259</x:f>
        <x:v>74.85</x:v>
      </x:c>
      <x:c r="M259" s="10" t="n">
        <x:f>ROUND((L259-J259)*H259/G259,2)</x:f>
        <x:v>0</x:v>
      </x:c>
      <x:c r="N259" s="10" t="n">
        <x:f>L259-J259-M259</x:f>
        <x:v>74.85</x:v>
      </x:c>
      <x:c r="O259" s="10" t="n">
        <x:f>(G259-H259)*K259</x:f>
        <x:v>25.5</x:v>
      </x:c>
      <x:c r="P259" s="10" t="n">
        <x:f>N259-O259</x:f>
        <x:v>49.349999999999994</x:v>
      </x:c>
      <x:c r="Q259" s="9" t="n">
        <x:f>A259-WEEKDAY(A259,2)+1</x:f>
        <x:v>46265</x:v>
      </x:c>
      <x:c r="R259" s="2" t="str">
        <x:f>IF(AND(A259&gt;='Review'!$B$4,A259&lt;='Review'!$D$4),"Selected","Outside")</x:f>
        <x:v>Outside</x:v>
      </x:c>
    </x:row>
    <x:row r="260" ht="20" customHeight="1">
      <x:c r="A260" s="9" t="n">
        <x:v>46271</x:v>
      </x:c>
      <x:c r="B260" s="2" t="str">
        <x:v>MM-1196</x:v>
      </x:c>
      <x:c r="C260" s="2" t="str">
        <x:v>Organic Search</x:v>
      </x:c>
      <x:c r="D260" s="2" t="str">
        <x:v>MUG-002</x:v>
      </x:c>
      <x:c r="E260" s="2" t="str">
        <x:f>_xlfn.IFNA(VLOOKUP(D260,'Products'!$A$7:$I$22,2,FALSE),"Unmapped")</x:f>
        <x:v>Campfire enamel mug</x:v>
      </x:c>
      <x:c r="F260" s="2" t="str">
        <x:f>_xlfn.IFNA(VLOOKUP(D260,'Products'!$A$7:$I$22,3,FALSE),"Unmapped")</x:f>
        <x:v>Drinkware</x:v>
      </x:c>
      <x:c r="G260" s="2" t="n">
        <x:v>2</x:v>
      </x:c>
      <x:c r="H260" s="2" t="n">
        <x:v>0</x:v>
      </x:c>
      <x:c r="I260" s="10" t="n">
        <x:v>22.95</x:v>
      </x:c>
      <x:c r="J260" s="10" t="n">
        <x:v>0</x:v>
      </x:c>
      <x:c r="K260" s="10" t="n">
        <x:v>8.5</x:v>
      </x:c>
      <x:c r="L260" s="10" t="n">
        <x:f>G260*I260</x:f>
        <x:v>45.9</x:v>
      </x:c>
      <x:c r="M260" s="10" t="n">
        <x:f>ROUND((L260-J260)*H260/G260,2)</x:f>
        <x:v>0</x:v>
      </x:c>
      <x:c r="N260" s="10" t="n">
        <x:f>L260-J260-M260</x:f>
        <x:v>45.9</x:v>
      </x:c>
      <x:c r="O260" s="10" t="n">
        <x:f>(G260-H260)*K260</x:f>
        <x:v>17</x:v>
      </x:c>
      <x:c r="P260" s="10" t="n">
        <x:f>N260-O260</x:f>
        <x:v>28.9</x:v>
      </x:c>
      <x:c r="Q260" s="9" t="n">
        <x:f>A260-WEEKDAY(A260,2)+1</x:f>
        <x:v>46265</x:v>
      </x:c>
      <x:c r="R260" s="2" t="str">
        <x:f>IF(AND(A260&gt;='Review'!$B$4,A260&lt;='Review'!$D$4),"Selected","Outside")</x:f>
        <x:v>Outside</x:v>
      </x:c>
    </x:row>
    <x:row r="261" ht="20" customHeight="1">
      <x:c r="A261" s="9" t="n">
        <x:v>46271</x:v>
      </x:c>
      <x:c r="B261" s="2" t="str">
        <x:v>MM-1193</x:v>
      </x:c>
      <x:c r="C261" s="2" t="str">
        <x:v>Direct</x:v>
      </x:c>
      <x:c r="D261" s="2" t="str">
        <x:v>PIN-001</x:v>
      </x:c>
      <x:c r="E261" s="2" t="str">
        <x:f>_xlfn.IFNA(VLOOKUP(D261,'Products'!$A$7:$I$22,2,FALSE),"Unmapped")</x:f>
        <x:v>Coffee enamel pin</x:v>
      </x:c>
      <x:c r="F261" s="2" t="str">
        <x:f>_xlfn.IFNA(VLOOKUP(D261,'Products'!$A$7:$I$22,3,FALSE),"Unmapped")</x:f>
        <x:v>Accessories</x:v>
      </x:c>
      <x:c r="G261" s="2" t="n">
        <x:v>1</x:v>
      </x:c>
      <x:c r="H261" s="2" t="n">
        <x:v>0</x:v>
      </x:c>
      <x:c r="I261" s="10" t="n">
        <x:v>9.95</x:v>
      </x:c>
      <x:c r="J261" s="10" t="n">
        <x:v>0</x:v>
      </x:c>
      <x:c r="K261" s="10" t="n">
        <x:v>2.5</x:v>
      </x:c>
      <x:c r="L261" s="10" t="n">
        <x:f>G261*I261</x:f>
        <x:v>9.95</x:v>
      </x:c>
      <x:c r="M261" s="10" t="n">
        <x:f>ROUND((L261-J261)*H261/G261,2)</x:f>
        <x:v>0</x:v>
      </x:c>
      <x:c r="N261" s="10" t="n">
        <x:f>L261-J261-M261</x:f>
        <x:v>9.95</x:v>
      </x:c>
      <x:c r="O261" s="10" t="n">
        <x:f>(G261-H261)*K261</x:f>
        <x:v>2.5</x:v>
      </x:c>
      <x:c r="P261" s="10" t="n">
        <x:f>N261-O261</x:f>
        <x:v>7.449999999999999</x:v>
      </x:c>
      <x:c r="Q261" s="9" t="n">
        <x:f>A261-WEEKDAY(A261,2)+1</x:f>
        <x:v>46265</x:v>
      </x:c>
      <x:c r="R261" s="2" t="str">
        <x:f>IF(AND(A261&gt;='Review'!$B$4,A261&lt;='Review'!$D$4),"Selected","Outside")</x:f>
        <x:v>Outside</x:v>
      </x:c>
    </x:row>
    <x:row r="262" ht="20" customHeight="1">
      <x:c r="A262" s="9" t="n">
        <x:v>46271</x:v>
      </x:c>
      <x:c r="B262" s="2" t="str">
        <x:v>MM-1193</x:v>
      </x:c>
      <x:c r="C262" s="2" t="str">
        <x:v>Direct</x:v>
      </x:c>
      <x:c r="D262" s="2" t="str">
        <x:v>GFT-002</x:v>
      </x:c>
      <x:c r="E262" s="2" t="str">
        <x:f>_xlfn.IFNA(VLOOKUP(D262,'Products'!$A$7:$I$22,2,FALSE),"Unmapped")</x:f>
        <x:v>Cozy weekend gift box</x:v>
      </x:c>
      <x:c r="F262" s="2" t="str">
        <x:f>_xlfn.IFNA(VLOOKUP(D262,'Products'!$A$7:$I$22,3,FALSE),"Unmapped")</x:f>
        <x:v>Gifts</x:v>
      </x:c>
      <x:c r="G262" s="2" t="n">
        <x:v>1</x:v>
      </x:c>
      <x:c r="H262" s="2" t="n">
        <x:v>0</x:v>
      </x:c>
      <x:c r="I262" s="10" t="n">
        <x:v>79.95</x:v>
      </x:c>
      <x:c r="J262" s="10" t="n">
        <x:v>0</x:v>
      </x:c>
      <x:c r="K262" s="10" t="n">
        <x:v>32</x:v>
      </x:c>
      <x:c r="L262" s="10" t="n">
        <x:f>G262*I262</x:f>
        <x:v>79.95</x:v>
      </x:c>
      <x:c r="M262" s="10" t="n">
        <x:f>ROUND((L262-J262)*H262/G262,2)</x:f>
        <x:v>0</x:v>
      </x:c>
      <x:c r="N262" s="10" t="n">
        <x:f>L262-J262-M262</x:f>
        <x:v>79.95</x:v>
      </x:c>
      <x:c r="O262" s="10" t="n">
        <x:f>(G262-H262)*K262</x:f>
        <x:v>32</x:v>
      </x:c>
      <x:c r="P262" s="10" t="n">
        <x:f>N262-O262</x:f>
        <x:v>47.95</x:v>
      </x:c>
      <x:c r="Q262" s="9" t="n">
        <x:f>A262-WEEKDAY(A262,2)+1</x:f>
        <x:v>46265</x:v>
      </x:c>
      <x:c r="R262" s="2" t="str">
        <x:f>IF(AND(A262&gt;='Review'!$B$4,A262&lt;='Review'!$D$4),"Selected","Outside")</x:f>
        <x:v>Outside</x:v>
      </x:c>
    </x:row>
    <x:row r="263" ht="20" customHeight="1">
      <x:c r="A263" s="9" t="n">
        <x:v>46271</x:v>
      </x:c>
      <x:c r="B263" s="2" t="str">
        <x:v>MM-1208</x:v>
      </x:c>
      <x:c r="C263" s="2" t="str">
        <x:v>Organic Search</x:v>
      </x:c>
      <x:c r="D263" s="2" t="str">
        <x:v>MUG-002</x:v>
      </x:c>
      <x:c r="E263" s="2" t="str">
        <x:f>_xlfn.IFNA(VLOOKUP(D263,'Products'!$A$7:$I$22,2,FALSE),"Unmapped")</x:f>
        <x:v>Campfire enamel mug</x:v>
      </x:c>
      <x:c r="F263" s="2" t="str">
        <x:f>_xlfn.IFNA(VLOOKUP(D263,'Products'!$A$7:$I$22,3,FALSE),"Unmapped")</x:f>
        <x:v>Drinkware</x:v>
      </x:c>
      <x:c r="G263" s="2" t="n">
        <x:v>1</x:v>
      </x:c>
      <x:c r="H263" s="2" t="n">
        <x:v>0</x:v>
      </x:c>
      <x:c r="I263" s="10" t="n">
        <x:v>22.95</x:v>
      </x:c>
      <x:c r="J263" s="10" t="n">
        <x:v>0</x:v>
      </x:c>
      <x:c r="K263" s="10" t="n">
        <x:v>8.5</x:v>
      </x:c>
      <x:c r="L263" s="10" t="n">
        <x:f>G263*I263</x:f>
        <x:v>22.95</x:v>
      </x:c>
      <x:c r="M263" s="10" t="n">
        <x:f>ROUND((L263-J263)*H263/G263,2)</x:f>
        <x:v>0</x:v>
      </x:c>
      <x:c r="N263" s="10" t="n">
        <x:f>L263-J263-M263</x:f>
        <x:v>22.95</x:v>
      </x:c>
      <x:c r="O263" s="10" t="n">
        <x:f>(G263-H263)*K263</x:f>
        <x:v>8.5</x:v>
      </x:c>
      <x:c r="P263" s="10" t="n">
        <x:f>N263-O263</x:f>
        <x:v>14.45</x:v>
      </x:c>
      <x:c r="Q263" s="9" t="n">
        <x:f>A263-WEEKDAY(A263,2)+1</x:f>
        <x:v>46265</x:v>
      </x:c>
      <x:c r="R263" s="2" t="str">
        <x:f>IF(AND(A263&gt;='Review'!$B$4,A263&lt;='Review'!$D$4),"Selected","Outside")</x:f>
        <x:v>Outside</x:v>
      </x:c>
    </x:row>
    <x:row r="264" ht="20" customHeight="1">
      <x:c r="A264" s="9" t="n">
        <x:v>46271</x:v>
      </x:c>
      <x:c r="B264" s="2" t="str">
        <x:v>MM-1208</x:v>
      </x:c>
      <x:c r="C264" s="2" t="str">
        <x:v>Organic Search</x:v>
      </x:c>
      <x:c r="D264" s="2" t="str">
        <x:v>TUM-001</x:v>
      </x:c>
      <x:c r="E264" s="2" t="str">
        <x:f>_xlfn.IFNA(VLOOKUP(D264,'Products'!$A$7:$I$22,2,FALSE),"Unmapped")</x:f>
        <x:v>Maple travel tumbler</x:v>
      </x:c>
      <x:c r="F264" s="2" t="str">
        <x:f>_xlfn.IFNA(VLOOKUP(D264,'Products'!$A$7:$I$22,3,FALSE),"Unmapped")</x:f>
        <x:v>Drinkware</x:v>
      </x:c>
      <x:c r="G264" s="2" t="n">
        <x:v>1</x:v>
      </x:c>
      <x:c r="H264" s="2" t="n">
        <x:v>0</x:v>
      </x:c>
      <x:c r="I264" s="10" t="n">
        <x:v>32.95</x:v>
      </x:c>
      <x:c r="J264" s="10" t="n">
        <x:v>0</x:v>
      </x:c>
      <x:c r="K264" s="10" t="n">
        <x:v>12</x:v>
      </x:c>
      <x:c r="L264" s="10" t="n">
        <x:f>G264*I264</x:f>
        <x:v>32.95</x:v>
      </x:c>
      <x:c r="M264" s="10" t="n">
        <x:f>ROUND((L264-J264)*H264/G264,2)</x:f>
        <x:v>0</x:v>
      </x:c>
      <x:c r="N264" s="10" t="n">
        <x:f>L264-J264-M264</x:f>
        <x:v>32.95</x:v>
      </x:c>
      <x:c r="O264" s="10" t="n">
        <x:f>(G264-H264)*K264</x:f>
        <x:v>12</x:v>
      </x:c>
      <x:c r="P264" s="10" t="n">
        <x:f>N264-O264</x:f>
        <x:v>20.950000000000003</x:v>
      </x:c>
      <x:c r="Q264" s="9" t="n">
        <x:f>A264-WEEKDAY(A264,2)+1</x:f>
        <x:v>46265</x:v>
      </x:c>
      <x:c r="R264" s="2" t="str">
        <x:f>IF(AND(A264&gt;='Review'!$B$4,A264&lt;='Review'!$D$4),"Selected","Outside")</x:f>
        <x:v>Outside</x:v>
      </x:c>
    </x:row>
    <x:row r="265" ht="20" customHeight="1">
      <x:c r="A265" s="9" t="n">
        <x:v>46271</x:v>
      </x:c>
      <x:c r="B265" s="2" t="str">
        <x:v>MM-1208</x:v>
      </x:c>
      <x:c r="C265" s="2" t="str">
        <x:v>Organic Search</x:v>
      </x:c>
      <x:c r="D265" s="2" t="str">
        <x:v>GFT-001</x:v>
      </x:c>
      <x:c r="E265" s="2" t="str">
        <x:f>_xlfn.IFNA(VLOOKUP(D265,'Products'!$A$7:$I$22,2,FALSE),"Unmapped")</x:f>
        <x:v>Morning ritual gift set</x:v>
      </x:c>
      <x:c r="F265" s="2" t="str">
        <x:f>_xlfn.IFNA(VLOOKUP(D265,'Products'!$A$7:$I$22,3,FALSE),"Unmapped")</x:f>
        <x:v>Gifts</x:v>
      </x:c>
      <x:c r="G265" s="2" t="n">
        <x:v>1</x:v>
      </x:c>
      <x:c r="H265" s="2" t="n">
        <x:v>0</x:v>
      </x:c>
      <x:c r="I265" s="10" t="n">
        <x:v>59.95</x:v>
      </x:c>
      <x:c r="J265" s="10" t="n">
        <x:v>0</x:v>
      </x:c>
      <x:c r="K265" s="10" t="n">
        <x:v>24</x:v>
      </x:c>
      <x:c r="L265" s="10" t="n">
        <x:f>G265*I265</x:f>
        <x:v>59.95</x:v>
      </x:c>
      <x:c r="M265" s="10" t="n">
        <x:f>ROUND((L265-J265)*H265/G265,2)</x:f>
        <x:v>0</x:v>
      </x:c>
      <x:c r="N265" s="10" t="n">
        <x:f>L265-J265-M265</x:f>
        <x:v>59.95</x:v>
      </x:c>
      <x:c r="O265" s="10" t="n">
        <x:f>(G265-H265)*K265</x:f>
        <x:v>24</x:v>
      </x:c>
      <x:c r="P265" s="10" t="n">
        <x:f>N265-O265</x:f>
        <x:v>35.95</x:v>
      </x:c>
      <x:c r="Q265" s="9" t="n">
        <x:f>A265-WEEKDAY(A265,2)+1</x:f>
        <x:v>46265</x:v>
      </x:c>
      <x:c r="R265" s="2" t="str">
        <x:f>IF(AND(A265&gt;='Review'!$B$4,A265&lt;='Review'!$D$4),"Selected","Outside")</x:f>
        <x:v>Outside</x:v>
      </x:c>
    </x:row>
    <x:row r="266" ht="20" customHeight="1">
      <x:c r="A266" s="9" t="n">
        <x:v>46271</x:v>
      </x:c>
      <x:c r="B266" s="2" t="str">
        <x:v>MM-1191</x:v>
      </x:c>
      <x:c r="C266" s="2" t="str">
        <x:v>Organic Search</x:v>
      </x:c>
      <x:c r="D266" s="2" t="str">
        <x:v>GFT-002</x:v>
      </x:c>
      <x:c r="E266" s="2" t="str">
        <x:f>_xlfn.IFNA(VLOOKUP(D266,'Products'!$A$7:$I$22,2,FALSE),"Unmapped")</x:f>
        <x:v>Cozy weekend gift box</x:v>
      </x:c>
      <x:c r="F266" s="2" t="str">
        <x:f>_xlfn.IFNA(VLOOKUP(D266,'Products'!$A$7:$I$22,3,FALSE),"Unmapped")</x:f>
        <x:v>Gifts</x:v>
      </x:c>
      <x:c r="G266" s="2" t="n">
        <x:v>1</x:v>
      </x:c>
      <x:c r="H266" s="2" t="n">
        <x:v>1</x:v>
      </x:c>
      <x:c r="I266" s="10" t="n">
        <x:v>79.95</x:v>
      </x:c>
      <x:c r="J266" s="10" t="n">
        <x:v>0</x:v>
      </x:c>
      <x:c r="K266" s="10" t="n">
        <x:v>32</x:v>
      </x:c>
      <x:c r="L266" s="10" t="n">
        <x:f>G266*I266</x:f>
        <x:v>79.95</x:v>
      </x:c>
      <x:c r="M266" s="10" t="n">
        <x:f>ROUND((L266-J266)*H266/G266,2)</x:f>
        <x:v>79.95</x:v>
      </x:c>
      <x:c r="N266" s="10" t="n">
        <x:f>L266-J266-M266</x:f>
        <x:v>0</x:v>
      </x:c>
      <x:c r="O266" s="10" t="n">
        <x:f>(G266-H266)*K266</x:f>
        <x:v>0</x:v>
      </x:c>
      <x:c r="P266" s="10" t="n">
        <x:f>N266-O266</x:f>
        <x:v>0</x:v>
      </x:c>
      <x:c r="Q266" s="9" t="n">
        <x:f>A266-WEEKDAY(A266,2)+1</x:f>
        <x:v>46265</x:v>
      </x:c>
      <x:c r="R266" s="2" t="str">
        <x:f>IF(AND(A266&gt;='Review'!$B$4,A266&lt;='Review'!$D$4),"Selected","Outside")</x:f>
        <x:v>Outside</x:v>
      </x:c>
    </x:row>
    <x:row r="267" ht="20" customHeight="1">
      <x:c r="A267" s="9" t="n">
        <x:v>46271</x:v>
      </x:c>
      <x:c r="B267" s="2" t="str">
        <x:v>MM-1202</x:v>
      </x:c>
      <x:c r="C267" s="2" t="str">
        <x:v>Email</x:v>
      </x:c>
      <x:c r="D267" s="2" t="str">
        <x:v>MUG-002</x:v>
      </x:c>
      <x:c r="E267" s="2" t="str">
        <x:f>_xlfn.IFNA(VLOOKUP(D267,'Products'!$A$7:$I$22,2,FALSE),"Unmapped")</x:f>
        <x:v>Campfire enamel mug</x:v>
      </x:c>
      <x:c r="F267" s="2" t="str">
        <x:f>_xlfn.IFNA(VLOOKUP(D267,'Products'!$A$7:$I$22,3,FALSE),"Unmapped")</x:f>
        <x:v>Drinkware</x:v>
      </x:c>
      <x:c r="G267" s="2" t="n">
        <x:v>1</x:v>
      </x:c>
      <x:c r="H267" s="2" t="n">
        <x:v>0</x:v>
      </x:c>
      <x:c r="I267" s="10" t="n">
        <x:v>22.95</x:v>
      </x:c>
      <x:c r="J267" s="10" t="n">
        <x:v>2.29</x:v>
      </x:c>
      <x:c r="K267" s="10" t="n">
        <x:v>8.5</x:v>
      </x:c>
      <x:c r="L267" s="10" t="n">
        <x:f>G267*I267</x:f>
        <x:v>22.95</x:v>
      </x:c>
      <x:c r="M267" s="10" t="n">
        <x:f>ROUND((L267-J267)*H267/G267,2)</x:f>
        <x:v>0</x:v>
      </x:c>
      <x:c r="N267" s="10" t="n">
        <x:f>L267-J267-M267</x:f>
        <x:v>20.66</x:v>
      </x:c>
      <x:c r="O267" s="10" t="n">
        <x:f>(G267-H267)*K267</x:f>
        <x:v>8.5</x:v>
      </x:c>
      <x:c r="P267" s="10" t="n">
        <x:f>N267-O267</x:f>
        <x:v>12.16</x:v>
      </x:c>
      <x:c r="Q267" s="9" t="n">
        <x:f>A267-WEEKDAY(A267,2)+1</x:f>
        <x:v>46265</x:v>
      </x:c>
      <x:c r="R267" s="2" t="str">
        <x:f>IF(AND(A267&gt;='Review'!$B$4,A267&lt;='Review'!$D$4),"Selected","Outside")</x:f>
        <x:v>Outside</x:v>
      </x:c>
    </x:row>
    <x:row r="268" ht="20" customHeight="1">
      <x:c r="A268" s="9" t="n">
        <x:v>46271</x:v>
      </x:c>
      <x:c r="B268" s="2" t="str">
        <x:v>MM-1203</x:v>
      </x:c>
      <x:c r="C268" s="2" t="str">
        <x:v>Email</x:v>
      </x:c>
      <x:c r="D268" s="2" t="str">
        <x:v>TUM-002</x:v>
      </x:c>
      <x:c r="E268" s="2" t="str">
        <x:f>_xlfn.IFNA(VLOOKUP(D268,'Products'!$A$7:$I$22,2,FALSE),"Unmapped")</x:f>
        <x:v>Cold brew glass cup</x:v>
      </x:c>
      <x:c r="F268" s="2" t="str">
        <x:f>_xlfn.IFNA(VLOOKUP(D268,'Products'!$A$7:$I$22,3,FALSE),"Unmapped")</x:f>
        <x:v>Drinkware</x:v>
      </x:c>
      <x:c r="G268" s="2" t="n">
        <x:v>1</x:v>
      </x:c>
      <x:c r="H268" s="2" t="n">
        <x:v>1</x:v>
      </x:c>
      <x:c r="I268" s="10" t="n">
        <x:v>24.95</x:v>
      </x:c>
      <x:c r="J268" s="10" t="n">
        <x:v>2.49</x:v>
      </x:c>
      <x:c r="K268" s="10" t="n">
        <x:v>9</x:v>
      </x:c>
      <x:c r="L268" s="10" t="n">
        <x:f>G268*I268</x:f>
        <x:v>24.95</x:v>
      </x:c>
      <x:c r="M268" s="10" t="n">
        <x:f>ROUND((L268-J268)*H268/G268,2)</x:f>
        <x:v>22.46</x:v>
      </x:c>
      <x:c r="N268" s="10" t="n">
        <x:f>L268-J268-M268</x:f>
        <x:v>0</x:v>
      </x:c>
      <x:c r="O268" s="10" t="n">
        <x:f>(G268-H268)*K268</x:f>
        <x:v>0</x:v>
      </x:c>
      <x:c r="P268" s="10" t="n">
        <x:f>N268-O268</x:f>
        <x:v>0</x:v>
      </x:c>
      <x:c r="Q268" s="9" t="n">
        <x:f>A268-WEEKDAY(A268,2)+1</x:f>
        <x:v>46265</x:v>
      </x:c>
      <x:c r="R268" s="2" t="str">
        <x:f>IF(AND(A268&gt;='Review'!$B$4,A268&lt;='Review'!$D$4),"Selected","Outside")</x:f>
        <x:v>Outside</x:v>
      </x:c>
    </x:row>
    <x:row r="269" ht="20" customHeight="1">
      <x:c r="A269" s="9" t="n">
        <x:v>46271</x:v>
      </x:c>
      <x:c r="B269" s="2" t="str">
        <x:v>MM-1194</x:v>
      </x:c>
      <x:c r="C269" s="2" t="str">
        <x:v>Email</x:v>
      </x:c>
      <x:c r="D269" s="2" t="str">
        <x:v>APP-003</x:v>
      </x:c>
      <x:c r="E269" s="2" t="str">
        <x:f>_xlfn.IFNA(VLOOKUP(D269,'Products'!$A$7:$I$22,2,FALSE),"Unmapped")</x:f>
        <x:v>Coffee club tee</x:v>
      </x:c>
      <x:c r="F269" s="2" t="str">
        <x:f>_xlfn.IFNA(VLOOKUP(D269,'Products'!$A$7:$I$22,3,FALSE),"Unmapped")</x:f>
        <x:v>Apparel</x:v>
      </x:c>
      <x:c r="G269" s="2" t="n">
        <x:v>1</x:v>
      </x:c>
      <x:c r="H269" s="2" t="n">
        <x:v>0</x:v>
      </x:c>
      <x:c r="I269" s="10" t="n">
        <x:v>29.95</x:v>
      </x:c>
      <x:c r="J269" s="10" t="n">
        <x:v>2.99</x:v>
      </x:c>
      <x:c r="K269" s="10" t="n">
        <x:v>10</x:v>
      </x:c>
      <x:c r="L269" s="10" t="n">
        <x:f>G269*I269</x:f>
        <x:v>29.95</x:v>
      </x:c>
      <x:c r="M269" s="10" t="n">
        <x:f>ROUND((L269-J269)*H269/G269,2)</x:f>
        <x:v>0</x:v>
      </x:c>
      <x:c r="N269" s="10" t="n">
        <x:f>L269-J269-M269</x:f>
        <x:v>26.96</x:v>
      </x:c>
      <x:c r="O269" s="10" t="n">
        <x:f>(G269-H269)*K269</x:f>
        <x:v>10</x:v>
      </x:c>
      <x:c r="P269" s="10" t="n">
        <x:f>N269-O269</x:f>
        <x:v>16.96</x:v>
      </x:c>
      <x:c r="Q269" s="9" t="n">
        <x:f>A269-WEEKDAY(A269,2)+1</x:f>
        <x:v>46265</x:v>
      </x:c>
      <x:c r="R269" s="2" t="str">
        <x:f>IF(AND(A269&gt;='Review'!$B$4,A269&lt;='Review'!$D$4),"Selected","Outside")</x:f>
        <x:v>Outside</x:v>
      </x:c>
    </x:row>
    <x:row r="270" ht="20" customHeight="1">
      <x:c r="A270" s="9" t="n">
        <x:v>46271</x:v>
      </x:c>
      <x:c r="B270" s="2" t="str">
        <x:v>MM-1199</x:v>
      </x:c>
      <x:c r="C270" s="2" t="str">
        <x:v>Email</x:v>
      </x:c>
      <x:c r="D270" s="2" t="str">
        <x:v>TUM-001</x:v>
      </x:c>
      <x:c r="E270" s="2" t="str">
        <x:f>_xlfn.IFNA(VLOOKUP(D270,'Products'!$A$7:$I$22,2,FALSE),"Unmapped")</x:f>
        <x:v>Maple travel tumbler</x:v>
      </x:c>
      <x:c r="F270" s="2" t="str">
        <x:f>_xlfn.IFNA(VLOOKUP(D270,'Products'!$A$7:$I$22,3,FALSE),"Unmapped")</x:f>
        <x:v>Drinkware</x:v>
      </x:c>
      <x:c r="G270" s="2" t="n">
        <x:v>1</x:v>
      </x:c>
      <x:c r="H270" s="2" t="n">
        <x:v>0</x:v>
      </x:c>
      <x:c r="I270" s="10" t="n">
        <x:v>32.95</x:v>
      </x:c>
      <x:c r="J270" s="10" t="n">
        <x:v>3.29</x:v>
      </x:c>
      <x:c r="K270" s="10" t="n">
        <x:v>12</x:v>
      </x:c>
      <x:c r="L270" s="10" t="n">
        <x:f>G270*I270</x:f>
        <x:v>32.95</x:v>
      </x:c>
      <x:c r="M270" s="10" t="n">
        <x:f>ROUND((L270-J270)*H270/G270,2)</x:f>
        <x:v>0</x:v>
      </x:c>
      <x:c r="N270" s="10" t="n">
        <x:f>L270-J270-M270</x:f>
        <x:v>29.660000000000004</x:v>
      </x:c>
      <x:c r="O270" s="10" t="n">
        <x:f>(G270-H270)*K270</x:f>
        <x:v>12</x:v>
      </x:c>
      <x:c r="P270" s="10" t="n">
        <x:f>N270-O270</x:f>
        <x:v>17.660000000000004</x:v>
      </x:c>
      <x:c r="Q270" s="9" t="n">
        <x:f>A270-WEEKDAY(A270,2)+1</x:f>
        <x:v>46265</x:v>
      </x:c>
      <x:c r="R270" s="2" t="str">
        <x:f>IF(AND(A270&gt;='Review'!$B$4,A270&lt;='Review'!$D$4),"Selected","Outside")</x:f>
        <x:v>Outside</x:v>
      </x:c>
    </x:row>
    <x:row r="271" ht="20" customHeight="1">
      <x:c r="A271" s="9" t="n">
        <x:v>46271</x:v>
      </x:c>
      <x:c r="B271" s="2" t="str">
        <x:v>MM-1207</x:v>
      </x:c>
      <x:c r="C271" s="2" t="str">
        <x:v>Email</x:v>
      </x:c>
      <x:c r="D271" s="2" t="str">
        <x:v>MUG-001</x:v>
      </x:c>
      <x:c r="E271" s="2" t="str">
        <x:f>_xlfn.IFNA(VLOOKUP(D271,'Products'!$A$7:$I$22,2,FALSE),"Unmapped")</x:f>
        <x:v>Everyday ceramic mug</x:v>
      </x:c>
      <x:c r="F271" s="2" t="str">
        <x:f>_xlfn.IFNA(VLOOKUP(D271,'Products'!$A$7:$I$22,3,FALSE),"Unmapped")</x:f>
        <x:v>Drinkware</x:v>
      </x:c>
      <x:c r="G271" s="2" t="n">
        <x:v>1</x:v>
      </x:c>
      <x:c r="H271" s="2" t="n">
        <x:v>0</x:v>
      </x:c>
      <x:c r="I271" s="10" t="n">
        <x:v>18.95</x:v>
      </x:c>
      <x:c r="J271" s="10" t="n">
        <x:v>1.89</x:v>
      </x:c>
      <x:c r="K271" s="10" t="n">
        <x:v>6.5</x:v>
      </x:c>
      <x:c r="L271" s="10" t="n">
        <x:f>G271*I271</x:f>
        <x:v>18.95</x:v>
      </x:c>
      <x:c r="M271" s="10" t="n">
        <x:f>ROUND((L271-J271)*H271/G271,2)</x:f>
        <x:v>0</x:v>
      </x:c>
      <x:c r="N271" s="10" t="n">
        <x:f>L271-J271-M271</x:f>
        <x:v>17.06</x:v>
      </x:c>
      <x:c r="O271" s="10" t="n">
        <x:f>(G271-H271)*K271</x:f>
        <x:v>6.5</x:v>
      </x:c>
      <x:c r="P271" s="10" t="n">
        <x:f>N271-O271</x:f>
        <x:v>10.559999999999999</x:v>
      </x:c>
      <x:c r="Q271" s="9" t="n">
        <x:f>A271-WEEKDAY(A271,2)+1</x:f>
        <x:v>46265</x:v>
      </x:c>
      <x:c r="R271" s="2" t="str">
        <x:f>IF(AND(A271&gt;='Review'!$B$4,A271&lt;='Review'!$D$4),"Selected","Outside")</x:f>
        <x:v>Outside</x:v>
      </x:c>
    </x:row>
    <x:row r="272" ht="20" customHeight="1">
      <x:c r="A272" s="9" t="n">
        <x:v>46271</x:v>
      </x:c>
      <x:c r="B272" s="2" t="str">
        <x:v>MM-1207</x:v>
      </x:c>
      <x:c r="C272" s="2" t="str">
        <x:v>Email</x:v>
      </x:c>
      <x:c r="D272" s="2" t="str">
        <x:v>MUG-002</x:v>
      </x:c>
      <x:c r="E272" s="2" t="str">
        <x:f>_xlfn.IFNA(VLOOKUP(D272,'Products'!$A$7:$I$22,2,FALSE),"Unmapped")</x:f>
        <x:v>Campfire enamel mug</x:v>
      </x:c>
      <x:c r="F272" s="2" t="str">
        <x:f>_xlfn.IFNA(VLOOKUP(D272,'Products'!$A$7:$I$22,3,FALSE),"Unmapped")</x:f>
        <x:v>Drinkware</x:v>
      </x:c>
      <x:c r="G272" s="2" t="n">
        <x:v>1</x:v>
      </x:c>
      <x:c r="H272" s="2" t="n">
        <x:v>0</x:v>
      </x:c>
      <x:c r="I272" s="10" t="n">
        <x:v>22.95</x:v>
      </x:c>
      <x:c r="J272" s="10" t="n">
        <x:v>2.29</x:v>
      </x:c>
      <x:c r="K272" s="10" t="n">
        <x:v>8.5</x:v>
      </x:c>
      <x:c r="L272" s="10" t="n">
        <x:f>G272*I272</x:f>
        <x:v>22.95</x:v>
      </x:c>
      <x:c r="M272" s="10" t="n">
        <x:f>ROUND((L272-J272)*H272/G272,2)</x:f>
        <x:v>0</x:v>
      </x:c>
      <x:c r="N272" s="10" t="n">
        <x:f>L272-J272-M272</x:f>
        <x:v>20.66</x:v>
      </x:c>
      <x:c r="O272" s="10" t="n">
        <x:f>(G272-H272)*K272</x:f>
        <x:v>8.5</x:v>
      </x:c>
      <x:c r="P272" s="10" t="n">
        <x:f>N272-O272</x:f>
        <x:v>12.16</x:v>
      </x:c>
      <x:c r="Q272" s="9" t="n">
        <x:f>A272-WEEKDAY(A272,2)+1</x:f>
        <x:v>46265</x:v>
      </x:c>
      <x:c r="R272" s="2" t="str">
        <x:f>IF(AND(A272&gt;='Review'!$B$4,A272&lt;='Review'!$D$4),"Selected","Outside")</x:f>
        <x:v>Outside</x:v>
      </x:c>
    </x:row>
    <x:row r="273" ht="20" customHeight="1">
      <x:c r="A273" s="9" t="n">
        <x:v>46271</x:v>
      </x:c>
      <x:c r="B273" s="2" t="str">
        <x:v>MM-1207</x:v>
      </x:c>
      <x:c r="C273" s="2" t="str">
        <x:v>Email</x:v>
      </x:c>
      <x:c r="D273" s="2" t="str">
        <x:v>HAT-001</x:v>
      </x:c>
      <x:c r="E273" s="2" t="str">
        <x:f>_xlfn.IFNA(VLOOKUP(D273,'Products'!$A$7:$I$22,2,FALSE),"Unmapped")</x:f>
        <x:v>Classic canvas cap</x:v>
      </x:c>
      <x:c r="F273" s="2" t="str">
        <x:f>_xlfn.IFNA(VLOOKUP(D273,'Products'!$A$7:$I$22,3,FALSE),"Unmapped")</x:f>
        <x:v>Accessories</x:v>
      </x:c>
      <x:c r="G273" s="2" t="n">
        <x:v>3</x:v>
      </x:c>
      <x:c r="H273" s="2" t="n">
        <x:v>0</x:v>
      </x:c>
      <x:c r="I273" s="10" t="n">
        <x:v>24.95</x:v>
      </x:c>
      <x:c r="J273" s="10" t="n">
        <x:v>7.48</x:v>
      </x:c>
      <x:c r="K273" s="10" t="n">
        <x:v>8.5</x:v>
      </x:c>
      <x:c r="L273" s="10" t="n">
        <x:f>G273*I273</x:f>
        <x:v>74.85</x:v>
      </x:c>
      <x:c r="M273" s="10" t="n">
        <x:f>ROUND((L273-J273)*H273/G273,2)</x:f>
        <x:v>0</x:v>
      </x:c>
      <x:c r="N273" s="10" t="n">
        <x:f>L273-J273-M273</x:f>
        <x:v>67.36999999999999</x:v>
      </x:c>
      <x:c r="O273" s="10" t="n">
        <x:f>(G273-H273)*K273</x:f>
        <x:v>25.5</x:v>
      </x:c>
      <x:c r="P273" s="10" t="n">
        <x:f>N273-O273</x:f>
        <x:v>41.86999999999999</x:v>
      </x:c>
      <x:c r="Q273" s="9" t="n">
        <x:f>A273-WEEKDAY(A273,2)+1</x:f>
        <x:v>46265</x:v>
      </x:c>
      <x:c r="R273" s="2" t="str">
        <x:f>IF(AND(A273&gt;='Review'!$B$4,A273&lt;='Review'!$D$4),"Selected","Outside")</x:f>
        <x:v>Outside</x:v>
      </x:c>
    </x:row>
    <x:row r="274" ht="20" customHeight="1">
      <x:c r="A274" s="9" t="n">
        <x:v>46271</x:v>
      </x:c>
      <x:c r="B274" s="2" t="str">
        <x:v>MM-1201</x:v>
      </x:c>
      <x:c r="C274" s="2" t="str">
        <x:v>Organic Search</x:v>
      </x:c>
      <x:c r="D274" s="2" t="str">
        <x:v>GFT-002</x:v>
      </x:c>
      <x:c r="E274" s="2" t="str">
        <x:f>_xlfn.IFNA(VLOOKUP(D274,'Products'!$A$7:$I$22,2,FALSE),"Unmapped")</x:f>
        <x:v>Cozy weekend gift box</x:v>
      </x:c>
      <x:c r="F274" s="2" t="str">
        <x:f>_xlfn.IFNA(VLOOKUP(D274,'Products'!$A$7:$I$22,3,FALSE),"Unmapped")</x:f>
        <x:v>Gifts</x:v>
      </x:c>
      <x:c r="G274" s="2" t="n">
        <x:v>1</x:v>
      </x:c>
      <x:c r="H274" s="2" t="n">
        <x:v>0</x:v>
      </x:c>
      <x:c r="I274" s="10" t="n">
        <x:v>79.95</x:v>
      </x:c>
      <x:c r="J274" s="10" t="n">
        <x:v>0</x:v>
      </x:c>
      <x:c r="K274" s="10" t="n">
        <x:v>32</x:v>
      </x:c>
      <x:c r="L274" s="10" t="n">
        <x:f>G274*I274</x:f>
        <x:v>79.95</x:v>
      </x:c>
      <x:c r="M274" s="10" t="n">
        <x:f>ROUND((L274-J274)*H274/G274,2)</x:f>
        <x:v>0</x:v>
      </x:c>
      <x:c r="N274" s="10" t="n">
        <x:f>L274-J274-M274</x:f>
        <x:v>79.95</x:v>
      </x:c>
      <x:c r="O274" s="10" t="n">
        <x:f>(G274-H274)*K274</x:f>
        <x:v>32</x:v>
      </x:c>
      <x:c r="P274" s="10" t="n">
        <x:f>N274-O274</x:f>
        <x:v>47.95</x:v>
      </x:c>
      <x:c r="Q274" s="9" t="n">
        <x:f>A274-WEEKDAY(A274,2)+1</x:f>
        <x:v>46265</x:v>
      </x:c>
      <x:c r="R274" s="2" t="str">
        <x:f>IF(AND(A274&gt;='Review'!$B$4,A274&lt;='Review'!$D$4),"Selected","Outside")</x:f>
        <x:v>Outside</x:v>
      </x:c>
    </x:row>
    <x:row r="275" ht="20" customHeight="1">
      <x:c r="A275" s="9" t="n">
        <x:v>46271</x:v>
      </x:c>
      <x:c r="B275" s="2" t="str">
        <x:v>MM-1204</x:v>
      </x:c>
      <x:c r="C275" s="2" t="str">
        <x:v>Organic Search</x:v>
      </x:c>
      <x:c r="D275" s="2" t="str">
        <x:v>BOT-001</x:v>
      </x:c>
      <x:c r="E275" s="2" t="str">
        <x:f>_xlfn.IFNA(VLOOKUP(D275,'Products'!$A$7:$I$22,2,FALSE),"Unmapped")</x:f>
        <x:v>Trail water bottle</x:v>
      </x:c>
      <x:c r="F275" s="2" t="str">
        <x:f>_xlfn.IFNA(VLOOKUP(D275,'Products'!$A$7:$I$22,3,FALSE),"Unmapped")</x:f>
        <x:v>Drinkware</x:v>
      </x:c>
      <x:c r="G275" s="2" t="n">
        <x:v>1</x:v>
      </x:c>
      <x:c r="H275" s="2" t="n">
        <x:v>0</x:v>
      </x:c>
      <x:c r="I275" s="10" t="n">
        <x:v>34.95</x:v>
      </x:c>
      <x:c r="J275" s="10" t="n">
        <x:v>0</x:v>
      </x:c>
      <x:c r="K275" s="10" t="n">
        <x:v>13.5</x:v>
      </x:c>
      <x:c r="L275" s="10" t="n">
        <x:f>G275*I275</x:f>
        <x:v>34.95</x:v>
      </x:c>
      <x:c r="M275" s="10" t="n">
        <x:f>ROUND((L275-J275)*H275/G275,2)</x:f>
        <x:v>0</x:v>
      </x:c>
      <x:c r="N275" s="10" t="n">
        <x:f>L275-J275-M275</x:f>
        <x:v>34.95</x:v>
      </x:c>
      <x:c r="O275" s="10" t="n">
        <x:f>(G275-H275)*K275</x:f>
        <x:v>13.5</x:v>
      </x:c>
      <x:c r="P275" s="10" t="n">
        <x:f>N275-O275</x:f>
        <x:v>21.450000000000003</x:v>
      </x:c>
      <x:c r="Q275" s="9" t="n">
        <x:f>A275-WEEKDAY(A275,2)+1</x:f>
        <x:v>46265</x:v>
      </x:c>
      <x:c r="R275" s="2" t="str">
        <x:f>IF(AND(A275&gt;='Review'!$B$4,A275&lt;='Review'!$D$4),"Selected","Outside")</x:f>
        <x:v>Outside</x:v>
      </x:c>
    </x:row>
    <x:row r="276" ht="20" customHeight="1">
      <x:c r="A276" s="9" t="n">
        <x:v>46271</x:v>
      </x:c>
      <x:c r="B276" s="2" t="str">
        <x:v>MM-1197</x:v>
      </x:c>
      <x:c r="C276" s="2" t="str">
        <x:v>Email</x:v>
      </x:c>
      <x:c r="D276" s="2" t="str">
        <x:v>BOT-001</x:v>
      </x:c>
      <x:c r="E276" s="2" t="str">
        <x:f>_xlfn.IFNA(VLOOKUP(D276,'Products'!$A$7:$I$22,2,FALSE),"Unmapped")</x:f>
        <x:v>Trail water bottle</x:v>
      </x:c>
      <x:c r="F276" s="2" t="str">
        <x:f>_xlfn.IFNA(VLOOKUP(D276,'Products'!$A$7:$I$22,3,FALSE),"Unmapped")</x:f>
        <x:v>Drinkware</x:v>
      </x:c>
      <x:c r="G276" s="2" t="n">
        <x:v>2</x:v>
      </x:c>
      <x:c r="H276" s="2" t="n">
        <x:v>1</x:v>
      </x:c>
      <x:c r="I276" s="10" t="n">
        <x:v>34.95</x:v>
      </x:c>
      <x:c r="J276" s="10" t="n">
        <x:v>6.99</x:v>
      </x:c>
      <x:c r="K276" s="10" t="n">
        <x:v>13.5</x:v>
      </x:c>
      <x:c r="L276" s="10" t="n">
        <x:f>G276*I276</x:f>
        <x:v>69.9</x:v>
      </x:c>
      <x:c r="M276" s="10" t="n">
        <x:f>ROUND((L276-J276)*H276/G276,2)</x:f>
        <x:v>31.46</x:v>
      </x:c>
      <x:c r="N276" s="10" t="n">
        <x:f>L276-J276-M276</x:f>
        <x:v>31.450000000000003</x:v>
      </x:c>
      <x:c r="O276" s="10" t="n">
        <x:f>(G276-H276)*K276</x:f>
        <x:v>13.5</x:v>
      </x:c>
      <x:c r="P276" s="10" t="n">
        <x:f>N276-O276</x:f>
        <x:v>17.950000000000003</x:v>
      </x:c>
      <x:c r="Q276" s="9" t="n">
        <x:f>A276-WEEKDAY(A276,2)+1</x:f>
        <x:v>46265</x:v>
      </x:c>
      <x:c r="R276" s="2" t="str">
        <x:f>IF(AND(A276&gt;='Review'!$B$4,A276&lt;='Review'!$D$4),"Selected","Outside")</x:f>
        <x:v>Outside</x:v>
      </x:c>
    </x:row>
    <x:row r="277" ht="20" customHeight="1">
      <x:c r="A277" s="9" t="n">
        <x:v>46271</x:v>
      </x:c>
      <x:c r="B277" s="2" t="str">
        <x:v>MM-1211</x:v>
      </x:c>
      <x:c r="C277" s="2" t="str">
        <x:v>Organic Search</x:v>
      </x:c>
      <x:c r="D277" s="2" t="str">
        <x:v>MUG-002</x:v>
      </x:c>
      <x:c r="E277" s="2" t="str">
        <x:f>_xlfn.IFNA(VLOOKUP(D277,'Products'!$A$7:$I$22,2,FALSE),"Unmapped")</x:f>
        <x:v>Campfire enamel mug</x:v>
      </x:c>
      <x:c r="F277" s="2" t="str">
        <x:f>_xlfn.IFNA(VLOOKUP(D277,'Products'!$A$7:$I$22,3,FALSE),"Unmapped")</x:f>
        <x:v>Drinkware</x:v>
      </x:c>
      <x:c r="G277" s="2" t="n">
        <x:v>2</x:v>
      </x:c>
      <x:c r="H277" s="2" t="n">
        <x:v>0</x:v>
      </x:c>
      <x:c r="I277" s="10" t="n">
        <x:v>22.95</x:v>
      </x:c>
      <x:c r="J277" s="10" t="n">
        <x:v>0</x:v>
      </x:c>
      <x:c r="K277" s="10" t="n">
        <x:v>8.5</x:v>
      </x:c>
      <x:c r="L277" s="10" t="n">
        <x:f>G277*I277</x:f>
        <x:v>45.9</x:v>
      </x:c>
      <x:c r="M277" s="10" t="n">
        <x:f>ROUND((L277-J277)*H277/G277,2)</x:f>
        <x:v>0</x:v>
      </x:c>
      <x:c r="N277" s="10" t="n">
        <x:f>L277-J277-M277</x:f>
        <x:v>45.9</x:v>
      </x:c>
      <x:c r="O277" s="10" t="n">
        <x:f>(G277-H277)*K277</x:f>
        <x:v>17</x:v>
      </x:c>
      <x:c r="P277" s="10" t="n">
        <x:f>N277-O277</x:f>
        <x:v>28.9</x:v>
      </x:c>
      <x:c r="Q277" s="9" t="n">
        <x:f>A277-WEEKDAY(A277,2)+1</x:f>
        <x:v>46265</x:v>
      </x:c>
      <x:c r="R277" s="2" t="str">
        <x:f>IF(AND(A277&gt;='Review'!$B$4,A277&lt;='Review'!$D$4),"Selected","Outside")</x:f>
        <x:v>Outside</x:v>
      </x:c>
    </x:row>
    <x:row r="278" ht="20" customHeight="1">
      <x:c r="A278" s="9" t="n">
        <x:v>46271</x:v>
      </x:c>
      <x:c r="B278" s="2" t="str">
        <x:v>MM-1211</x:v>
      </x:c>
      <x:c r="C278" s="2" t="str">
        <x:v>Organic Search</x:v>
      </x:c>
      <x:c r="D278" s="2" t="str">
        <x:v>TUM-002</x:v>
      </x:c>
      <x:c r="E278" s="2" t="str">
        <x:f>_xlfn.IFNA(VLOOKUP(D278,'Products'!$A$7:$I$22,2,FALSE),"Unmapped")</x:f>
        <x:v>Cold brew glass cup</x:v>
      </x:c>
      <x:c r="F278" s="2" t="str">
        <x:f>_xlfn.IFNA(VLOOKUP(D278,'Products'!$A$7:$I$22,3,FALSE),"Unmapped")</x:f>
        <x:v>Drinkware</x:v>
      </x:c>
      <x:c r="G278" s="2" t="n">
        <x:v>1</x:v>
      </x:c>
      <x:c r="H278" s="2" t="n">
        <x:v>0</x:v>
      </x:c>
      <x:c r="I278" s="10" t="n">
        <x:v>24.95</x:v>
      </x:c>
      <x:c r="J278" s="10" t="n">
        <x:v>0</x:v>
      </x:c>
      <x:c r="K278" s="10" t="n">
        <x:v>9</x:v>
      </x:c>
      <x:c r="L278" s="10" t="n">
        <x:f>G278*I278</x:f>
        <x:v>24.95</x:v>
      </x:c>
      <x:c r="M278" s="10" t="n">
        <x:f>ROUND((L278-J278)*H278/G278,2)</x:f>
        <x:v>0</x:v>
      </x:c>
      <x:c r="N278" s="10" t="n">
        <x:f>L278-J278-M278</x:f>
        <x:v>24.95</x:v>
      </x:c>
      <x:c r="O278" s="10" t="n">
        <x:f>(G278-H278)*K278</x:f>
        <x:v>9</x:v>
      </x:c>
      <x:c r="P278" s="10" t="n">
        <x:f>N278-O278</x:f>
        <x:v>15.95</x:v>
      </x:c>
      <x:c r="Q278" s="9" t="n">
        <x:f>A278-WEEKDAY(A278,2)+1</x:f>
        <x:v>46265</x:v>
      </x:c>
      <x:c r="R278" s="2" t="str">
        <x:f>IF(AND(A278&gt;='Review'!$B$4,A278&lt;='Review'!$D$4),"Selected","Outside")</x:f>
        <x:v>Outside</x:v>
      </x:c>
    </x:row>
    <x:row r="279" ht="20" customHeight="1">
      <x:c r="A279" s="9" t="n">
        <x:v>46271</x:v>
      </x:c>
      <x:c r="B279" s="2" t="str">
        <x:v>MM-1198</x:v>
      </x:c>
      <x:c r="C279" s="2" t="str">
        <x:v>Email</x:v>
      </x:c>
      <x:c r="D279" s="2" t="str">
        <x:v>KEY-001</x:v>
      </x:c>
      <x:c r="E279" s="2" t="str">
        <x:f>_xlfn.IFNA(VLOOKUP(D279,'Products'!$A$7:$I$22,2,FALSE),"Unmapped")</x:f>
        <x:v>Maple keyring</x:v>
      </x:c>
      <x:c r="F279" s="2" t="str">
        <x:f>_xlfn.IFNA(VLOOKUP(D279,'Products'!$A$7:$I$22,3,FALSE),"Unmapped")</x:f>
        <x:v>Accessories</x:v>
      </x:c>
      <x:c r="G279" s="2" t="n">
        <x:v>1</x:v>
      </x:c>
      <x:c r="H279" s="2" t="n">
        <x:v>0</x:v>
      </x:c>
      <x:c r="I279" s="10" t="n">
        <x:v>12.95</x:v>
      </x:c>
      <x:c r="J279" s="10" t="n">
        <x:v>1.29</x:v>
      </x:c>
      <x:c r="K279" s="10" t="n">
        <x:v>3.5</x:v>
      </x:c>
      <x:c r="L279" s="10" t="n">
        <x:f>G279*I279</x:f>
        <x:v>12.95</x:v>
      </x:c>
      <x:c r="M279" s="10" t="n">
        <x:f>ROUND((L279-J279)*H279/G279,2)</x:f>
        <x:v>0</x:v>
      </x:c>
      <x:c r="N279" s="10" t="n">
        <x:f>L279-J279-M279</x:f>
        <x:v>11.66</x:v>
      </x:c>
      <x:c r="O279" s="10" t="n">
        <x:f>(G279-H279)*K279</x:f>
        <x:v>3.5</x:v>
      </x:c>
      <x:c r="P279" s="10" t="n">
        <x:f>N279-O279</x:f>
        <x:v>8.16</x:v>
      </x:c>
      <x:c r="Q279" s="9" t="n">
        <x:f>A279-WEEKDAY(A279,2)+1</x:f>
        <x:v>46265</x:v>
      </x:c>
      <x:c r="R279" s="2" t="str">
        <x:f>IF(AND(A279&gt;='Review'!$B$4,A279&lt;='Review'!$D$4),"Selected","Outside")</x:f>
        <x:v>Outside</x:v>
      </x:c>
    </x:row>
    <x:row r="280" ht="20" customHeight="1">
      <x:c r="A280" s="9" t="n">
        <x:v>46271</x:v>
      </x:c>
      <x:c r="B280" s="2" t="str">
        <x:v>MM-1198</x:v>
      </x:c>
      <x:c r="C280" s="2" t="str">
        <x:v>Email</x:v>
      </x:c>
      <x:c r="D280" s="2" t="str">
        <x:v>GFT-002</x:v>
      </x:c>
      <x:c r="E280" s="2" t="str">
        <x:f>_xlfn.IFNA(VLOOKUP(D280,'Products'!$A$7:$I$22,2,FALSE),"Unmapped")</x:f>
        <x:v>Cozy weekend gift box</x:v>
      </x:c>
      <x:c r="F280" s="2" t="str">
        <x:f>_xlfn.IFNA(VLOOKUP(D280,'Products'!$A$7:$I$22,3,FALSE),"Unmapped")</x:f>
        <x:v>Gifts</x:v>
      </x:c>
      <x:c r="G280" s="2" t="n">
        <x:v>1</x:v>
      </x:c>
      <x:c r="H280" s="2" t="n">
        <x:v>0</x:v>
      </x:c>
      <x:c r="I280" s="10" t="n">
        <x:v>79.95</x:v>
      </x:c>
      <x:c r="J280" s="10" t="n">
        <x:v>7.99</x:v>
      </x:c>
      <x:c r="K280" s="10" t="n">
        <x:v>32</x:v>
      </x:c>
      <x:c r="L280" s="10" t="n">
        <x:f>G280*I280</x:f>
        <x:v>79.95</x:v>
      </x:c>
      <x:c r="M280" s="10" t="n">
        <x:f>ROUND((L280-J280)*H280/G280,2)</x:f>
        <x:v>0</x:v>
      </x:c>
      <x:c r="N280" s="10" t="n">
        <x:f>L280-J280-M280</x:f>
        <x:v>71.96000000000001</x:v>
      </x:c>
      <x:c r="O280" s="10" t="n">
        <x:f>(G280-H280)*K280</x:f>
        <x:v>32</x:v>
      </x:c>
      <x:c r="P280" s="10" t="n">
        <x:f>N280-O280</x:f>
        <x:v>39.96000000000001</x:v>
      </x:c>
      <x:c r="Q280" s="9" t="n">
        <x:f>A280-WEEKDAY(A280,2)+1</x:f>
        <x:v>46265</x:v>
      </x:c>
      <x:c r="R280" s="2" t="str">
        <x:f>IF(AND(A280&gt;='Review'!$B$4,A280&lt;='Review'!$D$4),"Selected","Outside")</x:f>
        <x:v>Outside</x:v>
      </x:c>
    </x:row>
    <x:row r="281" ht="20" customHeight="1">
      <x:c r="A281" s="9" t="n">
        <x:v>46271</x:v>
      </x:c>
      <x:c r="B281" s="2" t="str">
        <x:v>MM-1206</x:v>
      </x:c>
      <x:c r="C281" s="2" t="str">
        <x:v>Paid Social</x:v>
      </x:c>
      <x:c r="D281" s="2" t="str">
        <x:v>MUG-002</x:v>
      </x:c>
      <x:c r="E281" s="2" t="str">
        <x:f>_xlfn.IFNA(VLOOKUP(D281,'Products'!$A$7:$I$22,2,FALSE),"Unmapped")</x:f>
        <x:v>Campfire enamel mug</x:v>
      </x:c>
      <x:c r="F281" s="2" t="str">
        <x:f>_xlfn.IFNA(VLOOKUP(D281,'Products'!$A$7:$I$22,3,FALSE),"Unmapped")</x:f>
        <x:v>Drinkware</x:v>
      </x:c>
      <x:c r="G281" s="2" t="n">
        <x:v>3</x:v>
      </x:c>
      <x:c r="H281" s="2" t="n">
        <x:v>0</x:v>
      </x:c>
      <x:c r="I281" s="10" t="n">
        <x:v>22.95</x:v>
      </x:c>
      <x:c r="J281" s="10" t="n">
        <x:v>0</x:v>
      </x:c>
      <x:c r="K281" s="10" t="n">
        <x:v>8.5</x:v>
      </x:c>
      <x:c r="L281" s="10" t="n">
        <x:f>G281*I281</x:f>
        <x:v>68.85</x:v>
      </x:c>
      <x:c r="M281" s="10" t="n">
        <x:f>ROUND((L281-J281)*H281/G281,2)</x:f>
        <x:v>0</x:v>
      </x:c>
      <x:c r="N281" s="10" t="n">
        <x:f>L281-J281-M281</x:f>
        <x:v>68.85</x:v>
      </x:c>
      <x:c r="O281" s="10" t="n">
        <x:f>(G281-H281)*K281</x:f>
        <x:v>25.5</x:v>
      </x:c>
      <x:c r="P281" s="10" t="n">
        <x:f>N281-O281</x:f>
        <x:v>43.349999999999994</x:v>
      </x:c>
      <x:c r="Q281" s="9" t="n">
        <x:f>A281-WEEKDAY(A281,2)+1</x:f>
        <x:v>46265</x:v>
      </x:c>
      <x:c r="R281" s="2" t="str">
        <x:f>IF(AND(A281&gt;='Review'!$B$4,A281&lt;='Review'!$D$4),"Selected","Outside")</x:f>
        <x:v>Outside</x:v>
      </x:c>
    </x:row>
    <x:row r="282" ht="20" customHeight="1">
      <x:c r="A282" s="9" t="n">
        <x:v>46271</x:v>
      </x:c>
      <x:c r="B282" s="2" t="str">
        <x:v>MM-1206</x:v>
      </x:c>
      <x:c r="C282" s="2" t="str">
        <x:v>Paid Social</x:v>
      </x:c>
      <x:c r="D282" s="2" t="str">
        <x:v>TUM-001</x:v>
      </x:c>
      <x:c r="E282" s="2" t="str">
        <x:f>_xlfn.IFNA(VLOOKUP(D282,'Products'!$A$7:$I$22,2,FALSE),"Unmapped")</x:f>
        <x:v>Maple travel tumbler</x:v>
      </x:c>
      <x:c r="F282" s="2" t="str">
        <x:f>_xlfn.IFNA(VLOOKUP(D282,'Products'!$A$7:$I$22,3,FALSE),"Unmapped")</x:f>
        <x:v>Drinkware</x:v>
      </x:c>
      <x:c r="G282" s="2" t="n">
        <x:v>1</x:v>
      </x:c>
      <x:c r="H282" s="2" t="n">
        <x:v>0</x:v>
      </x:c>
      <x:c r="I282" s="10" t="n">
        <x:v>32.95</x:v>
      </x:c>
      <x:c r="J282" s="10" t="n">
        <x:v>0</x:v>
      </x:c>
      <x:c r="K282" s="10" t="n">
        <x:v>12</x:v>
      </x:c>
      <x:c r="L282" s="10" t="n">
        <x:f>G282*I282</x:f>
        <x:v>32.95</x:v>
      </x:c>
      <x:c r="M282" s="10" t="n">
        <x:f>ROUND((L282-J282)*H282/G282,2)</x:f>
        <x:v>0</x:v>
      </x:c>
      <x:c r="N282" s="10" t="n">
        <x:f>L282-J282-M282</x:f>
        <x:v>32.95</x:v>
      </x:c>
      <x:c r="O282" s="10" t="n">
        <x:f>(G282-H282)*K282</x:f>
        <x:v>12</x:v>
      </x:c>
      <x:c r="P282" s="10" t="n">
        <x:f>N282-O282</x:f>
        <x:v>20.950000000000003</x:v>
      </x:c>
      <x:c r="Q282" s="9" t="n">
        <x:f>A282-WEEKDAY(A282,2)+1</x:f>
        <x:v>46265</x:v>
      </x:c>
      <x:c r="R282" s="2" t="str">
        <x:f>IF(AND(A282&gt;='Review'!$B$4,A282&lt;='Review'!$D$4),"Selected","Outside")</x:f>
        <x:v>Outside</x:v>
      </x:c>
    </x:row>
    <x:row r="283" ht="20" customHeight="1">
      <x:c r="A283" s="9" t="n">
        <x:v>46271</x:v>
      </x:c>
      <x:c r="B283" s="2" t="str">
        <x:v>MM-1210</x:v>
      </x:c>
      <x:c r="C283" s="2" t="str">
        <x:v>Direct</x:v>
      </x:c>
      <x:c r="D283" s="2" t="str">
        <x:v>GFT-002</x:v>
      </x:c>
      <x:c r="E283" s="2" t="str">
        <x:f>_xlfn.IFNA(VLOOKUP(D283,'Products'!$A$7:$I$22,2,FALSE),"Unmapped")</x:f>
        <x:v>Cozy weekend gift box</x:v>
      </x:c>
      <x:c r="F283" s="2" t="str">
        <x:f>_xlfn.IFNA(VLOOKUP(D283,'Products'!$A$7:$I$22,3,FALSE),"Unmapped")</x:f>
        <x:v>Gifts</x:v>
      </x:c>
      <x:c r="G283" s="2" t="n">
        <x:v>3</x:v>
      </x:c>
      <x:c r="H283" s="2" t="n">
        <x:v>0</x:v>
      </x:c>
      <x:c r="I283" s="10" t="n">
        <x:v>79.95</x:v>
      </x:c>
      <x:c r="J283" s="10" t="n">
        <x:v>23.98</x:v>
      </x:c>
      <x:c r="K283" s="10" t="n">
        <x:v>32</x:v>
      </x:c>
      <x:c r="L283" s="10" t="n">
        <x:f>G283*I283</x:f>
        <x:v>239.85000000000002</x:v>
      </x:c>
      <x:c r="M283" s="10" t="n">
        <x:f>ROUND((L283-J283)*H283/G283,2)</x:f>
        <x:v>0</x:v>
      </x:c>
      <x:c r="N283" s="10" t="n">
        <x:f>L283-J283-M283</x:f>
        <x:v>215.87000000000003</x:v>
      </x:c>
      <x:c r="O283" s="10" t="n">
        <x:f>(G283-H283)*K283</x:f>
        <x:v>96</x:v>
      </x:c>
      <x:c r="P283" s="10" t="n">
        <x:f>N283-O283</x:f>
        <x:v>119.87000000000003</x:v>
      </x:c>
      <x:c r="Q283" s="9" t="n">
        <x:f>A283-WEEKDAY(A283,2)+1</x:f>
        <x:v>46265</x:v>
      </x:c>
      <x:c r="R283" s="2" t="str">
        <x:f>IF(AND(A283&gt;='Review'!$B$4,A283&lt;='Review'!$D$4),"Selected","Outside")</x:f>
        <x:v>Outside</x:v>
      </x:c>
    </x:row>
    <x:row r="284" ht="20" customHeight="1">
      <x:c r="A284" s="9" t="n">
        <x:v>46272</x:v>
      </x:c>
      <x:c r="B284" s="2" t="str">
        <x:v>MM-1220</x:v>
      </x:c>
      <x:c r="C284" s="2" t="str">
        <x:v>Email</x:v>
      </x:c>
      <x:c r="D284" s="2" t="str">
        <x:v>APP-001</x:v>
      </x:c>
      <x:c r="E284" s="2" t="str">
        <x:f>_xlfn.IFNA(VLOOKUP(D284,'Products'!$A$7:$I$22,2,FALSE),"Unmapped")</x:f>
        <x:v>Everyday crewneck</x:v>
      </x:c>
      <x:c r="F284" s="2" t="str">
        <x:f>_xlfn.IFNA(VLOOKUP(D284,'Products'!$A$7:$I$22,3,FALSE),"Unmapped")</x:f>
        <x:v>Apparel</x:v>
      </x:c>
      <x:c r="G284" s="2" t="n">
        <x:v>1</x:v>
      </x:c>
      <x:c r="H284" s="2" t="n">
        <x:v>0</x:v>
      </x:c>
      <x:c r="I284" s="10" t="n">
        <x:v>54.95</x:v>
      </x:c>
      <x:c r="J284" s="10" t="n">
        <x:v>5.49</x:v>
      </x:c>
      <x:c r="K284" s="10" t="n">
        <x:v>22</x:v>
      </x:c>
      <x:c r="L284" s="10" t="n">
        <x:f>G284*I284</x:f>
        <x:v>54.95</x:v>
      </x:c>
      <x:c r="M284" s="10" t="n">
        <x:f>ROUND((L284-J284)*H284/G284,2)</x:f>
        <x:v>0</x:v>
      </x:c>
      <x:c r="N284" s="10" t="n">
        <x:f>L284-J284-M284</x:f>
        <x:v>49.46</x:v>
      </x:c>
      <x:c r="O284" s="10" t="n">
        <x:f>(G284-H284)*K284</x:f>
        <x:v>22</x:v>
      </x:c>
      <x:c r="P284" s="10" t="n">
        <x:f>N284-O284</x:f>
        <x:v>27.46</x:v>
      </x:c>
      <x:c r="Q284" s="9" t="n">
        <x:f>A284-WEEKDAY(A284,2)+1</x:f>
        <x:v>46272</x:v>
      </x:c>
      <x:c r="R284" s="2" t="str">
        <x:f>IF(AND(A284&gt;='Review'!$B$4,A284&lt;='Review'!$D$4),"Selected","Outside")</x:f>
        <x:v>Outside</x:v>
      </x:c>
    </x:row>
    <x:row r="285" ht="20" customHeight="1">
      <x:c r="A285" s="9" t="n">
        <x:v>46272</x:v>
      </x:c>
      <x:c r="B285" s="2" t="str">
        <x:v>MM-1214</x:v>
      </x:c>
      <x:c r="C285" s="2" t="str">
        <x:v>Organic Search</x:v>
      </x:c>
      <x:c r="D285" s="2" t="str">
        <x:v>APP-001</x:v>
      </x:c>
      <x:c r="E285" s="2" t="str">
        <x:f>_xlfn.IFNA(VLOOKUP(D285,'Products'!$A$7:$I$22,2,FALSE),"Unmapped")</x:f>
        <x:v>Everyday crewneck</x:v>
      </x:c>
      <x:c r="F285" s="2" t="str">
        <x:f>_xlfn.IFNA(VLOOKUP(D285,'Products'!$A$7:$I$22,3,FALSE),"Unmapped")</x:f>
        <x:v>Apparel</x:v>
      </x:c>
      <x:c r="G285" s="2" t="n">
        <x:v>2</x:v>
      </x:c>
      <x:c r="H285" s="2" t="n">
        <x:v>0</x:v>
      </x:c>
      <x:c r="I285" s="10" t="n">
        <x:v>54.95</x:v>
      </x:c>
      <x:c r="J285" s="10" t="n">
        <x:v>0</x:v>
      </x:c>
      <x:c r="K285" s="10" t="n">
        <x:v>22</x:v>
      </x:c>
      <x:c r="L285" s="10" t="n">
        <x:f>G285*I285</x:f>
        <x:v>109.9</x:v>
      </x:c>
      <x:c r="M285" s="10" t="n">
        <x:f>ROUND((L285-J285)*H285/G285,2)</x:f>
        <x:v>0</x:v>
      </x:c>
      <x:c r="N285" s="10" t="n">
        <x:f>L285-J285-M285</x:f>
        <x:v>109.9</x:v>
      </x:c>
      <x:c r="O285" s="10" t="n">
        <x:f>(G285-H285)*K285</x:f>
        <x:v>44</x:v>
      </x:c>
      <x:c r="P285" s="10" t="n">
        <x:f>N285-O285</x:f>
        <x:v>65.9</x:v>
      </x:c>
      <x:c r="Q285" s="9" t="n">
        <x:f>A285-WEEKDAY(A285,2)+1</x:f>
        <x:v>46272</x:v>
      </x:c>
      <x:c r="R285" s="2" t="str">
        <x:f>IF(AND(A285&gt;='Review'!$B$4,A285&lt;='Review'!$D$4),"Selected","Outside")</x:f>
        <x:v>Outside</x:v>
      </x:c>
    </x:row>
    <x:row r="286" ht="20" customHeight="1">
      <x:c r="A286" s="9" t="n">
        <x:v>46272</x:v>
      </x:c>
      <x:c r="B286" s="2" t="str">
        <x:v>MM-1216</x:v>
      </x:c>
      <x:c r="C286" s="2" t="str">
        <x:v>Paid Social</x:v>
      </x:c>
      <x:c r="D286" s="2" t="str">
        <x:v>APP-003</x:v>
      </x:c>
      <x:c r="E286" s="2" t="str">
        <x:f>_xlfn.IFNA(VLOOKUP(D286,'Products'!$A$7:$I$22,2,FALSE),"Unmapped")</x:f>
        <x:v>Coffee club tee</x:v>
      </x:c>
      <x:c r="F286" s="2" t="str">
        <x:f>_xlfn.IFNA(VLOOKUP(D286,'Products'!$A$7:$I$22,3,FALSE),"Unmapped")</x:f>
        <x:v>Apparel</x:v>
      </x:c>
      <x:c r="G286" s="2" t="n">
        <x:v>1</x:v>
      </x:c>
      <x:c r="H286" s="2" t="n">
        <x:v>0</x:v>
      </x:c>
      <x:c r="I286" s="10" t="n">
        <x:v>29.95</x:v>
      </x:c>
      <x:c r="J286" s="10" t="n">
        <x:v>2.99</x:v>
      </x:c>
      <x:c r="K286" s="10" t="n">
        <x:v>10</x:v>
      </x:c>
      <x:c r="L286" s="10" t="n">
        <x:f>G286*I286</x:f>
        <x:v>29.95</x:v>
      </x:c>
      <x:c r="M286" s="10" t="n">
        <x:f>ROUND((L286-J286)*H286/G286,2)</x:f>
        <x:v>0</x:v>
      </x:c>
      <x:c r="N286" s="10" t="n">
        <x:f>L286-J286-M286</x:f>
        <x:v>26.96</x:v>
      </x:c>
      <x:c r="O286" s="10" t="n">
        <x:f>(G286-H286)*K286</x:f>
        <x:v>10</x:v>
      </x:c>
      <x:c r="P286" s="10" t="n">
        <x:f>N286-O286</x:f>
        <x:v>16.96</x:v>
      </x:c>
      <x:c r="Q286" s="9" t="n">
        <x:f>A286-WEEKDAY(A286,2)+1</x:f>
        <x:v>46272</x:v>
      </x:c>
      <x:c r="R286" s="2" t="str">
        <x:f>IF(AND(A286&gt;='Review'!$B$4,A286&lt;='Review'!$D$4),"Selected","Outside")</x:f>
        <x:v>Outside</x:v>
      </x:c>
    </x:row>
    <x:row r="287" ht="20" customHeight="1">
      <x:c r="A287" s="9" t="n">
        <x:v>46272</x:v>
      </x:c>
      <x:c r="B287" s="2" t="str">
        <x:v>MM-1213</x:v>
      </x:c>
      <x:c r="C287" s="2" t="str">
        <x:v>Paid Social</x:v>
      </x:c>
      <x:c r="D287" s="2" t="str">
        <x:v>MUG-002</x:v>
      </x:c>
      <x:c r="E287" s="2" t="str">
        <x:f>_xlfn.IFNA(VLOOKUP(D287,'Products'!$A$7:$I$22,2,FALSE),"Unmapped")</x:f>
        <x:v>Campfire enamel mug</x:v>
      </x:c>
      <x:c r="F287" s="2" t="str">
        <x:f>_xlfn.IFNA(VLOOKUP(D287,'Products'!$A$7:$I$22,3,FALSE),"Unmapped")</x:f>
        <x:v>Drinkware</x:v>
      </x:c>
      <x:c r="G287" s="2" t="n">
        <x:v>2</x:v>
      </x:c>
      <x:c r="H287" s="2" t="n">
        <x:v>0</x:v>
      </x:c>
      <x:c r="I287" s="10" t="n">
        <x:v>22.95</x:v>
      </x:c>
      <x:c r="J287" s="10" t="n">
        <x:v>0</x:v>
      </x:c>
      <x:c r="K287" s="10" t="n">
        <x:v>8.5</x:v>
      </x:c>
      <x:c r="L287" s="10" t="n">
        <x:f>G287*I287</x:f>
        <x:v>45.9</x:v>
      </x:c>
      <x:c r="M287" s="10" t="n">
        <x:f>ROUND((L287-J287)*H287/G287,2)</x:f>
        <x:v>0</x:v>
      </x:c>
      <x:c r="N287" s="10" t="n">
        <x:f>L287-J287-M287</x:f>
        <x:v>45.9</x:v>
      </x:c>
      <x:c r="O287" s="10" t="n">
        <x:f>(G287-H287)*K287</x:f>
        <x:v>17</x:v>
      </x:c>
      <x:c r="P287" s="10" t="n">
        <x:f>N287-O287</x:f>
        <x:v>28.9</x:v>
      </x:c>
      <x:c r="Q287" s="9" t="n">
        <x:f>A287-WEEKDAY(A287,2)+1</x:f>
        <x:v>46272</x:v>
      </x:c>
      <x:c r="R287" s="2" t="str">
        <x:f>IF(AND(A287&gt;='Review'!$B$4,A287&lt;='Review'!$D$4),"Selected","Outside")</x:f>
        <x:v>Outside</x:v>
      </x:c>
    </x:row>
    <x:row r="288" ht="20" customHeight="1">
      <x:c r="A288" s="9" t="n">
        <x:v>46272</x:v>
      </x:c>
      <x:c r="B288" s="2" t="str">
        <x:v>MM-1213</x:v>
      </x:c>
      <x:c r="C288" s="2" t="str">
        <x:v>Paid Social</x:v>
      </x:c>
      <x:c r="D288" s="2" t="str">
        <x:v>GFT-002</x:v>
      </x:c>
      <x:c r="E288" s="2" t="str">
        <x:f>_xlfn.IFNA(VLOOKUP(D288,'Products'!$A$7:$I$22,2,FALSE),"Unmapped")</x:f>
        <x:v>Cozy weekend gift box</x:v>
      </x:c>
      <x:c r="F288" s="2" t="str">
        <x:f>_xlfn.IFNA(VLOOKUP(D288,'Products'!$A$7:$I$22,3,FALSE),"Unmapped")</x:f>
        <x:v>Gifts</x:v>
      </x:c>
      <x:c r="G288" s="2" t="n">
        <x:v>1</x:v>
      </x:c>
      <x:c r="H288" s="2" t="n">
        <x:v>0</x:v>
      </x:c>
      <x:c r="I288" s="10" t="n">
        <x:v>79.95</x:v>
      </x:c>
      <x:c r="J288" s="10" t="n">
        <x:v>7.99</x:v>
      </x:c>
      <x:c r="K288" s="10" t="n">
        <x:v>32</x:v>
      </x:c>
      <x:c r="L288" s="10" t="n">
        <x:f>G288*I288</x:f>
        <x:v>79.95</x:v>
      </x:c>
      <x:c r="M288" s="10" t="n">
        <x:f>ROUND((L288-J288)*H288/G288,2)</x:f>
        <x:v>0</x:v>
      </x:c>
      <x:c r="N288" s="10" t="n">
        <x:f>L288-J288-M288</x:f>
        <x:v>71.96000000000001</x:v>
      </x:c>
      <x:c r="O288" s="10" t="n">
        <x:f>(G288-H288)*K288</x:f>
        <x:v>32</x:v>
      </x:c>
      <x:c r="P288" s="10" t="n">
        <x:f>N288-O288</x:f>
        <x:v>39.96000000000001</x:v>
      </x:c>
      <x:c r="Q288" s="9" t="n">
        <x:f>A288-WEEKDAY(A288,2)+1</x:f>
        <x:v>46272</x:v>
      </x:c>
      <x:c r="R288" s="2" t="str">
        <x:f>IF(AND(A288&gt;='Review'!$B$4,A288&lt;='Review'!$D$4),"Selected","Outside")</x:f>
        <x:v>Outside</x:v>
      </x:c>
    </x:row>
    <x:row r="289" ht="20" customHeight="1">
      <x:c r="A289" s="9" t="n">
        <x:v>46272</x:v>
      </x:c>
      <x:c r="B289" s="2" t="str">
        <x:v>MM-1213</x:v>
      </x:c>
      <x:c r="C289" s="2" t="str">
        <x:v>Paid Social</x:v>
      </x:c>
      <x:c r="D289" s="2" t="str">
        <x:v>GFT-001</x:v>
      </x:c>
      <x:c r="E289" s="2" t="str">
        <x:f>_xlfn.IFNA(VLOOKUP(D289,'Products'!$A$7:$I$22,2,FALSE),"Unmapped")</x:f>
        <x:v>Morning ritual gift set</x:v>
      </x:c>
      <x:c r="F289" s="2" t="str">
        <x:f>_xlfn.IFNA(VLOOKUP(D289,'Products'!$A$7:$I$22,3,FALSE),"Unmapped")</x:f>
        <x:v>Gifts</x:v>
      </x:c>
      <x:c r="G289" s="2" t="n">
        <x:v>1</x:v>
      </x:c>
      <x:c r="H289" s="2" t="n">
        <x:v>0</x:v>
      </x:c>
      <x:c r="I289" s="10" t="n">
        <x:v>59.95</x:v>
      </x:c>
      <x:c r="J289" s="10" t="n">
        <x:v>5.99</x:v>
      </x:c>
      <x:c r="K289" s="10" t="n">
        <x:v>24</x:v>
      </x:c>
      <x:c r="L289" s="10" t="n">
        <x:f>G289*I289</x:f>
        <x:v>59.95</x:v>
      </x:c>
      <x:c r="M289" s="10" t="n">
        <x:f>ROUND((L289-J289)*H289/G289,2)</x:f>
        <x:v>0</x:v>
      </x:c>
      <x:c r="N289" s="10" t="n">
        <x:f>L289-J289-M289</x:f>
        <x:v>53.96</x:v>
      </x:c>
      <x:c r="O289" s="10" t="n">
        <x:f>(G289-H289)*K289</x:f>
        <x:v>24</x:v>
      </x:c>
      <x:c r="P289" s="10" t="n">
        <x:f>N289-O289</x:f>
        <x:v>29.96</x:v>
      </x:c>
      <x:c r="Q289" s="9" t="n">
        <x:f>A289-WEEKDAY(A289,2)+1</x:f>
        <x:v>46272</x:v>
      </x:c>
      <x:c r="R289" s="2" t="str">
        <x:f>IF(AND(A289&gt;='Review'!$B$4,A289&lt;='Review'!$D$4),"Selected","Outside")</x:f>
        <x:v>Outside</x:v>
      </x:c>
    </x:row>
    <x:row r="290" ht="20" customHeight="1">
      <x:c r="A290" s="9" t="n">
        <x:v>46272</x:v>
      </x:c>
      <x:c r="B290" s="2" t="str">
        <x:v>MM-1212</x:v>
      </x:c>
      <x:c r="C290" s="2" t="str">
        <x:v>Paid Social</x:v>
      </x:c>
      <x:c r="D290" s="2" t="str">
        <x:v>APP-003</x:v>
      </x:c>
      <x:c r="E290" s="2" t="str">
        <x:f>_xlfn.IFNA(VLOOKUP(D290,'Products'!$A$7:$I$22,2,FALSE),"Unmapped")</x:f>
        <x:v>Coffee club tee</x:v>
      </x:c>
      <x:c r="F290" s="2" t="str">
        <x:f>_xlfn.IFNA(VLOOKUP(D290,'Products'!$A$7:$I$22,3,FALSE),"Unmapped")</x:f>
        <x:v>Apparel</x:v>
      </x:c>
      <x:c r="G290" s="2" t="n">
        <x:v>2</x:v>
      </x:c>
      <x:c r="H290" s="2" t="n">
        <x:v>0</x:v>
      </x:c>
      <x:c r="I290" s="10" t="n">
        <x:v>29.95</x:v>
      </x:c>
      <x:c r="J290" s="10" t="n">
        <x:v>5.99</x:v>
      </x:c>
      <x:c r="K290" s="10" t="n">
        <x:v>10</x:v>
      </x:c>
      <x:c r="L290" s="10" t="n">
        <x:f>G290*I290</x:f>
        <x:v>59.9</x:v>
      </x:c>
      <x:c r="M290" s="10" t="n">
        <x:f>ROUND((L290-J290)*H290/G290,2)</x:f>
        <x:v>0</x:v>
      </x:c>
      <x:c r="N290" s="10" t="n">
        <x:f>L290-J290-M290</x:f>
        <x:v>53.91</x:v>
      </x:c>
      <x:c r="O290" s="10" t="n">
        <x:f>(G290-H290)*K290</x:f>
        <x:v>20</x:v>
      </x:c>
      <x:c r="P290" s="10" t="n">
        <x:f>N290-O290</x:f>
        <x:v>33.91</x:v>
      </x:c>
      <x:c r="Q290" s="9" t="n">
        <x:f>A290-WEEKDAY(A290,2)+1</x:f>
        <x:v>46272</x:v>
      </x:c>
      <x:c r="R290" s="2" t="str">
        <x:f>IF(AND(A290&gt;='Review'!$B$4,A290&lt;='Review'!$D$4),"Selected","Outside")</x:f>
        <x:v>Outside</x:v>
      </x:c>
    </x:row>
    <x:row r="291" ht="20" customHeight="1">
      <x:c r="A291" s="9" t="n">
        <x:v>46272</x:v>
      </x:c>
      <x:c r="B291" s="2" t="str">
        <x:v>MM-1218</x:v>
      </x:c>
      <x:c r="C291" s="2" t="str">
        <x:v>Direct</x:v>
      </x:c>
      <x:c r="D291" s="2" t="str">
        <x:v>GFT-002</x:v>
      </x:c>
      <x:c r="E291" s="2" t="str">
        <x:f>_xlfn.IFNA(VLOOKUP(D291,'Products'!$A$7:$I$22,2,FALSE),"Unmapped")</x:f>
        <x:v>Cozy weekend gift box</x:v>
      </x:c>
      <x:c r="F291" s="2" t="str">
        <x:f>_xlfn.IFNA(VLOOKUP(D291,'Products'!$A$7:$I$22,3,FALSE),"Unmapped")</x:f>
        <x:v>Gifts</x:v>
      </x:c>
      <x:c r="G291" s="2" t="n">
        <x:v>1</x:v>
      </x:c>
      <x:c r="H291" s="2" t="n">
        <x:v>0</x:v>
      </x:c>
      <x:c r="I291" s="10" t="n">
        <x:v>79.95</x:v>
      </x:c>
      <x:c r="J291" s="10" t="n">
        <x:v>0</x:v>
      </x:c>
      <x:c r="K291" s="10" t="n">
        <x:v>32</x:v>
      </x:c>
      <x:c r="L291" s="10" t="n">
        <x:f>G291*I291</x:f>
        <x:v>79.95</x:v>
      </x:c>
      <x:c r="M291" s="10" t="n">
        <x:f>ROUND((L291-J291)*H291/G291,2)</x:f>
        <x:v>0</x:v>
      </x:c>
      <x:c r="N291" s="10" t="n">
        <x:f>L291-J291-M291</x:f>
        <x:v>79.95</x:v>
      </x:c>
      <x:c r="O291" s="10" t="n">
        <x:f>(G291-H291)*K291</x:f>
        <x:v>32</x:v>
      </x:c>
      <x:c r="P291" s="10" t="n">
        <x:f>N291-O291</x:f>
        <x:v>47.95</x:v>
      </x:c>
      <x:c r="Q291" s="9" t="n">
        <x:f>A291-WEEKDAY(A291,2)+1</x:f>
        <x:v>46272</x:v>
      </x:c>
      <x:c r="R291" s="2" t="str">
        <x:f>IF(AND(A291&gt;='Review'!$B$4,A291&lt;='Review'!$D$4),"Selected","Outside")</x:f>
        <x:v>Outside</x:v>
      </x:c>
    </x:row>
    <x:row r="292" ht="20" customHeight="1">
      <x:c r="A292" s="9" t="n">
        <x:v>46272</x:v>
      </x:c>
      <x:c r="B292" s="2" t="str">
        <x:v>MM-1219</x:v>
      </x:c>
      <x:c r="C292" s="2" t="str">
        <x:v>Direct</x:v>
      </x:c>
      <x:c r="D292" s="2" t="str">
        <x:v>HAT-001</x:v>
      </x:c>
      <x:c r="E292" s="2" t="str">
        <x:f>_xlfn.IFNA(VLOOKUP(D292,'Products'!$A$7:$I$22,2,FALSE),"Unmapped")</x:f>
        <x:v>Classic canvas cap</x:v>
      </x:c>
      <x:c r="F292" s="2" t="str">
        <x:f>_xlfn.IFNA(VLOOKUP(D292,'Products'!$A$7:$I$22,3,FALSE),"Unmapped")</x:f>
        <x:v>Accessories</x:v>
      </x:c>
      <x:c r="G292" s="2" t="n">
        <x:v>1</x:v>
      </x:c>
      <x:c r="H292" s="2" t="n">
        <x:v>0</x:v>
      </x:c>
      <x:c r="I292" s="10" t="n">
        <x:v>24.95</x:v>
      </x:c>
      <x:c r="J292" s="10" t="n">
        <x:v>0</x:v>
      </x:c>
      <x:c r="K292" s="10" t="n">
        <x:v>8.5</x:v>
      </x:c>
      <x:c r="L292" s="10" t="n">
        <x:f>G292*I292</x:f>
        <x:v>24.95</x:v>
      </x:c>
      <x:c r="M292" s="10" t="n">
        <x:f>ROUND((L292-J292)*H292/G292,2)</x:f>
        <x:v>0</x:v>
      </x:c>
      <x:c r="N292" s="10" t="n">
        <x:f>L292-J292-M292</x:f>
        <x:v>24.95</x:v>
      </x:c>
      <x:c r="O292" s="10" t="n">
        <x:f>(G292-H292)*K292</x:f>
        <x:v>8.5</x:v>
      </x:c>
      <x:c r="P292" s="10" t="n">
        <x:f>N292-O292</x:f>
        <x:v>16.45</x:v>
      </x:c>
      <x:c r="Q292" s="9" t="n">
        <x:f>A292-WEEKDAY(A292,2)+1</x:f>
        <x:v>46272</x:v>
      </x:c>
      <x:c r="R292" s="2" t="str">
        <x:f>IF(AND(A292&gt;='Review'!$B$4,A292&lt;='Review'!$D$4),"Selected","Outside")</x:f>
        <x:v>Outside</x:v>
      </x:c>
    </x:row>
    <x:row r="293" ht="20" customHeight="1">
      <x:c r="A293" s="9" t="n">
        <x:v>46272</x:v>
      </x:c>
      <x:c r="B293" s="2" t="str">
        <x:v>MM-1219</x:v>
      </x:c>
      <x:c r="C293" s="2" t="str">
        <x:v>Direct</x:v>
      </x:c>
      <x:c r="D293" s="2" t="str">
        <x:v>KEY-001</x:v>
      </x:c>
      <x:c r="E293" s="2" t="str">
        <x:f>_xlfn.IFNA(VLOOKUP(D293,'Products'!$A$7:$I$22,2,FALSE),"Unmapped")</x:f>
        <x:v>Maple keyring</x:v>
      </x:c>
      <x:c r="F293" s="2" t="str">
        <x:f>_xlfn.IFNA(VLOOKUP(D293,'Products'!$A$7:$I$22,3,FALSE),"Unmapped")</x:f>
        <x:v>Accessories</x:v>
      </x:c>
      <x:c r="G293" s="2" t="n">
        <x:v>2</x:v>
      </x:c>
      <x:c r="H293" s="2" t="n">
        <x:v>0</x:v>
      </x:c>
      <x:c r="I293" s="10" t="n">
        <x:v>12.95</x:v>
      </x:c>
      <x:c r="J293" s="10" t="n">
        <x:v>2.59</x:v>
      </x:c>
      <x:c r="K293" s="10" t="n">
        <x:v>3.5</x:v>
      </x:c>
      <x:c r="L293" s="10" t="n">
        <x:f>G293*I293</x:f>
        <x:v>25.9</x:v>
      </x:c>
      <x:c r="M293" s="10" t="n">
        <x:f>ROUND((L293-J293)*H293/G293,2)</x:f>
        <x:v>0</x:v>
      </x:c>
      <x:c r="N293" s="10" t="n">
        <x:f>L293-J293-M293</x:f>
        <x:v>23.31</x:v>
      </x:c>
      <x:c r="O293" s="10" t="n">
        <x:f>(G293-H293)*K293</x:f>
        <x:v>7</x:v>
      </x:c>
      <x:c r="P293" s="10" t="n">
        <x:f>N293-O293</x:f>
        <x:v>16.31</x:v>
      </x:c>
      <x:c r="Q293" s="9" t="n">
        <x:f>A293-WEEKDAY(A293,2)+1</x:f>
        <x:v>46272</x:v>
      </x:c>
      <x:c r="R293" s="2" t="str">
        <x:f>IF(AND(A293&gt;='Review'!$B$4,A293&lt;='Review'!$D$4),"Selected","Outside")</x:f>
        <x:v>Outside</x:v>
      </x:c>
    </x:row>
    <x:row r="294" ht="20" customHeight="1">
      <x:c r="A294" s="9" t="n">
        <x:v>46272</x:v>
      </x:c>
      <x:c r="B294" s="2" t="str">
        <x:v>MM-1215</x:v>
      </x:c>
      <x:c r="C294" s="2" t="str">
        <x:v>Direct</x:v>
      </x:c>
      <x:c r="D294" s="2" t="str">
        <x:v>APP-001</x:v>
      </x:c>
      <x:c r="E294" s="2" t="str">
        <x:f>_xlfn.IFNA(VLOOKUP(D294,'Products'!$A$7:$I$22,2,FALSE),"Unmapped")</x:f>
        <x:v>Everyday crewneck</x:v>
      </x:c>
      <x:c r="F294" s="2" t="str">
        <x:f>_xlfn.IFNA(VLOOKUP(D294,'Products'!$A$7:$I$22,3,FALSE),"Unmapped")</x:f>
        <x:v>Apparel</x:v>
      </x:c>
      <x:c r="G294" s="2" t="n">
        <x:v>2</x:v>
      </x:c>
      <x:c r="H294" s="2" t="n">
        <x:v>0</x:v>
      </x:c>
      <x:c r="I294" s="10" t="n">
        <x:v>54.95</x:v>
      </x:c>
      <x:c r="J294" s="10" t="n">
        <x:v>0</x:v>
      </x:c>
      <x:c r="K294" s="10" t="n">
        <x:v>22</x:v>
      </x:c>
      <x:c r="L294" s="10" t="n">
        <x:f>G294*I294</x:f>
        <x:v>109.9</x:v>
      </x:c>
      <x:c r="M294" s="10" t="n">
        <x:f>ROUND((L294-J294)*H294/G294,2)</x:f>
        <x:v>0</x:v>
      </x:c>
      <x:c r="N294" s="10" t="n">
        <x:f>L294-J294-M294</x:f>
        <x:v>109.9</x:v>
      </x:c>
      <x:c r="O294" s="10" t="n">
        <x:f>(G294-H294)*K294</x:f>
        <x:v>44</x:v>
      </x:c>
      <x:c r="P294" s="10" t="n">
        <x:f>N294-O294</x:f>
        <x:v>65.9</x:v>
      </x:c>
      <x:c r="Q294" s="9" t="n">
        <x:f>A294-WEEKDAY(A294,2)+1</x:f>
        <x:v>46272</x:v>
      </x:c>
      <x:c r="R294" s="2" t="str">
        <x:f>IF(AND(A294&gt;='Review'!$B$4,A294&lt;='Review'!$D$4),"Selected","Outside")</x:f>
        <x:v>Outside</x:v>
      </x:c>
    </x:row>
    <x:row r="295" ht="20" customHeight="1">
      <x:c r="A295" s="9" t="n">
        <x:v>46272</x:v>
      </x:c>
      <x:c r="B295" s="2" t="str">
        <x:v>MM-1215</x:v>
      </x:c>
      <x:c r="C295" s="2" t="str">
        <x:v>Direct</x:v>
      </x:c>
      <x:c r="D295" s="2" t="str">
        <x:v>KEY-001</x:v>
      </x:c>
      <x:c r="E295" s="2" t="str">
        <x:f>_xlfn.IFNA(VLOOKUP(D295,'Products'!$A$7:$I$22,2,FALSE),"Unmapped")</x:f>
        <x:v>Maple keyring</x:v>
      </x:c>
      <x:c r="F295" s="2" t="str">
        <x:f>_xlfn.IFNA(VLOOKUP(D295,'Products'!$A$7:$I$22,3,FALSE),"Unmapped")</x:f>
        <x:v>Accessories</x:v>
      </x:c>
      <x:c r="G295" s="2" t="n">
        <x:v>1</x:v>
      </x:c>
      <x:c r="H295" s="2" t="n">
        <x:v>0</x:v>
      </x:c>
      <x:c r="I295" s="10" t="n">
        <x:v>12.95</x:v>
      </x:c>
      <x:c r="J295" s="10" t="n">
        <x:v>0</x:v>
      </x:c>
      <x:c r="K295" s="10" t="n">
        <x:v>3.5</x:v>
      </x:c>
      <x:c r="L295" s="10" t="n">
        <x:f>G295*I295</x:f>
        <x:v>12.95</x:v>
      </x:c>
      <x:c r="M295" s="10" t="n">
        <x:f>ROUND((L295-J295)*H295/G295,2)</x:f>
        <x:v>0</x:v>
      </x:c>
      <x:c r="N295" s="10" t="n">
        <x:f>L295-J295-M295</x:f>
        <x:v>12.95</x:v>
      </x:c>
      <x:c r="O295" s="10" t="n">
        <x:f>(G295-H295)*K295</x:f>
        <x:v>3.5</x:v>
      </x:c>
      <x:c r="P295" s="10" t="n">
        <x:f>N295-O295</x:f>
        <x:v>9.45</x:v>
      </x:c>
      <x:c r="Q295" s="9" t="n">
        <x:f>A295-WEEKDAY(A295,2)+1</x:f>
        <x:v>46272</x:v>
      </x:c>
      <x:c r="R295" s="2" t="str">
        <x:f>IF(AND(A295&gt;='Review'!$B$4,A295&lt;='Review'!$D$4),"Selected","Outside")</x:f>
        <x:v>Outside</x:v>
      </x:c>
    </x:row>
    <x:row r="296" ht="20" customHeight="1">
      <x:c r="A296" s="9" t="n">
        <x:v>46272</x:v>
      </x:c>
      <x:c r="B296" s="2" t="str">
        <x:v>MM-1217</x:v>
      </x:c>
      <x:c r="C296" s="2" t="str">
        <x:v>Organic Search</x:v>
      </x:c>
      <x:c r="D296" s="2" t="str">
        <x:v>GFT-002</x:v>
      </x:c>
      <x:c r="E296" s="2" t="str">
        <x:f>_xlfn.IFNA(VLOOKUP(D296,'Products'!$A$7:$I$22,2,FALSE),"Unmapped")</x:f>
        <x:v>Cozy weekend gift box</x:v>
      </x:c>
      <x:c r="F296" s="2" t="str">
        <x:f>_xlfn.IFNA(VLOOKUP(D296,'Products'!$A$7:$I$22,3,FALSE),"Unmapped")</x:f>
        <x:v>Gifts</x:v>
      </x:c>
      <x:c r="G296" s="2" t="n">
        <x:v>2</x:v>
      </x:c>
      <x:c r="H296" s="2" t="n">
        <x:v>0</x:v>
      </x:c>
      <x:c r="I296" s="10" t="n">
        <x:v>79.95</x:v>
      </x:c>
      <x:c r="J296" s="10" t="n">
        <x:v>0</x:v>
      </x:c>
      <x:c r="K296" s="10" t="n">
        <x:v>32</x:v>
      </x:c>
      <x:c r="L296" s="10" t="n">
        <x:f>G296*I296</x:f>
        <x:v>159.9</x:v>
      </x:c>
      <x:c r="M296" s="10" t="n">
        <x:f>ROUND((L296-J296)*H296/G296,2)</x:f>
        <x:v>0</x:v>
      </x:c>
      <x:c r="N296" s="10" t="n">
        <x:f>L296-J296-M296</x:f>
        <x:v>159.9</x:v>
      </x:c>
      <x:c r="O296" s="10" t="n">
        <x:f>(G296-H296)*K296</x:f>
        <x:v>64</x:v>
      </x:c>
      <x:c r="P296" s="10" t="n">
        <x:f>N296-O296</x:f>
        <x:v>95.9</x:v>
      </x:c>
      <x:c r="Q296" s="9" t="n">
        <x:f>A296-WEEKDAY(A296,2)+1</x:f>
        <x:v>46272</x:v>
      </x:c>
      <x:c r="R296" s="2" t="str">
        <x:f>IF(AND(A296&gt;='Review'!$B$4,A296&lt;='Review'!$D$4),"Selected","Outside")</x:f>
        <x:v>Outside</x:v>
      </x:c>
    </x:row>
    <x:row r="297" ht="20" customHeight="1">
      <x:c r="A297" s="9" t="n">
        <x:v>46272</x:v>
      </x:c>
      <x:c r="B297" s="2" t="str">
        <x:v>MM-1217</x:v>
      </x:c>
      <x:c r="C297" s="2" t="str">
        <x:v>Organic Search</x:v>
      </x:c>
      <x:c r="D297" s="2" t="str">
        <x:v>APP-001</x:v>
      </x:c>
      <x:c r="E297" s="2" t="str">
        <x:f>_xlfn.IFNA(VLOOKUP(D297,'Products'!$A$7:$I$22,2,FALSE),"Unmapped")</x:f>
        <x:v>Everyday crewneck</x:v>
      </x:c>
      <x:c r="F297" s="2" t="str">
        <x:f>_xlfn.IFNA(VLOOKUP(D297,'Products'!$A$7:$I$22,3,FALSE),"Unmapped")</x:f>
        <x:v>Apparel</x:v>
      </x:c>
      <x:c r="G297" s="2" t="n">
        <x:v>1</x:v>
      </x:c>
      <x:c r="H297" s="2" t="n">
        <x:v>0</x:v>
      </x:c>
      <x:c r="I297" s="10" t="n">
        <x:v>54.95</x:v>
      </x:c>
      <x:c r="J297" s="10" t="n">
        <x:v>0</x:v>
      </x:c>
      <x:c r="K297" s="10" t="n">
        <x:v>22</x:v>
      </x:c>
      <x:c r="L297" s="10" t="n">
        <x:f>G297*I297</x:f>
        <x:v>54.95</x:v>
      </x:c>
      <x:c r="M297" s="10" t="n">
        <x:f>ROUND((L297-J297)*H297/G297,2)</x:f>
        <x:v>0</x:v>
      </x:c>
      <x:c r="N297" s="10" t="n">
        <x:f>L297-J297-M297</x:f>
        <x:v>54.95</x:v>
      </x:c>
      <x:c r="O297" s="10" t="n">
        <x:f>(G297-H297)*K297</x:f>
        <x:v>22</x:v>
      </x:c>
      <x:c r="P297" s="10" t="n">
        <x:f>N297-O297</x:f>
        <x:v>32.95</x:v>
      </x:c>
      <x:c r="Q297" s="9" t="n">
        <x:f>A297-WEEKDAY(A297,2)+1</x:f>
        <x:v>46272</x:v>
      </x:c>
      <x:c r="R297" s="2" t="str">
        <x:f>IF(AND(A297&gt;='Review'!$B$4,A297&lt;='Review'!$D$4),"Selected","Outside")</x:f>
        <x:v>Outside</x:v>
      </x:c>
    </x:row>
    <x:row r="298" ht="20" customHeight="1">
      <x:c r="A298" s="9" t="n">
        <x:v>46272</x:v>
      </x:c>
      <x:c r="B298" s="2" t="str">
        <x:v>MM-1221</x:v>
      </x:c>
      <x:c r="C298" s="2" t="str">
        <x:v>Organic Search</x:v>
      </x:c>
      <x:c r="D298" s="2" t="str">
        <x:v>TOTE-001</x:v>
      </x:c>
      <x:c r="E298" s="2" t="str">
        <x:f>_xlfn.IFNA(VLOOKUP(D298,'Products'!$A$7:$I$22,2,FALSE),"Unmapped")</x:f>
        <x:v>Market canvas tote</x:v>
      </x:c>
      <x:c r="F298" s="2" t="str">
        <x:f>_xlfn.IFNA(VLOOKUP(D298,'Products'!$A$7:$I$22,3,FALSE),"Unmapped")</x:f>
        <x:v>Accessories</x:v>
      </x:c>
      <x:c r="G298" s="2" t="n">
        <x:v>2</x:v>
      </x:c>
      <x:c r="H298" s="2" t="n">
        <x:v>0</x:v>
      </x:c>
      <x:c r="I298" s="10" t="n">
        <x:v>19.95</x:v>
      </x:c>
      <x:c r="J298" s="10" t="n">
        <x:v>0</x:v>
      </x:c>
      <x:c r="K298" s="10" t="n">
        <x:v>6</x:v>
      </x:c>
      <x:c r="L298" s="10" t="n">
        <x:f>G298*I298</x:f>
        <x:v>39.9</x:v>
      </x:c>
      <x:c r="M298" s="10" t="n">
        <x:f>ROUND((L298-J298)*H298/G298,2)</x:f>
        <x:v>0</x:v>
      </x:c>
      <x:c r="N298" s="10" t="n">
        <x:f>L298-J298-M298</x:f>
        <x:v>39.9</x:v>
      </x:c>
      <x:c r="O298" s="10" t="n">
        <x:f>(G298-H298)*K298</x:f>
        <x:v>12</x:v>
      </x:c>
      <x:c r="P298" s="10" t="n">
        <x:f>N298-O298</x:f>
        <x:v>27.9</x:v>
      </x:c>
      <x:c r="Q298" s="9" t="n">
        <x:f>A298-WEEKDAY(A298,2)+1</x:f>
        <x:v>46272</x:v>
      </x:c>
      <x:c r="R298" s="2" t="str">
        <x:f>IF(AND(A298&gt;='Review'!$B$4,A298&lt;='Review'!$D$4),"Selected","Outside")</x:f>
        <x:v>Outside</x:v>
      </x:c>
    </x:row>
    <x:row r="299" ht="20" customHeight="1">
      <x:c r="A299" s="9" t="n">
        <x:v>46272</x:v>
      </x:c>
      <x:c r="B299" s="2" t="str">
        <x:v>MM-1222</x:v>
      </x:c>
      <x:c r="C299" s="2" t="str">
        <x:v>Direct</x:v>
      </x:c>
      <x:c r="D299" s="2" t="str">
        <x:v>APP-003</x:v>
      </x:c>
      <x:c r="E299" s="2" t="str">
        <x:f>_xlfn.IFNA(VLOOKUP(D299,'Products'!$A$7:$I$22,2,FALSE),"Unmapped")</x:f>
        <x:v>Coffee club tee</x:v>
      </x:c>
      <x:c r="F299" s="2" t="str">
        <x:f>_xlfn.IFNA(VLOOKUP(D299,'Products'!$A$7:$I$22,3,FALSE),"Unmapped")</x:f>
        <x:v>Apparel</x:v>
      </x:c>
      <x:c r="G299" s="2" t="n">
        <x:v>3</x:v>
      </x:c>
      <x:c r="H299" s="2" t="n">
        <x:v>0</x:v>
      </x:c>
      <x:c r="I299" s="10" t="n">
        <x:v>29.95</x:v>
      </x:c>
      <x:c r="J299" s="10" t="n">
        <x:v>0</x:v>
      </x:c>
      <x:c r="K299" s="10" t="n">
        <x:v>10</x:v>
      </x:c>
      <x:c r="L299" s="10" t="n">
        <x:f>G299*I299</x:f>
        <x:v>89.85</x:v>
      </x:c>
      <x:c r="M299" s="10" t="n">
        <x:f>ROUND((L299-J299)*H299/G299,2)</x:f>
        <x:v>0</x:v>
      </x:c>
      <x:c r="N299" s="10" t="n">
        <x:f>L299-J299-M299</x:f>
        <x:v>89.85</x:v>
      </x:c>
      <x:c r="O299" s="10" t="n">
        <x:f>(G299-H299)*K299</x:f>
        <x:v>30</x:v>
      </x:c>
      <x:c r="P299" s="10" t="n">
        <x:f>N299-O299</x:f>
        <x:v>59.849999999999994</x:v>
      </x:c>
      <x:c r="Q299" s="9" t="n">
        <x:f>A299-WEEKDAY(A299,2)+1</x:f>
        <x:v>46272</x:v>
      </x:c>
      <x:c r="R299" s="2" t="str">
        <x:f>IF(AND(A299&gt;='Review'!$B$4,A299&lt;='Review'!$D$4),"Selected","Outside")</x:f>
        <x:v>Outside</x:v>
      </x:c>
    </x:row>
    <x:row r="300" ht="20" customHeight="1">
      <x:c r="A300" s="9" t="n">
        <x:v>46273</x:v>
      </x:c>
      <x:c r="B300" s="2" t="str">
        <x:v>MM-1232</x:v>
      </x:c>
      <x:c r="C300" s="2" t="str">
        <x:v>Organic Search</x:v>
      </x:c>
      <x:c r="D300" s="2" t="str">
        <x:v>APP-003</x:v>
      </x:c>
      <x:c r="E300" s="2" t="str">
        <x:f>_xlfn.IFNA(VLOOKUP(D300,'Products'!$A$7:$I$22,2,FALSE),"Unmapped")</x:f>
        <x:v>Coffee club tee</x:v>
      </x:c>
      <x:c r="F300" s="2" t="str">
        <x:f>_xlfn.IFNA(VLOOKUP(D300,'Products'!$A$7:$I$22,3,FALSE),"Unmapped")</x:f>
        <x:v>Apparel</x:v>
      </x:c>
      <x:c r="G300" s="2" t="n">
        <x:v>1</x:v>
      </x:c>
      <x:c r="H300" s="2" t="n">
        <x:v>0</x:v>
      </x:c>
      <x:c r="I300" s="10" t="n">
        <x:v>29.95</x:v>
      </x:c>
      <x:c r="J300" s="10" t="n">
        <x:v>0</x:v>
      </x:c>
      <x:c r="K300" s="10" t="n">
        <x:v>10</x:v>
      </x:c>
      <x:c r="L300" s="10" t="n">
        <x:f>G300*I300</x:f>
        <x:v>29.95</x:v>
      </x:c>
      <x:c r="M300" s="10" t="n">
        <x:f>ROUND((L300-J300)*H300/G300,2)</x:f>
        <x:v>0</x:v>
      </x:c>
      <x:c r="N300" s="10" t="n">
        <x:f>L300-J300-M300</x:f>
        <x:v>29.95</x:v>
      </x:c>
      <x:c r="O300" s="10" t="n">
        <x:f>(G300-H300)*K300</x:f>
        <x:v>10</x:v>
      </x:c>
      <x:c r="P300" s="10" t="n">
        <x:f>N300-O300</x:f>
        <x:v>19.95</x:v>
      </x:c>
      <x:c r="Q300" s="9" t="n">
        <x:f>A300-WEEKDAY(A300,2)+1</x:f>
        <x:v>46272</x:v>
      </x:c>
      <x:c r="R300" s="2" t="str">
        <x:f>IF(AND(A300&gt;='Review'!$B$4,A300&lt;='Review'!$D$4),"Selected","Outside")</x:f>
        <x:v>Outside</x:v>
      </x:c>
    </x:row>
    <x:row r="301" ht="20" customHeight="1">
      <x:c r="A301" s="9" t="n">
        <x:v>46273</x:v>
      </x:c>
      <x:c r="B301" s="2" t="str">
        <x:v>MM-1228</x:v>
      </x:c>
      <x:c r="C301" s="2" t="str">
        <x:v>Direct</x:v>
      </x:c>
      <x:c r="D301" s="2" t="str">
        <x:v>TOTE-001</x:v>
      </x:c>
      <x:c r="E301" s="2" t="str">
        <x:f>_xlfn.IFNA(VLOOKUP(D301,'Products'!$A$7:$I$22,2,FALSE),"Unmapped")</x:f>
        <x:v>Market canvas tote</x:v>
      </x:c>
      <x:c r="F301" s="2" t="str">
        <x:f>_xlfn.IFNA(VLOOKUP(D301,'Products'!$A$7:$I$22,3,FALSE),"Unmapped")</x:f>
        <x:v>Accessories</x:v>
      </x:c>
      <x:c r="G301" s="2" t="n">
        <x:v>1</x:v>
      </x:c>
      <x:c r="H301" s="2" t="n">
        <x:v>0</x:v>
      </x:c>
      <x:c r="I301" s="10" t="n">
        <x:v>19.95</x:v>
      </x:c>
      <x:c r="J301" s="10" t="n">
        <x:v>0</x:v>
      </x:c>
      <x:c r="K301" s="10" t="n">
        <x:v>6</x:v>
      </x:c>
      <x:c r="L301" s="10" t="n">
        <x:f>G301*I301</x:f>
        <x:v>19.95</x:v>
      </x:c>
      <x:c r="M301" s="10" t="n">
        <x:f>ROUND((L301-J301)*H301/G301,2)</x:f>
        <x:v>0</x:v>
      </x:c>
      <x:c r="N301" s="10" t="n">
        <x:f>L301-J301-M301</x:f>
        <x:v>19.95</x:v>
      </x:c>
      <x:c r="O301" s="10" t="n">
        <x:f>(G301-H301)*K301</x:f>
        <x:v>6</x:v>
      </x:c>
      <x:c r="P301" s="10" t="n">
        <x:f>N301-O301</x:f>
        <x:v>13.95</x:v>
      </x:c>
      <x:c r="Q301" s="9" t="n">
        <x:f>A301-WEEKDAY(A301,2)+1</x:f>
        <x:v>46272</x:v>
      </x:c>
      <x:c r="R301" s="2" t="str">
        <x:f>IF(AND(A301&gt;='Review'!$B$4,A301&lt;='Review'!$D$4),"Selected","Outside")</x:f>
        <x:v>Outside</x:v>
      </x:c>
    </x:row>
    <x:row r="302" ht="20" customHeight="1">
      <x:c r="A302" s="9" t="n">
        <x:v>46273</x:v>
      </x:c>
      <x:c r="B302" s="2" t="str">
        <x:v>MM-1228</x:v>
      </x:c>
      <x:c r="C302" s="2" t="str">
        <x:v>Direct</x:v>
      </x:c>
      <x:c r="D302" s="2" t="str">
        <x:v>PIN-001</x:v>
      </x:c>
      <x:c r="E302" s="2" t="str">
        <x:f>_xlfn.IFNA(VLOOKUP(D302,'Products'!$A$7:$I$22,2,FALSE),"Unmapped")</x:f>
        <x:v>Coffee enamel pin</x:v>
      </x:c>
      <x:c r="F302" s="2" t="str">
        <x:f>_xlfn.IFNA(VLOOKUP(D302,'Products'!$A$7:$I$22,3,FALSE),"Unmapped")</x:f>
        <x:v>Accessories</x:v>
      </x:c>
      <x:c r="G302" s="2" t="n">
        <x:v>1</x:v>
      </x:c>
      <x:c r="H302" s="2" t="n">
        <x:v>0</x:v>
      </x:c>
      <x:c r="I302" s="10" t="n">
        <x:v>9.95</x:v>
      </x:c>
      <x:c r="J302" s="10" t="n">
        <x:v>0.99</x:v>
      </x:c>
      <x:c r="K302" s="10" t="n">
        <x:v>2.5</x:v>
      </x:c>
      <x:c r="L302" s="10" t="n">
        <x:f>G302*I302</x:f>
        <x:v>9.95</x:v>
      </x:c>
      <x:c r="M302" s="10" t="n">
        <x:f>ROUND((L302-J302)*H302/G302,2)</x:f>
        <x:v>0</x:v>
      </x:c>
      <x:c r="N302" s="10" t="n">
        <x:f>L302-J302-M302</x:f>
        <x:v>8.959999999999999</x:v>
      </x:c>
      <x:c r="O302" s="10" t="n">
        <x:f>(G302-H302)*K302</x:f>
        <x:v>2.5</x:v>
      </x:c>
      <x:c r="P302" s="10" t="n">
        <x:f>N302-O302</x:f>
        <x:v>6.459999999999999</x:v>
      </x:c>
      <x:c r="Q302" s="9" t="n">
        <x:f>A302-WEEKDAY(A302,2)+1</x:f>
        <x:v>46272</x:v>
      </x:c>
      <x:c r="R302" s="2" t="str">
        <x:f>IF(AND(A302&gt;='Review'!$B$4,A302&lt;='Review'!$D$4),"Selected","Outside")</x:f>
        <x:v>Outside</x:v>
      </x:c>
    </x:row>
    <x:row r="303" ht="20" customHeight="1">
      <x:c r="A303" s="9" t="n">
        <x:v>46273</x:v>
      </x:c>
      <x:c r="B303" s="2" t="str">
        <x:v>MM-1223</x:v>
      </x:c>
      <x:c r="C303" s="2" t="str">
        <x:v>Email</x:v>
      </x:c>
      <x:c r="D303" s="2" t="str">
        <x:v>HAT-001</x:v>
      </x:c>
      <x:c r="E303" s="2" t="str">
        <x:f>_xlfn.IFNA(VLOOKUP(D303,'Products'!$A$7:$I$22,2,FALSE),"Unmapped")</x:f>
        <x:v>Classic canvas cap</x:v>
      </x:c>
      <x:c r="F303" s="2" t="str">
        <x:f>_xlfn.IFNA(VLOOKUP(D303,'Products'!$A$7:$I$22,3,FALSE),"Unmapped")</x:f>
        <x:v>Accessories</x:v>
      </x:c>
      <x:c r="G303" s="2" t="n">
        <x:v>3</x:v>
      </x:c>
      <x:c r="H303" s="2" t="n">
        <x:v>0</x:v>
      </x:c>
      <x:c r="I303" s="10" t="n">
        <x:v>24.95</x:v>
      </x:c>
      <x:c r="J303" s="10" t="n">
        <x:v>7.48</x:v>
      </x:c>
      <x:c r="K303" s="10" t="n">
        <x:v>8.5</x:v>
      </x:c>
      <x:c r="L303" s="10" t="n">
        <x:f>G303*I303</x:f>
        <x:v>74.85</x:v>
      </x:c>
      <x:c r="M303" s="10" t="n">
        <x:f>ROUND((L303-J303)*H303/G303,2)</x:f>
        <x:v>0</x:v>
      </x:c>
      <x:c r="N303" s="10" t="n">
        <x:f>L303-J303-M303</x:f>
        <x:v>67.36999999999999</x:v>
      </x:c>
      <x:c r="O303" s="10" t="n">
        <x:f>(G303-H303)*K303</x:f>
        <x:v>25.5</x:v>
      </x:c>
      <x:c r="P303" s="10" t="n">
        <x:f>N303-O303</x:f>
        <x:v>41.86999999999999</x:v>
      </x:c>
      <x:c r="Q303" s="9" t="n">
        <x:f>A303-WEEKDAY(A303,2)+1</x:f>
        <x:v>46272</x:v>
      </x:c>
      <x:c r="R303" s="2" t="str">
        <x:f>IF(AND(A303&gt;='Review'!$B$4,A303&lt;='Review'!$D$4),"Selected","Outside")</x:f>
        <x:v>Outside</x:v>
      </x:c>
    </x:row>
    <x:row r="304" ht="20" customHeight="1">
      <x:c r="A304" s="9" t="n">
        <x:v>46273</x:v>
      </x:c>
      <x:c r="B304" s="2" t="str">
        <x:v>MM-1226</x:v>
      </x:c>
      <x:c r="C304" s="2" t="str">
        <x:v>Email</x:v>
      </x:c>
      <x:c r="D304" s="2" t="str">
        <x:v>KEY-001</x:v>
      </x:c>
      <x:c r="E304" s="2" t="str">
        <x:f>_xlfn.IFNA(VLOOKUP(D304,'Products'!$A$7:$I$22,2,FALSE),"Unmapped")</x:f>
        <x:v>Maple keyring</x:v>
      </x:c>
      <x:c r="F304" s="2" t="str">
        <x:f>_xlfn.IFNA(VLOOKUP(D304,'Products'!$A$7:$I$22,3,FALSE),"Unmapped")</x:f>
        <x:v>Accessories</x:v>
      </x:c>
      <x:c r="G304" s="2" t="n">
        <x:v>2</x:v>
      </x:c>
      <x:c r="H304" s="2" t="n">
        <x:v>0</x:v>
      </x:c>
      <x:c r="I304" s="10" t="n">
        <x:v>12.95</x:v>
      </x:c>
      <x:c r="J304" s="10" t="n">
        <x:v>2.59</x:v>
      </x:c>
      <x:c r="K304" s="10" t="n">
        <x:v>3.5</x:v>
      </x:c>
      <x:c r="L304" s="10" t="n">
        <x:f>G304*I304</x:f>
        <x:v>25.9</x:v>
      </x:c>
      <x:c r="M304" s="10" t="n">
        <x:f>ROUND((L304-J304)*H304/G304,2)</x:f>
        <x:v>0</x:v>
      </x:c>
      <x:c r="N304" s="10" t="n">
        <x:f>L304-J304-M304</x:f>
        <x:v>23.31</x:v>
      </x:c>
      <x:c r="O304" s="10" t="n">
        <x:f>(G304-H304)*K304</x:f>
        <x:v>7</x:v>
      </x:c>
      <x:c r="P304" s="10" t="n">
        <x:f>N304-O304</x:f>
        <x:v>16.31</x:v>
      </x:c>
      <x:c r="Q304" s="9" t="n">
        <x:f>A304-WEEKDAY(A304,2)+1</x:f>
        <x:v>46272</x:v>
      </x:c>
      <x:c r="R304" s="2" t="str">
        <x:f>IF(AND(A304&gt;='Review'!$B$4,A304&lt;='Review'!$D$4),"Selected","Outside")</x:f>
        <x:v>Outside</x:v>
      </x:c>
    </x:row>
    <x:row r="305" ht="20" customHeight="1">
      <x:c r="A305" s="9" t="n">
        <x:v>46273</x:v>
      </x:c>
      <x:c r="B305" s="2" t="str">
        <x:v>MM-1226</x:v>
      </x:c>
      <x:c r="C305" s="2" t="str">
        <x:v>Email</x:v>
      </x:c>
      <x:c r="D305" s="2" t="str">
        <x:v>APP-002</x:v>
      </x:c>
      <x:c r="E305" s="2" t="str">
        <x:f>_xlfn.IFNA(VLOOKUP(D305,'Products'!$A$7:$I$22,2,FALSE),"Unmapped")</x:f>
        <x:v>Weekend hoodie</x:v>
      </x:c>
      <x:c r="F305" s="2" t="str">
        <x:f>_xlfn.IFNA(VLOOKUP(D305,'Products'!$A$7:$I$22,3,FALSE),"Unmapped")</x:f>
        <x:v>Apparel</x:v>
      </x:c>
      <x:c r="G305" s="2" t="n">
        <x:v>1</x:v>
      </x:c>
      <x:c r="H305" s="2" t="n">
        <x:v>0</x:v>
      </x:c>
      <x:c r="I305" s="10" t="n">
        <x:v>69.95</x:v>
      </x:c>
      <x:c r="J305" s="10" t="n">
        <x:v>6.99</x:v>
      </x:c>
      <x:c r="K305" s="10" t="n">
        <x:v>28</x:v>
      </x:c>
      <x:c r="L305" s="10" t="n">
        <x:f>G305*I305</x:f>
        <x:v>69.95</x:v>
      </x:c>
      <x:c r="M305" s="10" t="n">
        <x:f>ROUND((L305-J305)*H305/G305,2)</x:f>
        <x:v>0</x:v>
      </x:c>
      <x:c r="N305" s="10" t="n">
        <x:f>L305-J305-M305</x:f>
        <x:v>62.96</x:v>
      </x:c>
      <x:c r="O305" s="10" t="n">
        <x:f>(G305-H305)*K305</x:f>
        <x:v>28</x:v>
      </x:c>
      <x:c r="P305" s="10" t="n">
        <x:f>N305-O305</x:f>
        <x:v>34.96</x:v>
      </x:c>
      <x:c r="Q305" s="9" t="n">
        <x:f>A305-WEEKDAY(A305,2)+1</x:f>
        <x:v>46272</x:v>
      </x:c>
      <x:c r="R305" s="2" t="str">
        <x:f>IF(AND(A305&gt;='Review'!$B$4,A305&lt;='Review'!$D$4),"Selected","Outside")</x:f>
        <x:v>Outside</x:v>
      </x:c>
    </x:row>
    <x:row r="306" ht="20" customHeight="1">
      <x:c r="A306" s="9" t="n">
        <x:v>46273</x:v>
      </x:c>
      <x:c r="B306" s="2" t="str">
        <x:v>MM-1224</x:v>
      </x:c>
      <x:c r="C306" s="2" t="str">
        <x:v>Organic Search</x:v>
      </x:c>
      <x:c r="D306" s="2" t="str">
        <x:v>KEY-001</x:v>
      </x:c>
      <x:c r="E306" s="2" t="str">
        <x:f>_xlfn.IFNA(VLOOKUP(D306,'Products'!$A$7:$I$22,2,FALSE),"Unmapped")</x:f>
        <x:v>Maple keyring</x:v>
      </x:c>
      <x:c r="F306" s="2" t="str">
        <x:f>_xlfn.IFNA(VLOOKUP(D306,'Products'!$A$7:$I$22,3,FALSE),"Unmapped")</x:f>
        <x:v>Accessories</x:v>
      </x:c>
      <x:c r="G306" s="2" t="n">
        <x:v>1</x:v>
      </x:c>
      <x:c r="H306" s="2" t="n">
        <x:v>0</x:v>
      </x:c>
      <x:c r="I306" s="10" t="n">
        <x:v>12.95</x:v>
      </x:c>
      <x:c r="J306" s="10" t="n">
        <x:v>0</x:v>
      </x:c>
      <x:c r="K306" s="10" t="n">
        <x:v>3.5</x:v>
      </x:c>
      <x:c r="L306" s="10" t="n">
        <x:f>G306*I306</x:f>
        <x:v>12.95</x:v>
      </x:c>
      <x:c r="M306" s="10" t="n">
        <x:f>ROUND((L306-J306)*H306/G306,2)</x:f>
        <x:v>0</x:v>
      </x:c>
      <x:c r="N306" s="10" t="n">
        <x:f>L306-J306-M306</x:f>
        <x:v>12.95</x:v>
      </x:c>
      <x:c r="O306" s="10" t="n">
        <x:f>(G306-H306)*K306</x:f>
        <x:v>3.5</x:v>
      </x:c>
      <x:c r="P306" s="10" t="n">
        <x:f>N306-O306</x:f>
        <x:v>9.45</x:v>
      </x:c>
      <x:c r="Q306" s="9" t="n">
        <x:f>A306-WEEKDAY(A306,2)+1</x:f>
        <x:v>46272</x:v>
      </x:c>
      <x:c r="R306" s="2" t="str">
        <x:f>IF(AND(A306&gt;='Review'!$B$4,A306&lt;='Review'!$D$4),"Selected","Outside")</x:f>
        <x:v>Outside</x:v>
      </x:c>
    </x:row>
    <x:row r="307" ht="20" customHeight="1">
      <x:c r="A307" s="9" t="n">
        <x:v>46273</x:v>
      </x:c>
      <x:c r="B307" s="2" t="str">
        <x:v>MM-1225</x:v>
      </x:c>
      <x:c r="C307" s="2" t="str">
        <x:v>Paid Social</x:v>
      </x:c>
      <x:c r="D307" s="2" t="str">
        <x:v>PIN-001</x:v>
      </x:c>
      <x:c r="E307" s="2" t="str">
        <x:f>_xlfn.IFNA(VLOOKUP(D307,'Products'!$A$7:$I$22,2,FALSE),"Unmapped")</x:f>
        <x:v>Coffee enamel pin</x:v>
      </x:c>
      <x:c r="F307" s="2" t="str">
        <x:f>_xlfn.IFNA(VLOOKUP(D307,'Products'!$A$7:$I$22,3,FALSE),"Unmapped")</x:f>
        <x:v>Accessories</x:v>
      </x:c>
      <x:c r="G307" s="2" t="n">
        <x:v>2</x:v>
      </x:c>
      <x:c r="H307" s="2" t="n">
        <x:v>0</x:v>
      </x:c>
      <x:c r="I307" s="10" t="n">
        <x:v>9.95</x:v>
      </x:c>
      <x:c r="J307" s="10" t="n">
        <x:v>0</x:v>
      </x:c>
      <x:c r="K307" s="10" t="n">
        <x:v>2.5</x:v>
      </x:c>
      <x:c r="L307" s="10" t="n">
        <x:f>G307*I307</x:f>
        <x:v>19.9</x:v>
      </x:c>
      <x:c r="M307" s="10" t="n">
        <x:f>ROUND((L307-J307)*H307/G307,2)</x:f>
        <x:v>0</x:v>
      </x:c>
      <x:c r="N307" s="10" t="n">
        <x:f>L307-J307-M307</x:f>
        <x:v>19.9</x:v>
      </x:c>
      <x:c r="O307" s="10" t="n">
        <x:f>(G307-H307)*K307</x:f>
        <x:v>5</x:v>
      </x:c>
      <x:c r="P307" s="10" t="n">
        <x:f>N307-O307</x:f>
        <x:v>14.899999999999999</x:v>
      </x:c>
      <x:c r="Q307" s="9" t="n">
        <x:f>A307-WEEKDAY(A307,2)+1</x:f>
        <x:v>46272</x:v>
      </x:c>
      <x:c r="R307" s="2" t="str">
        <x:f>IF(AND(A307&gt;='Review'!$B$4,A307&lt;='Review'!$D$4),"Selected","Outside")</x:f>
        <x:v>Outside</x:v>
      </x:c>
    </x:row>
    <x:row r="308" ht="20" customHeight="1">
      <x:c r="A308" s="9" t="n">
        <x:v>46273</x:v>
      </x:c>
      <x:c r="B308" s="2" t="str">
        <x:v>MM-1230</x:v>
      </x:c>
      <x:c r="C308" s="2" t="str">
        <x:v>Paid Social</x:v>
      </x:c>
      <x:c r="D308" s="2" t="str">
        <x:v>TUM-002</x:v>
      </x:c>
      <x:c r="E308" s="2" t="str">
        <x:f>_xlfn.IFNA(VLOOKUP(D308,'Products'!$A$7:$I$22,2,FALSE),"Unmapped")</x:f>
        <x:v>Cold brew glass cup</x:v>
      </x:c>
      <x:c r="F308" s="2" t="str">
        <x:f>_xlfn.IFNA(VLOOKUP(D308,'Products'!$A$7:$I$22,3,FALSE),"Unmapped")</x:f>
        <x:v>Drinkware</x:v>
      </x:c>
      <x:c r="G308" s="2" t="n">
        <x:v>1</x:v>
      </x:c>
      <x:c r="H308" s="2" t="n">
        <x:v>0</x:v>
      </x:c>
      <x:c r="I308" s="10" t="n">
        <x:v>24.95</x:v>
      </x:c>
      <x:c r="J308" s="10" t="n">
        <x:v>0</x:v>
      </x:c>
      <x:c r="K308" s="10" t="n">
        <x:v>9</x:v>
      </x:c>
      <x:c r="L308" s="10" t="n">
        <x:f>G308*I308</x:f>
        <x:v>24.95</x:v>
      </x:c>
      <x:c r="M308" s="10" t="n">
        <x:f>ROUND((L308-J308)*H308/G308,2)</x:f>
        <x:v>0</x:v>
      </x:c>
      <x:c r="N308" s="10" t="n">
        <x:f>L308-J308-M308</x:f>
        <x:v>24.95</x:v>
      </x:c>
      <x:c r="O308" s="10" t="n">
        <x:f>(G308-H308)*K308</x:f>
        <x:v>9</x:v>
      </x:c>
      <x:c r="P308" s="10" t="n">
        <x:f>N308-O308</x:f>
        <x:v>15.95</x:v>
      </x:c>
      <x:c r="Q308" s="9" t="n">
        <x:f>A308-WEEKDAY(A308,2)+1</x:f>
        <x:v>46272</x:v>
      </x:c>
      <x:c r="R308" s="2" t="str">
        <x:f>IF(AND(A308&gt;='Review'!$B$4,A308&lt;='Review'!$D$4),"Selected","Outside")</x:f>
        <x:v>Outside</x:v>
      </x:c>
    </x:row>
    <x:row r="309" ht="20" customHeight="1">
      <x:c r="A309" s="9" t="n">
        <x:v>46273</x:v>
      </x:c>
      <x:c r="B309" s="2" t="str">
        <x:v>MM-1231</x:v>
      </x:c>
      <x:c r="C309" s="2" t="str">
        <x:v>Paid Social</x:v>
      </x:c>
      <x:c r="D309" s="2" t="str">
        <x:v>HAT-001</x:v>
      </x:c>
      <x:c r="E309" s="2" t="str">
        <x:f>_xlfn.IFNA(VLOOKUP(D309,'Products'!$A$7:$I$22,2,FALSE),"Unmapped")</x:f>
        <x:v>Classic canvas cap</x:v>
      </x:c>
      <x:c r="F309" s="2" t="str">
        <x:f>_xlfn.IFNA(VLOOKUP(D309,'Products'!$A$7:$I$22,3,FALSE),"Unmapped")</x:f>
        <x:v>Accessories</x:v>
      </x:c>
      <x:c r="G309" s="2" t="n">
        <x:v>1</x:v>
      </x:c>
      <x:c r="H309" s="2" t="n">
        <x:v>0</x:v>
      </x:c>
      <x:c r="I309" s="10" t="n">
        <x:v>24.95</x:v>
      </x:c>
      <x:c r="J309" s="10" t="n">
        <x:v>2.49</x:v>
      </x:c>
      <x:c r="K309" s="10" t="n">
        <x:v>8.5</x:v>
      </x:c>
      <x:c r="L309" s="10" t="n">
        <x:f>G309*I309</x:f>
        <x:v>24.95</x:v>
      </x:c>
      <x:c r="M309" s="10" t="n">
        <x:f>ROUND((L309-J309)*H309/G309,2)</x:f>
        <x:v>0</x:v>
      </x:c>
      <x:c r="N309" s="10" t="n">
        <x:f>L309-J309-M309</x:f>
        <x:v>22.46</x:v>
      </x:c>
      <x:c r="O309" s="10" t="n">
        <x:f>(G309-H309)*K309</x:f>
        <x:v>8.5</x:v>
      </x:c>
      <x:c r="P309" s="10" t="n">
        <x:f>N309-O309</x:f>
        <x:v>13.96</x:v>
      </x:c>
      <x:c r="Q309" s="9" t="n">
        <x:f>A309-WEEKDAY(A309,2)+1</x:f>
        <x:v>46272</x:v>
      </x:c>
      <x:c r="R309" s="2" t="str">
        <x:f>IF(AND(A309&gt;='Review'!$B$4,A309&lt;='Review'!$D$4),"Selected","Outside")</x:f>
        <x:v>Outside</x:v>
      </x:c>
    </x:row>
    <x:row r="310" ht="20" customHeight="1">
      <x:c r="A310" s="9" t="n">
        <x:v>46273</x:v>
      </x:c>
      <x:c r="B310" s="2" t="str">
        <x:v>MM-1231</x:v>
      </x:c>
      <x:c r="C310" s="2" t="str">
        <x:v>Paid Social</x:v>
      </x:c>
      <x:c r="D310" s="2" t="str">
        <x:v>APP-002</x:v>
      </x:c>
      <x:c r="E310" s="2" t="str">
        <x:f>_xlfn.IFNA(VLOOKUP(D310,'Products'!$A$7:$I$22,2,FALSE),"Unmapped")</x:f>
        <x:v>Weekend hoodie</x:v>
      </x:c>
      <x:c r="F310" s="2" t="str">
        <x:f>_xlfn.IFNA(VLOOKUP(D310,'Products'!$A$7:$I$22,3,FALSE),"Unmapped")</x:f>
        <x:v>Apparel</x:v>
      </x:c>
      <x:c r="G310" s="2" t="n">
        <x:v>1</x:v>
      </x:c>
      <x:c r="H310" s="2" t="n">
        <x:v>0</x:v>
      </x:c>
      <x:c r="I310" s="10" t="n">
        <x:v>69.95</x:v>
      </x:c>
      <x:c r="J310" s="10" t="n">
        <x:v>0</x:v>
      </x:c>
      <x:c r="K310" s="10" t="n">
        <x:v>28</x:v>
      </x:c>
      <x:c r="L310" s="10" t="n">
        <x:f>G310*I310</x:f>
        <x:v>69.95</x:v>
      </x:c>
      <x:c r="M310" s="10" t="n">
        <x:f>ROUND((L310-J310)*H310/G310,2)</x:f>
        <x:v>0</x:v>
      </x:c>
      <x:c r="N310" s="10" t="n">
        <x:f>L310-J310-M310</x:f>
        <x:v>69.95</x:v>
      </x:c>
      <x:c r="O310" s="10" t="n">
        <x:f>(G310-H310)*K310</x:f>
        <x:v>28</x:v>
      </x:c>
      <x:c r="P310" s="10" t="n">
        <x:f>N310-O310</x:f>
        <x:v>41.95</x:v>
      </x:c>
      <x:c r="Q310" s="9" t="n">
        <x:f>A310-WEEKDAY(A310,2)+1</x:f>
        <x:v>46272</x:v>
      </x:c>
      <x:c r="R310" s="2" t="str">
        <x:f>IF(AND(A310&gt;='Review'!$B$4,A310&lt;='Review'!$D$4),"Selected","Outside")</x:f>
        <x:v>Outside</x:v>
      </x:c>
    </x:row>
    <x:row r="311" ht="20" customHeight="1">
      <x:c r="A311" s="9" t="n">
        <x:v>46273</x:v>
      </x:c>
      <x:c r="B311" s="2" t="str">
        <x:v>MM-1231</x:v>
      </x:c>
      <x:c r="C311" s="2" t="str">
        <x:v>Paid Social</x:v>
      </x:c>
      <x:c r="D311" s="2" t="str">
        <x:v>GFT-002</x:v>
      </x:c>
      <x:c r="E311" s="2" t="str">
        <x:f>_xlfn.IFNA(VLOOKUP(D311,'Products'!$A$7:$I$22,2,FALSE),"Unmapped")</x:f>
        <x:v>Cozy weekend gift box</x:v>
      </x:c>
      <x:c r="F311" s="2" t="str">
        <x:f>_xlfn.IFNA(VLOOKUP(D311,'Products'!$A$7:$I$22,3,FALSE),"Unmapped")</x:f>
        <x:v>Gifts</x:v>
      </x:c>
      <x:c r="G311" s="2" t="n">
        <x:v>1</x:v>
      </x:c>
      <x:c r="H311" s="2" t="n">
        <x:v>0</x:v>
      </x:c>
      <x:c r="I311" s="10" t="n">
        <x:v>79.95</x:v>
      </x:c>
      <x:c r="J311" s="10" t="n">
        <x:v>0</x:v>
      </x:c>
      <x:c r="K311" s="10" t="n">
        <x:v>32</x:v>
      </x:c>
      <x:c r="L311" s="10" t="n">
        <x:f>G311*I311</x:f>
        <x:v>79.95</x:v>
      </x:c>
      <x:c r="M311" s="10" t="n">
        <x:f>ROUND((L311-J311)*H311/G311,2)</x:f>
        <x:v>0</x:v>
      </x:c>
      <x:c r="N311" s="10" t="n">
        <x:f>L311-J311-M311</x:f>
        <x:v>79.95</x:v>
      </x:c>
      <x:c r="O311" s="10" t="n">
        <x:f>(G311-H311)*K311</x:f>
        <x:v>32</x:v>
      </x:c>
      <x:c r="P311" s="10" t="n">
        <x:f>N311-O311</x:f>
        <x:v>47.95</x:v>
      </x:c>
      <x:c r="Q311" s="9" t="n">
        <x:f>A311-WEEKDAY(A311,2)+1</x:f>
        <x:v>46272</x:v>
      </x:c>
      <x:c r="R311" s="2" t="str">
        <x:f>IF(AND(A311&gt;='Review'!$B$4,A311&lt;='Review'!$D$4),"Selected","Outside")</x:f>
        <x:v>Outside</x:v>
      </x:c>
    </x:row>
    <x:row r="312" ht="20" customHeight="1">
      <x:c r="A312" s="9" t="n">
        <x:v>46273</x:v>
      </x:c>
      <x:c r="B312" s="2" t="str">
        <x:v>MM-1227</x:v>
      </x:c>
      <x:c r="C312" s="2" t="str">
        <x:v>Email</x:v>
      </x:c>
      <x:c r="D312" s="2" t="str">
        <x:v>KEY-001</x:v>
      </x:c>
      <x:c r="E312" s="2" t="str">
        <x:f>_xlfn.IFNA(VLOOKUP(D312,'Products'!$A$7:$I$22,2,FALSE),"Unmapped")</x:f>
        <x:v>Maple keyring</x:v>
      </x:c>
      <x:c r="F312" s="2" t="str">
        <x:f>_xlfn.IFNA(VLOOKUP(D312,'Products'!$A$7:$I$22,3,FALSE),"Unmapped")</x:f>
        <x:v>Accessories</x:v>
      </x:c>
      <x:c r="G312" s="2" t="n">
        <x:v>1</x:v>
      </x:c>
      <x:c r="H312" s="2" t="n">
        <x:v>0</x:v>
      </x:c>
      <x:c r="I312" s="10" t="n">
        <x:v>12.95</x:v>
      </x:c>
      <x:c r="J312" s="10" t="n">
        <x:v>1.29</x:v>
      </x:c>
      <x:c r="K312" s="10" t="n">
        <x:v>3.5</x:v>
      </x:c>
      <x:c r="L312" s="10" t="n">
        <x:f>G312*I312</x:f>
        <x:v>12.95</x:v>
      </x:c>
      <x:c r="M312" s="10" t="n">
        <x:f>ROUND((L312-J312)*H312/G312,2)</x:f>
        <x:v>0</x:v>
      </x:c>
      <x:c r="N312" s="10" t="n">
        <x:f>L312-J312-M312</x:f>
        <x:v>11.66</x:v>
      </x:c>
      <x:c r="O312" s="10" t="n">
        <x:f>(G312-H312)*K312</x:f>
        <x:v>3.5</x:v>
      </x:c>
      <x:c r="P312" s="10" t="n">
        <x:f>N312-O312</x:f>
        <x:v>8.16</x:v>
      </x:c>
      <x:c r="Q312" s="9" t="n">
        <x:f>A312-WEEKDAY(A312,2)+1</x:f>
        <x:v>46272</x:v>
      </x:c>
      <x:c r="R312" s="2" t="str">
        <x:f>IF(AND(A312&gt;='Review'!$B$4,A312&lt;='Review'!$D$4),"Selected","Outside")</x:f>
        <x:v>Outside</x:v>
      </x:c>
    </x:row>
    <x:row r="313" ht="20" customHeight="1">
      <x:c r="A313" s="9" t="n">
        <x:v>46273</x:v>
      </x:c>
      <x:c r="B313" s="2" t="str">
        <x:v>MM-1227</x:v>
      </x:c>
      <x:c r="C313" s="2" t="str">
        <x:v>Email</x:v>
      </x:c>
      <x:c r="D313" s="2" t="str">
        <x:v>APP-001</x:v>
      </x:c>
      <x:c r="E313" s="2" t="str">
        <x:f>_xlfn.IFNA(VLOOKUP(D313,'Products'!$A$7:$I$22,2,FALSE),"Unmapped")</x:f>
        <x:v>Everyday crewneck</x:v>
      </x:c>
      <x:c r="F313" s="2" t="str">
        <x:f>_xlfn.IFNA(VLOOKUP(D313,'Products'!$A$7:$I$22,3,FALSE),"Unmapped")</x:f>
        <x:v>Apparel</x:v>
      </x:c>
      <x:c r="G313" s="2" t="n">
        <x:v>1</x:v>
      </x:c>
      <x:c r="H313" s="2" t="n">
        <x:v>0</x:v>
      </x:c>
      <x:c r="I313" s="10" t="n">
        <x:v>54.95</x:v>
      </x:c>
      <x:c r="J313" s="10" t="n">
        <x:v>5.49</x:v>
      </x:c>
      <x:c r="K313" s="10" t="n">
        <x:v>22</x:v>
      </x:c>
      <x:c r="L313" s="10" t="n">
        <x:f>G313*I313</x:f>
        <x:v>54.95</x:v>
      </x:c>
      <x:c r="M313" s="10" t="n">
        <x:f>ROUND((L313-J313)*H313/G313,2)</x:f>
        <x:v>0</x:v>
      </x:c>
      <x:c r="N313" s="10" t="n">
        <x:f>L313-J313-M313</x:f>
        <x:v>49.46</x:v>
      </x:c>
      <x:c r="O313" s="10" t="n">
        <x:f>(G313-H313)*K313</x:f>
        <x:v>22</x:v>
      </x:c>
      <x:c r="P313" s="10" t="n">
        <x:f>N313-O313</x:f>
        <x:v>27.46</x:v>
      </x:c>
      <x:c r="Q313" s="9" t="n">
        <x:f>A313-WEEKDAY(A313,2)+1</x:f>
        <x:v>46272</x:v>
      </x:c>
      <x:c r="R313" s="2" t="str">
        <x:f>IF(AND(A313&gt;='Review'!$B$4,A313&lt;='Review'!$D$4),"Selected","Outside")</x:f>
        <x:v>Outside</x:v>
      </x:c>
    </x:row>
    <x:row r="314" ht="20" customHeight="1">
      <x:c r="A314" s="9" t="n">
        <x:v>46274</x:v>
      </x:c>
      <x:c r="B314" s="2" t="str">
        <x:v>MM-1241</x:v>
      </x:c>
      <x:c r="C314" s="2" t="str">
        <x:v>Organic Search</x:v>
      </x:c>
      <x:c r="D314" s="2" t="str">
        <x:v>KEY-001</x:v>
      </x:c>
      <x:c r="E314" s="2" t="str">
        <x:f>_xlfn.IFNA(VLOOKUP(D314,'Products'!$A$7:$I$22,2,FALSE),"Unmapped")</x:f>
        <x:v>Maple keyring</x:v>
      </x:c>
      <x:c r="F314" s="2" t="str">
        <x:f>_xlfn.IFNA(VLOOKUP(D314,'Products'!$A$7:$I$22,3,FALSE),"Unmapped")</x:f>
        <x:v>Accessories</x:v>
      </x:c>
      <x:c r="G314" s="2" t="n">
        <x:v>1</x:v>
      </x:c>
      <x:c r="H314" s="2" t="n">
        <x:v>0</x:v>
      </x:c>
      <x:c r="I314" s="10" t="n">
        <x:v>12.95</x:v>
      </x:c>
      <x:c r="J314" s="10" t="n">
        <x:v>1.29</x:v>
      </x:c>
      <x:c r="K314" s="10" t="n">
        <x:v>3.5</x:v>
      </x:c>
      <x:c r="L314" s="10" t="n">
        <x:f>G314*I314</x:f>
        <x:v>12.95</x:v>
      </x:c>
      <x:c r="M314" s="10" t="n">
        <x:f>ROUND((L314-J314)*H314/G314,2)</x:f>
        <x:v>0</x:v>
      </x:c>
      <x:c r="N314" s="10" t="n">
        <x:f>L314-J314-M314</x:f>
        <x:v>11.66</x:v>
      </x:c>
      <x:c r="O314" s="10" t="n">
        <x:f>(G314-H314)*K314</x:f>
        <x:v>3.5</x:v>
      </x:c>
      <x:c r="P314" s="10" t="n">
        <x:f>N314-O314</x:f>
        <x:v>8.16</x:v>
      </x:c>
      <x:c r="Q314" s="9" t="n">
        <x:f>A314-WEEKDAY(A314,2)+1</x:f>
        <x:v>46272</x:v>
      </x:c>
      <x:c r="R314" s="2" t="str">
        <x:f>IF(AND(A314&gt;='Review'!$B$4,A314&lt;='Review'!$D$4),"Selected","Outside")</x:f>
        <x:v>Outside</x:v>
      </x:c>
    </x:row>
    <x:row r="315" ht="20" customHeight="1">
      <x:c r="A315" s="9" t="n">
        <x:v>46274</x:v>
      </x:c>
      <x:c r="B315" s="2" t="str">
        <x:v>MM-1246</x:v>
      </x:c>
      <x:c r="C315" s="2" t="str">
        <x:v>Organic Search</x:v>
      </x:c>
      <x:c r="D315" s="2" t="str">
        <x:v>TOTE-001</x:v>
      </x:c>
      <x:c r="E315" s="2" t="str">
        <x:f>_xlfn.IFNA(VLOOKUP(D315,'Products'!$A$7:$I$22,2,FALSE),"Unmapped")</x:f>
        <x:v>Market canvas tote</x:v>
      </x:c>
      <x:c r="F315" s="2" t="str">
        <x:f>_xlfn.IFNA(VLOOKUP(D315,'Products'!$A$7:$I$22,3,FALSE),"Unmapped")</x:f>
        <x:v>Accessories</x:v>
      </x:c>
      <x:c r="G315" s="2" t="n">
        <x:v>1</x:v>
      </x:c>
      <x:c r="H315" s="2" t="n">
        <x:v>0</x:v>
      </x:c>
      <x:c r="I315" s="10" t="n">
        <x:v>19.95</x:v>
      </x:c>
      <x:c r="J315" s="10" t="n">
        <x:v>0</x:v>
      </x:c>
      <x:c r="K315" s="10" t="n">
        <x:v>6</x:v>
      </x:c>
      <x:c r="L315" s="10" t="n">
        <x:f>G315*I315</x:f>
        <x:v>19.95</x:v>
      </x:c>
      <x:c r="M315" s="10" t="n">
        <x:f>ROUND((L315-J315)*H315/G315,2)</x:f>
        <x:v>0</x:v>
      </x:c>
      <x:c r="N315" s="10" t="n">
        <x:f>L315-J315-M315</x:f>
        <x:v>19.95</x:v>
      </x:c>
      <x:c r="O315" s="10" t="n">
        <x:f>(G315-H315)*K315</x:f>
        <x:v>6</x:v>
      </x:c>
      <x:c r="P315" s="10" t="n">
        <x:f>N315-O315</x:f>
        <x:v>13.95</x:v>
      </x:c>
      <x:c r="Q315" s="9" t="n">
        <x:f>A315-WEEKDAY(A315,2)+1</x:f>
        <x:v>46272</x:v>
      </x:c>
      <x:c r="R315" s="2" t="str">
        <x:f>IF(AND(A315&gt;='Review'!$B$4,A315&lt;='Review'!$D$4),"Selected","Outside")</x:f>
        <x:v>Outside</x:v>
      </x:c>
    </x:row>
    <x:row r="316" ht="20" customHeight="1">
      <x:c r="A316" s="9" t="n">
        <x:v>46274</x:v>
      </x:c>
      <x:c r="B316" s="2" t="str">
        <x:v>MM-1252</x:v>
      </x:c>
      <x:c r="C316" s="2" t="str">
        <x:v>Email</x:v>
      </x:c>
      <x:c r="D316" s="2" t="str">
        <x:v>APP-002</x:v>
      </x:c>
      <x:c r="E316" s="2" t="str">
        <x:f>_xlfn.IFNA(VLOOKUP(D316,'Products'!$A$7:$I$22,2,FALSE),"Unmapped")</x:f>
        <x:v>Weekend hoodie</x:v>
      </x:c>
      <x:c r="F316" s="2" t="str">
        <x:f>_xlfn.IFNA(VLOOKUP(D316,'Products'!$A$7:$I$22,3,FALSE),"Unmapped")</x:f>
        <x:v>Apparel</x:v>
      </x:c>
      <x:c r="G316" s="2" t="n">
        <x:v>1</x:v>
      </x:c>
      <x:c r="H316" s="2" t="n">
        <x:v>0</x:v>
      </x:c>
      <x:c r="I316" s="10" t="n">
        <x:v>69.95</x:v>
      </x:c>
      <x:c r="J316" s="10" t="n">
        <x:v>6.99</x:v>
      </x:c>
      <x:c r="K316" s="10" t="n">
        <x:v>28</x:v>
      </x:c>
      <x:c r="L316" s="10" t="n">
        <x:f>G316*I316</x:f>
        <x:v>69.95</x:v>
      </x:c>
      <x:c r="M316" s="10" t="n">
        <x:f>ROUND((L316-J316)*H316/G316,2)</x:f>
        <x:v>0</x:v>
      </x:c>
      <x:c r="N316" s="10" t="n">
        <x:f>L316-J316-M316</x:f>
        <x:v>62.96</x:v>
      </x:c>
      <x:c r="O316" s="10" t="n">
        <x:f>(G316-H316)*K316</x:f>
        <x:v>28</x:v>
      </x:c>
      <x:c r="P316" s="10" t="n">
        <x:f>N316-O316</x:f>
        <x:v>34.96</x:v>
      </x:c>
      <x:c r="Q316" s="9" t="n">
        <x:f>A316-WEEKDAY(A316,2)+1</x:f>
        <x:v>46272</x:v>
      </x:c>
      <x:c r="R316" s="2" t="str">
        <x:f>IF(AND(A316&gt;='Review'!$B$4,A316&lt;='Review'!$D$4),"Selected","Outside")</x:f>
        <x:v>Outside</x:v>
      </x:c>
    </x:row>
    <x:row r="317" ht="20" customHeight="1">
      <x:c r="A317" s="9" t="n">
        <x:v>46274</x:v>
      </x:c>
      <x:c r="B317" s="2" t="str">
        <x:v>MM-1234</x:v>
      </x:c>
      <x:c r="C317" s="2" t="str">
        <x:v>Paid Social</x:v>
      </x:c>
      <x:c r="D317" s="2" t="str">
        <x:v>KEY-001</x:v>
      </x:c>
      <x:c r="E317" s="2" t="str">
        <x:f>_xlfn.IFNA(VLOOKUP(D317,'Products'!$A$7:$I$22,2,FALSE),"Unmapped")</x:f>
        <x:v>Maple keyring</x:v>
      </x:c>
      <x:c r="F317" s="2" t="str">
        <x:f>_xlfn.IFNA(VLOOKUP(D317,'Products'!$A$7:$I$22,3,FALSE),"Unmapped")</x:f>
        <x:v>Accessories</x:v>
      </x:c>
      <x:c r="G317" s="2" t="n">
        <x:v>1</x:v>
      </x:c>
      <x:c r="H317" s="2" t="n">
        <x:v>0</x:v>
      </x:c>
      <x:c r="I317" s="10" t="n">
        <x:v>12.95</x:v>
      </x:c>
      <x:c r="J317" s="10" t="n">
        <x:v>0</x:v>
      </x:c>
      <x:c r="K317" s="10" t="n">
        <x:v>3.5</x:v>
      </x:c>
      <x:c r="L317" s="10" t="n">
        <x:f>G317*I317</x:f>
        <x:v>12.95</x:v>
      </x:c>
      <x:c r="M317" s="10" t="n">
        <x:f>ROUND((L317-J317)*H317/G317,2)</x:f>
        <x:v>0</x:v>
      </x:c>
      <x:c r="N317" s="10" t="n">
        <x:f>L317-J317-M317</x:f>
        <x:v>12.95</x:v>
      </x:c>
      <x:c r="O317" s="10" t="n">
        <x:f>(G317-H317)*K317</x:f>
        <x:v>3.5</x:v>
      </x:c>
      <x:c r="P317" s="10" t="n">
        <x:f>N317-O317</x:f>
        <x:v>9.45</x:v>
      </x:c>
      <x:c r="Q317" s="9" t="n">
        <x:f>A317-WEEKDAY(A317,2)+1</x:f>
        <x:v>46272</x:v>
      </x:c>
      <x:c r="R317" s="2" t="str">
        <x:f>IF(AND(A317&gt;='Review'!$B$4,A317&lt;='Review'!$D$4),"Selected","Outside")</x:f>
        <x:v>Outside</x:v>
      </x:c>
    </x:row>
    <x:row r="318" ht="20" customHeight="1">
      <x:c r="A318" s="9" t="n">
        <x:v>46274</x:v>
      </x:c>
      <x:c r="B318" s="2" t="str">
        <x:v>MM-1234</x:v>
      </x:c>
      <x:c r="C318" s="2" t="str">
        <x:v>Paid Social</x:v>
      </x:c>
      <x:c r="D318" s="2" t="str">
        <x:v>APP-003</x:v>
      </x:c>
      <x:c r="E318" s="2" t="str">
        <x:f>_xlfn.IFNA(VLOOKUP(D318,'Products'!$A$7:$I$22,2,FALSE),"Unmapped")</x:f>
        <x:v>Coffee club tee</x:v>
      </x:c>
      <x:c r="F318" s="2" t="str">
        <x:f>_xlfn.IFNA(VLOOKUP(D318,'Products'!$A$7:$I$22,3,FALSE),"Unmapped")</x:f>
        <x:v>Apparel</x:v>
      </x:c>
      <x:c r="G318" s="2" t="n">
        <x:v>1</x:v>
      </x:c>
      <x:c r="H318" s="2" t="n">
        <x:v>0</x:v>
      </x:c>
      <x:c r="I318" s="10" t="n">
        <x:v>29.95</x:v>
      </x:c>
      <x:c r="J318" s="10" t="n">
        <x:v>0</x:v>
      </x:c>
      <x:c r="K318" s="10" t="n">
        <x:v>10</x:v>
      </x:c>
      <x:c r="L318" s="10" t="n">
        <x:f>G318*I318</x:f>
        <x:v>29.95</x:v>
      </x:c>
      <x:c r="M318" s="10" t="n">
        <x:f>ROUND((L318-J318)*H318/G318,2)</x:f>
        <x:v>0</x:v>
      </x:c>
      <x:c r="N318" s="10" t="n">
        <x:f>L318-J318-M318</x:f>
        <x:v>29.95</x:v>
      </x:c>
      <x:c r="O318" s="10" t="n">
        <x:f>(G318-H318)*K318</x:f>
        <x:v>10</x:v>
      </x:c>
      <x:c r="P318" s="10" t="n">
        <x:f>N318-O318</x:f>
        <x:v>19.95</x:v>
      </x:c>
      <x:c r="Q318" s="9" t="n">
        <x:f>A318-WEEKDAY(A318,2)+1</x:f>
        <x:v>46272</x:v>
      </x:c>
      <x:c r="R318" s="2" t="str">
        <x:f>IF(AND(A318&gt;='Review'!$B$4,A318&lt;='Review'!$D$4),"Selected","Outside")</x:f>
        <x:v>Outside</x:v>
      </x:c>
    </x:row>
    <x:row r="319" ht="20" customHeight="1">
      <x:c r="A319" s="9" t="n">
        <x:v>46274</x:v>
      </x:c>
      <x:c r="B319" s="2" t="str">
        <x:v>MM-1236</x:v>
      </x:c>
      <x:c r="C319" s="2" t="str">
        <x:v>Paid Social</x:v>
      </x:c>
      <x:c r="D319" s="2" t="str">
        <x:v>PIN-001</x:v>
      </x:c>
      <x:c r="E319" s="2" t="str">
        <x:f>_xlfn.IFNA(VLOOKUP(D319,'Products'!$A$7:$I$22,2,FALSE),"Unmapped")</x:f>
        <x:v>Coffee enamel pin</x:v>
      </x:c>
      <x:c r="F319" s="2" t="str">
        <x:f>_xlfn.IFNA(VLOOKUP(D319,'Products'!$A$7:$I$22,3,FALSE),"Unmapped")</x:f>
        <x:v>Accessories</x:v>
      </x:c>
      <x:c r="G319" s="2" t="n">
        <x:v>1</x:v>
      </x:c>
      <x:c r="H319" s="2" t="n">
        <x:v>0</x:v>
      </x:c>
      <x:c r="I319" s="10" t="n">
        <x:v>9.95</x:v>
      </x:c>
      <x:c r="J319" s="10" t="n">
        <x:v>0.99</x:v>
      </x:c>
      <x:c r="K319" s="10" t="n">
        <x:v>2.5</x:v>
      </x:c>
      <x:c r="L319" s="10" t="n">
        <x:f>G319*I319</x:f>
        <x:v>9.95</x:v>
      </x:c>
      <x:c r="M319" s="10" t="n">
        <x:f>ROUND((L319-J319)*H319/G319,2)</x:f>
        <x:v>0</x:v>
      </x:c>
      <x:c r="N319" s="10" t="n">
        <x:f>L319-J319-M319</x:f>
        <x:v>8.959999999999999</x:v>
      </x:c>
      <x:c r="O319" s="10" t="n">
        <x:f>(G319-H319)*K319</x:f>
        <x:v>2.5</x:v>
      </x:c>
      <x:c r="P319" s="10" t="n">
        <x:f>N319-O319</x:f>
        <x:v>6.459999999999999</x:v>
      </x:c>
      <x:c r="Q319" s="9" t="n">
        <x:f>A319-WEEKDAY(A319,2)+1</x:f>
        <x:v>46272</x:v>
      </x:c>
      <x:c r="R319" s="2" t="str">
        <x:f>IF(AND(A319&gt;='Review'!$B$4,A319&lt;='Review'!$D$4),"Selected","Outside")</x:f>
        <x:v>Outside</x:v>
      </x:c>
    </x:row>
    <x:row r="320" ht="20" customHeight="1">
      <x:c r="A320" s="9" t="n">
        <x:v>46274</x:v>
      </x:c>
      <x:c r="B320" s="2" t="str">
        <x:v>MM-1237</x:v>
      </x:c>
      <x:c r="C320" s="2" t="str">
        <x:v>Paid Social</x:v>
      </x:c>
      <x:c r="D320" s="2" t="str">
        <x:v>APP-002</x:v>
      </x:c>
      <x:c r="E320" s="2" t="str">
        <x:f>_xlfn.IFNA(VLOOKUP(D320,'Products'!$A$7:$I$22,2,FALSE),"Unmapped")</x:f>
        <x:v>Weekend hoodie</x:v>
      </x:c>
      <x:c r="F320" s="2" t="str">
        <x:f>_xlfn.IFNA(VLOOKUP(D320,'Products'!$A$7:$I$22,3,FALSE),"Unmapped")</x:f>
        <x:v>Apparel</x:v>
      </x:c>
      <x:c r="G320" s="2" t="n">
        <x:v>3</x:v>
      </x:c>
      <x:c r="H320" s="2" t="n">
        <x:v>0</x:v>
      </x:c>
      <x:c r="I320" s="10" t="n">
        <x:v>69.95</x:v>
      </x:c>
      <x:c r="J320" s="10" t="n">
        <x:v>0</x:v>
      </x:c>
      <x:c r="K320" s="10" t="n">
        <x:v>28</x:v>
      </x:c>
      <x:c r="L320" s="10" t="n">
        <x:f>G320*I320</x:f>
        <x:v>209.85000000000002</x:v>
      </x:c>
      <x:c r="M320" s="10" t="n">
        <x:f>ROUND((L320-J320)*H320/G320,2)</x:f>
        <x:v>0</x:v>
      </x:c>
      <x:c r="N320" s="10" t="n">
        <x:f>L320-J320-M320</x:f>
        <x:v>209.85000000000002</x:v>
      </x:c>
      <x:c r="O320" s="10" t="n">
        <x:f>(G320-H320)*K320</x:f>
        <x:v>84</x:v>
      </x:c>
      <x:c r="P320" s="10" t="n">
        <x:f>N320-O320</x:f>
        <x:v>125.85000000000002</x:v>
      </x:c>
      <x:c r="Q320" s="9" t="n">
        <x:f>A320-WEEKDAY(A320,2)+1</x:f>
        <x:v>46272</x:v>
      </x:c>
      <x:c r="R320" s="2" t="str">
        <x:f>IF(AND(A320&gt;='Review'!$B$4,A320&lt;='Review'!$D$4),"Selected","Outside")</x:f>
        <x:v>Outside</x:v>
      </x:c>
    </x:row>
    <x:row r="321" ht="20" customHeight="1">
      <x:c r="A321" s="9" t="n">
        <x:v>46274</x:v>
      </x:c>
      <x:c r="B321" s="2" t="str">
        <x:v>MM-1238</x:v>
      </x:c>
      <x:c r="C321" s="2" t="str">
        <x:v>Organic Search</x:v>
      </x:c>
      <x:c r="D321" s="2" t="str">
        <x:v>TUM-002</x:v>
      </x:c>
      <x:c r="E321" s="2" t="str">
        <x:f>_xlfn.IFNA(VLOOKUP(D321,'Products'!$A$7:$I$22,2,FALSE),"Unmapped")</x:f>
        <x:v>Cold brew glass cup</x:v>
      </x:c>
      <x:c r="F321" s="2" t="str">
        <x:f>_xlfn.IFNA(VLOOKUP(D321,'Products'!$A$7:$I$22,3,FALSE),"Unmapped")</x:f>
        <x:v>Drinkware</x:v>
      </x:c>
      <x:c r="G321" s="2" t="n">
        <x:v>1</x:v>
      </x:c>
      <x:c r="H321" s="2" t="n">
        <x:v>0</x:v>
      </x:c>
      <x:c r="I321" s="10" t="n">
        <x:v>24.95</x:v>
      </x:c>
      <x:c r="J321" s="10" t="n">
        <x:v>0</x:v>
      </x:c>
      <x:c r="K321" s="10" t="n">
        <x:v>9</x:v>
      </x:c>
      <x:c r="L321" s="10" t="n">
        <x:f>G321*I321</x:f>
        <x:v>24.95</x:v>
      </x:c>
      <x:c r="M321" s="10" t="n">
        <x:f>ROUND((L321-J321)*H321/G321,2)</x:f>
        <x:v>0</x:v>
      </x:c>
      <x:c r="N321" s="10" t="n">
        <x:f>L321-J321-M321</x:f>
        <x:v>24.95</x:v>
      </x:c>
      <x:c r="O321" s="10" t="n">
        <x:f>(G321-H321)*K321</x:f>
        <x:v>9</x:v>
      </x:c>
      <x:c r="P321" s="10" t="n">
        <x:f>N321-O321</x:f>
        <x:v>15.95</x:v>
      </x:c>
      <x:c r="Q321" s="9" t="n">
        <x:f>A321-WEEKDAY(A321,2)+1</x:f>
        <x:v>46272</x:v>
      </x:c>
      <x:c r="R321" s="2" t="str">
        <x:f>IF(AND(A321&gt;='Review'!$B$4,A321&lt;='Review'!$D$4),"Selected","Outside")</x:f>
        <x:v>Outside</x:v>
      </x:c>
    </x:row>
    <x:row r="322" ht="20" customHeight="1">
      <x:c r="A322" s="9" t="n">
        <x:v>46274</x:v>
      </x:c>
      <x:c r="B322" s="2" t="str">
        <x:v>MM-1238</x:v>
      </x:c>
      <x:c r="C322" s="2" t="str">
        <x:v>Organic Search</x:v>
      </x:c>
      <x:c r="D322" s="2" t="str">
        <x:v>APP-003</x:v>
      </x:c>
      <x:c r="E322" s="2" t="str">
        <x:f>_xlfn.IFNA(VLOOKUP(D322,'Products'!$A$7:$I$22,2,FALSE),"Unmapped")</x:f>
        <x:v>Coffee club tee</x:v>
      </x:c>
      <x:c r="F322" s="2" t="str">
        <x:f>_xlfn.IFNA(VLOOKUP(D322,'Products'!$A$7:$I$22,3,FALSE),"Unmapped")</x:f>
        <x:v>Apparel</x:v>
      </x:c>
      <x:c r="G322" s="2" t="n">
        <x:v>3</x:v>
      </x:c>
      <x:c r="H322" s="2" t="n">
        <x:v>0</x:v>
      </x:c>
      <x:c r="I322" s="10" t="n">
        <x:v>29.95</x:v>
      </x:c>
      <x:c r="J322" s="10" t="n">
        <x:v>0</x:v>
      </x:c>
      <x:c r="K322" s="10" t="n">
        <x:v>10</x:v>
      </x:c>
      <x:c r="L322" s="10" t="n">
        <x:f>G322*I322</x:f>
        <x:v>89.85</x:v>
      </x:c>
      <x:c r="M322" s="10" t="n">
        <x:f>ROUND((L322-J322)*H322/G322,2)</x:f>
        <x:v>0</x:v>
      </x:c>
      <x:c r="N322" s="10" t="n">
        <x:f>L322-J322-M322</x:f>
        <x:v>89.85</x:v>
      </x:c>
      <x:c r="O322" s="10" t="n">
        <x:f>(G322-H322)*K322</x:f>
        <x:v>30</x:v>
      </x:c>
      <x:c r="P322" s="10" t="n">
        <x:f>N322-O322</x:f>
        <x:v>59.849999999999994</x:v>
      </x:c>
      <x:c r="Q322" s="9" t="n">
        <x:f>A322-WEEKDAY(A322,2)+1</x:f>
        <x:v>46272</x:v>
      </x:c>
      <x:c r="R322" s="2" t="str">
        <x:f>IF(AND(A322&gt;='Review'!$B$4,A322&lt;='Review'!$D$4),"Selected","Outside")</x:f>
        <x:v>Outside</x:v>
      </x:c>
    </x:row>
    <x:row r="323" ht="20" customHeight="1">
      <x:c r="A323" s="9" t="n">
        <x:v>46274</x:v>
      </x:c>
      <x:c r="B323" s="2" t="str">
        <x:v>MM-1242</x:v>
      </x:c>
      <x:c r="C323" s="2" t="str">
        <x:v>Organic Search</x:v>
      </x:c>
      <x:c r="D323" s="2" t="str">
        <x:v>TUM-002</x:v>
      </x:c>
      <x:c r="E323" s="2" t="str">
        <x:f>_xlfn.IFNA(VLOOKUP(D323,'Products'!$A$7:$I$22,2,FALSE),"Unmapped")</x:f>
        <x:v>Cold brew glass cup</x:v>
      </x:c>
      <x:c r="F323" s="2" t="str">
        <x:f>_xlfn.IFNA(VLOOKUP(D323,'Products'!$A$7:$I$22,3,FALSE),"Unmapped")</x:f>
        <x:v>Drinkware</x:v>
      </x:c>
      <x:c r="G323" s="2" t="n">
        <x:v>1</x:v>
      </x:c>
      <x:c r="H323" s="2" t="n">
        <x:v>0</x:v>
      </x:c>
      <x:c r="I323" s="10" t="n">
        <x:v>24.95</x:v>
      </x:c>
      <x:c r="J323" s="10" t="n">
        <x:v>0</x:v>
      </x:c>
      <x:c r="K323" s="10" t="n">
        <x:v>9</x:v>
      </x:c>
      <x:c r="L323" s="10" t="n">
        <x:f>G323*I323</x:f>
        <x:v>24.95</x:v>
      </x:c>
      <x:c r="M323" s="10" t="n">
        <x:f>ROUND((L323-J323)*H323/G323,2)</x:f>
        <x:v>0</x:v>
      </x:c>
      <x:c r="N323" s="10" t="n">
        <x:f>L323-J323-M323</x:f>
        <x:v>24.95</x:v>
      </x:c>
      <x:c r="O323" s="10" t="n">
        <x:f>(G323-H323)*K323</x:f>
        <x:v>9</x:v>
      </x:c>
      <x:c r="P323" s="10" t="n">
        <x:f>N323-O323</x:f>
        <x:v>15.95</x:v>
      </x:c>
      <x:c r="Q323" s="9" t="n">
        <x:f>A323-WEEKDAY(A323,2)+1</x:f>
        <x:v>46272</x:v>
      </x:c>
      <x:c r="R323" s="2" t="str">
        <x:f>IF(AND(A323&gt;='Review'!$B$4,A323&lt;='Review'!$D$4),"Selected","Outside")</x:f>
        <x:v>Outside</x:v>
      </x:c>
    </x:row>
    <x:row r="324" ht="20" customHeight="1">
      <x:c r="A324" s="9" t="n">
        <x:v>46274</x:v>
      </x:c>
      <x:c r="B324" s="2" t="str">
        <x:v>MM-1245</x:v>
      </x:c>
      <x:c r="C324" s="2" t="str">
        <x:v>Direct</x:v>
      </x:c>
      <x:c r="D324" s="2" t="str">
        <x:v>KEY-001</x:v>
      </x:c>
      <x:c r="E324" s="2" t="str">
        <x:f>_xlfn.IFNA(VLOOKUP(D324,'Products'!$A$7:$I$22,2,FALSE),"Unmapped")</x:f>
        <x:v>Maple keyring</x:v>
      </x:c>
      <x:c r="F324" s="2" t="str">
        <x:f>_xlfn.IFNA(VLOOKUP(D324,'Products'!$A$7:$I$22,3,FALSE),"Unmapped")</x:f>
        <x:v>Accessories</x:v>
      </x:c>
      <x:c r="G324" s="2" t="n">
        <x:v>1</x:v>
      </x:c>
      <x:c r="H324" s="2" t="n">
        <x:v>0</x:v>
      </x:c>
      <x:c r="I324" s="10" t="n">
        <x:v>12.95</x:v>
      </x:c>
      <x:c r="J324" s="10" t="n">
        <x:v>0</x:v>
      </x:c>
      <x:c r="K324" s="10" t="n">
        <x:v>3.5</x:v>
      </x:c>
      <x:c r="L324" s="10" t="n">
        <x:f>G324*I324</x:f>
        <x:v>12.95</x:v>
      </x:c>
      <x:c r="M324" s="10" t="n">
        <x:f>ROUND((L324-J324)*H324/G324,2)</x:f>
        <x:v>0</x:v>
      </x:c>
      <x:c r="N324" s="10" t="n">
        <x:f>L324-J324-M324</x:f>
        <x:v>12.95</x:v>
      </x:c>
      <x:c r="O324" s="10" t="n">
        <x:f>(G324-H324)*K324</x:f>
        <x:v>3.5</x:v>
      </x:c>
      <x:c r="P324" s="10" t="n">
        <x:f>N324-O324</x:f>
        <x:v>9.45</x:v>
      </x:c>
      <x:c r="Q324" s="9" t="n">
        <x:f>A324-WEEKDAY(A324,2)+1</x:f>
        <x:v>46272</x:v>
      </x:c>
      <x:c r="R324" s="2" t="str">
        <x:f>IF(AND(A324&gt;='Review'!$B$4,A324&lt;='Review'!$D$4),"Selected","Outside")</x:f>
        <x:v>Outside</x:v>
      </x:c>
    </x:row>
    <x:row r="325" ht="20" customHeight="1">
      <x:c r="A325" s="9" t="n">
        <x:v>46274</x:v>
      </x:c>
      <x:c r="B325" s="2" t="str">
        <x:v>MM-1245</x:v>
      </x:c>
      <x:c r="C325" s="2" t="str">
        <x:v>Direct</x:v>
      </x:c>
      <x:c r="D325" s="2" t="str">
        <x:v>GFT-001</x:v>
      </x:c>
      <x:c r="E325" s="2" t="str">
        <x:f>_xlfn.IFNA(VLOOKUP(D325,'Products'!$A$7:$I$22,2,FALSE),"Unmapped")</x:f>
        <x:v>Morning ritual gift set</x:v>
      </x:c>
      <x:c r="F325" s="2" t="str">
        <x:f>_xlfn.IFNA(VLOOKUP(D325,'Products'!$A$7:$I$22,3,FALSE),"Unmapped")</x:f>
        <x:v>Gifts</x:v>
      </x:c>
      <x:c r="G325" s="2" t="n">
        <x:v>1</x:v>
      </x:c>
      <x:c r="H325" s="2" t="n">
        <x:v>0</x:v>
      </x:c>
      <x:c r="I325" s="10" t="n">
        <x:v>59.95</x:v>
      </x:c>
      <x:c r="J325" s="10" t="n">
        <x:v>0</x:v>
      </x:c>
      <x:c r="K325" s="10" t="n">
        <x:v>24</x:v>
      </x:c>
      <x:c r="L325" s="10" t="n">
        <x:f>G325*I325</x:f>
        <x:v>59.95</x:v>
      </x:c>
      <x:c r="M325" s="10" t="n">
        <x:f>ROUND((L325-J325)*H325/G325,2)</x:f>
        <x:v>0</x:v>
      </x:c>
      <x:c r="N325" s="10" t="n">
        <x:f>L325-J325-M325</x:f>
        <x:v>59.95</x:v>
      </x:c>
      <x:c r="O325" s="10" t="n">
        <x:f>(G325-H325)*K325</x:f>
        <x:v>24</x:v>
      </x:c>
      <x:c r="P325" s="10" t="n">
        <x:f>N325-O325</x:f>
        <x:v>35.95</x:v>
      </x:c>
      <x:c r="Q325" s="9" t="n">
        <x:f>A325-WEEKDAY(A325,2)+1</x:f>
        <x:v>46272</x:v>
      </x:c>
      <x:c r="R325" s="2" t="str">
        <x:f>IF(AND(A325&gt;='Review'!$B$4,A325&lt;='Review'!$D$4),"Selected","Outside")</x:f>
        <x:v>Outside</x:v>
      </x:c>
    </x:row>
    <x:row r="326" ht="20" customHeight="1">
      <x:c r="A326" s="9" t="n">
        <x:v>46274</x:v>
      </x:c>
      <x:c r="B326" s="2" t="str">
        <x:v>MM-1240</x:v>
      </x:c>
      <x:c r="C326" s="2" t="str">
        <x:v>Paid Social</x:v>
      </x:c>
      <x:c r="D326" s="2" t="str">
        <x:v>HAT-001</x:v>
      </x:c>
      <x:c r="E326" s="2" t="str">
        <x:f>_xlfn.IFNA(VLOOKUP(D326,'Products'!$A$7:$I$22,2,FALSE),"Unmapped")</x:f>
        <x:v>Classic canvas cap</x:v>
      </x:c>
      <x:c r="F326" s="2" t="str">
        <x:f>_xlfn.IFNA(VLOOKUP(D326,'Products'!$A$7:$I$22,3,FALSE),"Unmapped")</x:f>
        <x:v>Accessories</x:v>
      </x:c>
      <x:c r="G326" s="2" t="n">
        <x:v>1</x:v>
      </x:c>
      <x:c r="H326" s="2" t="n">
        <x:v>0</x:v>
      </x:c>
      <x:c r="I326" s="10" t="n">
        <x:v>24.95</x:v>
      </x:c>
      <x:c r="J326" s="10" t="n">
        <x:v>0</x:v>
      </x:c>
      <x:c r="K326" s="10" t="n">
        <x:v>8.5</x:v>
      </x:c>
      <x:c r="L326" s="10" t="n">
        <x:f>G326*I326</x:f>
        <x:v>24.95</x:v>
      </x:c>
      <x:c r="M326" s="10" t="n">
        <x:f>ROUND((L326-J326)*H326/G326,2)</x:f>
        <x:v>0</x:v>
      </x:c>
      <x:c r="N326" s="10" t="n">
        <x:f>L326-J326-M326</x:f>
        <x:v>24.95</x:v>
      </x:c>
      <x:c r="O326" s="10" t="n">
        <x:f>(G326-H326)*K326</x:f>
        <x:v>8.5</x:v>
      </x:c>
      <x:c r="P326" s="10" t="n">
        <x:f>N326-O326</x:f>
        <x:v>16.45</x:v>
      </x:c>
      <x:c r="Q326" s="9" t="n">
        <x:f>A326-WEEKDAY(A326,2)+1</x:f>
        <x:v>46272</x:v>
      </x:c>
      <x:c r="R326" s="2" t="str">
        <x:f>IF(AND(A326&gt;='Review'!$B$4,A326&lt;='Review'!$D$4),"Selected","Outside")</x:f>
        <x:v>Outside</x:v>
      </x:c>
    </x:row>
    <x:row r="327" ht="20" customHeight="1">
      <x:c r="A327" s="9" t="n">
        <x:v>46274</x:v>
      </x:c>
      <x:c r="B327" s="2" t="str">
        <x:v>MM-1248</x:v>
      </x:c>
      <x:c r="C327" s="2" t="str">
        <x:v>Organic Search</x:v>
      </x:c>
      <x:c r="D327" s="2" t="str">
        <x:v>HAT-001</x:v>
      </x:c>
      <x:c r="E327" s="2" t="str">
        <x:f>_xlfn.IFNA(VLOOKUP(D327,'Products'!$A$7:$I$22,2,FALSE),"Unmapped")</x:f>
        <x:v>Classic canvas cap</x:v>
      </x:c>
      <x:c r="F327" s="2" t="str">
        <x:f>_xlfn.IFNA(VLOOKUP(D327,'Products'!$A$7:$I$22,3,FALSE),"Unmapped")</x:f>
        <x:v>Accessories</x:v>
      </x:c>
      <x:c r="G327" s="2" t="n">
        <x:v>1</x:v>
      </x:c>
      <x:c r="H327" s="2" t="n">
        <x:v>0</x:v>
      </x:c>
      <x:c r="I327" s="10" t="n">
        <x:v>24.95</x:v>
      </x:c>
      <x:c r="J327" s="10" t="n">
        <x:v>0</x:v>
      </x:c>
      <x:c r="K327" s="10" t="n">
        <x:v>8.5</x:v>
      </x:c>
      <x:c r="L327" s="10" t="n">
        <x:f>G327*I327</x:f>
        <x:v>24.95</x:v>
      </x:c>
      <x:c r="M327" s="10" t="n">
        <x:f>ROUND((L327-J327)*H327/G327,2)</x:f>
        <x:v>0</x:v>
      </x:c>
      <x:c r="N327" s="10" t="n">
        <x:f>L327-J327-M327</x:f>
        <x:v>24.95</x:v>
      </x:c>
      <x:c r="O327" s="10" t="n">
        <x:f>(G327-H327)*K327</x:f>
        <x:v>8.5</x:v>
      </x:c>
      <x:c r="P327" s="10" t="n">
        <x:f>N327-O327</x:f>
        <x:v>16.45</x:v>
      </x:c>
      <x:c r="Q327" s="9" t="n">
        <x:f>A327-WEEKDAY(A327,2)+1</x:f>
        <x:v>46272</x:v>
      </x:c>
      <x:c r="R327" s="2" t="str">
        <x:f>IF(AND(A327&gt;='Review'!$B$4,A327&lt;='Review'!$D$4),"Selected","Outside")</x:f>
        <x:v>Outside</x:v>
      </x:c>
    </x:row>
    <x:row r="328" ht="20" customHeight="1">
      <x:c r="A328" s="9" t="n">
        <x:v>46274</x:v>
      </x:c>
      <x:c r="B328" s="2" t="str">
        <x:v>MM-1233</x:v>
      </x:c>
      <x:c r="C328" s="2" t="str">
        <x:v>Organic Search</x:v>
      </x:c>
      <x:c r="D328" s="2" t="str">
        <x:v>HAT-001</x:v>
      </x:c>
      <x:c r="E328" s="2" t="str">
        <x:f>_xlfn.IFNA(VLOOKUP(D328,'Products'!$A$7:$I$22,2,FALSE),"Unmapped")</x:f>
        <x:v>Classic canvas cap</x:v>
      </x:c>
      <x:c r="F328" s="2" t="str">
        <x:f>_xlfn.IFNA(VLOOKUP(D328,'Products'!$A$7:$I$22,3,FALSE),"Unmapped")</x:f>
        <x:v>Accessories</x:v>
      </x:c>
      <x:c r="G328" s="2" t="n">
        <x:v>1</x:v>
      </x:c>
      <x:c r="H328" s="2" t="n">
        <x:v>0</x:v>
      </x:c>
      <x:c r="I328" s="10" t="n">
        <x:v>24.95</x:v>
      </x:c>
      <x:c r="J328" s="10" t="n">
        <x:v>0</x:v>
      </x:c>
      <x:c r="K328" s="10" t="n">
        <x:v>8.5</x:v>
      </x:c>
      <x:c r="L328" s="10" t="n">
        <x:f>G328*I328</x:f>
        <x:v>24.95</x:v>
      </x:c>
      <x:c r="M328" s="10" t="n">
        <x:f>ROUND((L328-J328)*H328/G328,2)</x:f>
        <x:v>0</x:v>
      </x:c>
      <x:c r="N328" s="10" t="n">
        <x:f>L328-J328-M328</x:f>
        <x:v>24.95</x:v>
      </x:c>
      <x:c r="O328" s="10" t="n">
        <x:f>(G328-H328)*K328</x:f>
        <x:v>8.5</x:v>
      </x:c>
      <x:c r="P328" s="10" t="n">
        <x:f>N328-O328</x:f>
        <x:v>16.45</x:v>
      </x:c>
      <x:c r="Q328" s="9" t="n">
        <x:f>A328-WEEKDAY(A328,2)+1</x:f>
        <x:v>46272</x:v>
      </x:c>
      <x:c r="R328" s="2" t="str">
        <x:f>IF(AND(A328&gt;='Review'!$B$4,A328&lt;='Review'!$D$4),"Selected","Outside")</x:f>
        <x:v>Outside</x:v>
      </x:c>
    </x:row>
    <x:row r="329" ht="20" customHeight="1">
      <x:c r="A329" s="9" t="n">
        <x:v>46274</x:v>
      </x:c>
      <x:c r="B329" s="2" t="str">
        <x:v>MM-1244</x:v>
      </x:c>
      <x:c r="C329" s="2" t="str">
        <x:v>Organic Search</x:v>
      </x:c>
      <x:c r="D329" s="2" t="str">
        <x:v>TOTE-001</x:v>
      </x:c>
      <x:c r="E329" s="2" t="str">
        <x:f>_xlfn.IFNA(VLOOKUP(D329,'Products'!$A$7:$I$22,2,FALSE),"Unmapped")</x:f>
        <x:v>Market canvas tote</x:v>
      </x:c>
      <x:c r="F329" s="2" t="str">
        <x:f>_xlfn.IFNA(VLOOKUP(D329,'Products'!$A$7:$I$22,3,FALSE),"Unmapped")</x:f>
        <x:v>Accessories</x:v>
      </x:c>
      <x:c r="G329" s="2" t="n">
        <x:v>2</x:v>
      </x:c>
      <x:c r="H329" s="2" t="n">
        <x:v>0</x:v>
      </x:c>
      <x:c r="I329" s="10" t="n">
        <x:v>19.95</x:v>
      </x:c>
      <x:c r="J329" s="10" t="n">
        <x:v>0</x:v>
      </x:c>
      <x:c r="K329" s="10" t="n">
        <x:v>6</x:v>
      </x:c>
      <x:c r="L329" s="10" t="n">
        <x:f>G329*I329</x:f>
        <x:v>39.9</x:v>
      </x:c>
      <x:c r="M329" s="10" t="n">
        <x:f>ROUND((L329-J329)*H329/G329,2)</x:f>
        <x:v>0</x:v>
      </x:c>
      <x:c r="N329" s="10" t="n">
        <x:f>L329-J329-M329</x:f>
        <x:v>39.9</x:v>
      </x:c>
      <x:c r="O329" s="10" t="n">
        <x:f>(G329-H329)*K329</x:f>
        <x:v>12</x:v>
      </x:c>
      <x:c r="P329" s="10" t="n">
        <x:f>N329-O329</x:f>
        <x:v>27.9</x:v>
      </x:c>
      <x:c r="Q329" s="9" t="n">
        <x:f>A329-WEEKDAY(A329,2)+1</x:f>
        <x:v>46272</x:v>
      </x:c>
      <x:c r="R329" s="2" t="str">
        <x:f>IF(AND(A329&gt;='Review'!$B$4,A329&lt;='Review'!$D$4),"Selected","Outside")</x:f>
        <x:v>Outside</x:v>
      </x:c>
    </x:row>
    <x:row r="330" ht="20" customHeight="1">
      <x:c r="A330" s="9" t="n">
        <x:v>46274</x:v>
      </x:c>
      <x:c r="B330" s="2" t="str">
        <x:v>MM-1244</x:v>
      </x:c>
      <x:c r="C330" s="2" t="str">
        <x:v>Organic Search</x:v>
      </x:c>
      <x:c r="D330" s="2" t="str">
        <x:v>HAT-001</x:v>
      </x:c>
      <x:c r="E330" s="2" t="str">
        <x:f>_xlfn.IFNA(VLOOKUP(D330,'Products'!$A$7:$I$22,2,FALSE),"Unmapped")</x:f>
        <x:v>Classic canvas cap</x:v>
      </x:c>
      <x:c r="F330" s="2" t="str">
        <x:f>_xlfn.IFNA(VLOOKUP(D330,'Products'!$A$7:$I$22,3,FALSE),"Unmapped")</x:f>
        <x:v>Accessories</x:v>
      </x:c>
      <x:c r="G330" s="2" t="n">
        <x:v>1</x:v>
      </x:c>
      <x:c r="H330" s="2" t="n">
        <x:v>0</x:v>
      </x:c>
      <x:c r="I330" s="10" t="n">
        <x:v>24.95</x:v>
      </x:c>
      <x:c r="J330" s="10" t="n">
        <x:v>2.49</x:v>
      </x:c>
      <x:c r="K330" s="10" t="n">
        <x:v>8.5</x:v>
      </x:c>
      <x:c r="L330" s="10" t="n">
        <x:f>G330*I330</x:f>
        <x:v>24.95</x:v>
      </x:c>
      <x:c r="M330" s="10" t="n">
        <x:f>ROUND((L330-J330)*H330/G330,2)</x:f>
        <x:v>0</x:v>
      </x:c>
      <x:c r="N330" s="10" t="n">
        <x:f>L330-J330-M330</x:f>
        <x:v>22.46</x:v>
      </x:c>
      <x:c r="O330" s="10" t="n">
        <x:f>(G330-H330)*K330</x:f>
        <x:v>8.5</x:v>
      </x:c>
      <x:c r="P330" s="10" t="n">
        <x:f>N330-O330</x:f>
        <x:v>13.96</x:v>
      </x:c>
      <x:c r="Q330" s="9" t="n">
        <x:f>A330-WEEKDAY(A330,2)+1</x:f>
        <x:v>46272</x:v>
      </x:c>
      <x:c r="R330" s="2" t="str">
        <x:f>IF(AND(A330&gt;='Review'!$B$4,A330&lt;='Review'!$D$4),"Selected","Outside")</x:f>
        <x:v>Outside</x:v>
      </x:c>
    </x:row>
    <x:row r="331" ht="20" customHeight="1">
      <x:c r="A331" s="9" t="n">
        <x:v>46274</x:v>
      </x:c>
      <x:c r="B331" s="2" t="str">
        <x:v>MM-1244</x:v>
      </x:c>
      <x:c r="C331" s="2" t="str">
        <x:v>Organic Search</x:v>
      </x:c>
      <x:c r="D331" s="2" t="str">
        <x:v>APP-002</x:v>
      </x:c>
      <x:c r="E331" s="2" t="str">
        <x:f>_xlfn.IFNA(VLOOKUP(D331,'Products'!$A$7:$I$22,2,FALSE),"Unmapped")</x:f>
        <x:v>Weekend hoodie</x:v>
      </x:c>
      <x:c r="F331" s="2" t="str">
        <x:f>_xlfn.IFNA(VLOOKUP(D331,'Products'!$A$7:$I$22,3,FALSE),"Unmapped")</x:f>
        <x:v>Apparel</x:v>
      </x:c>
      <x:c r="G331" s="2" t="n">
        <x:v>3</x:v>
      </x:c>
      <x:c r="H331" s="2" t="n">
        <x:v>0</x:v>
      </x:c>
      <x:c r="I331" s="10" t="n">
        <x:v>69.95</x:v>
      </x:c>
      <x:c r="J331" s="10" t="n">
        <x:v>0</x:v>
      </x:c>
      <x:c r="K331" s="10" t="n">
        <x:v>28</x:v>
      </x:c>
      <x:c r="L331" s="10" t="n">
        <x:f>G331*I331</x:f>
        <x:v>209.85000000000002</x:v>
      </x:c>
      <x:c r="M331" s="10" t="n">
        <x:f>ROUND((L331-J331)*H331/G331,2)</x:f>
        <x:v>0</x:v>
      </x:c>
      <x:c r="N331" s="10" t="n">
        <x:f>L331-J331-M331</x:f>
        <x:v>209.85000000000002</x:v>
      </x:c>
      <x:c r="O331" s="10" t="n">
        <x:f>(G331-H331)*K331</x:f>
        <x:v>84</x:v>
      </x:c>
      <x:c r="P331" s="10" t="n">
        <x:f>N331-O331</x:f>
        <x:v>125.85000000000002</x:v>
      </x:c>
      <x:c r="Q331" s="9" t="n">
        <x:f>A331-WEEKDAY(A331,2)+1</x:f>
        <x:v>46272</x:v>
      </x:c>
      <x:c r="R331" s="2" t="str">
        <x:f>IF(AND(A331&gt;='Review'!$B$4,A331&lt;='Review'!$D$4),"Selected","Outside")</x:f>
        <x:v>Outside</x:v>
      </x:c>
    </x:row>
    <x:row r="332" ht="20" customHeight="1">
      <x:c r="A332" s="9" t="n">
        <x:v>46274</x:v>
      </x:c>
      <x:c r="B332" s="2" t="str">
        <x:v>MM-1235</x:v>
      </x:c>
      <x:c r="C332" s="2" t="str">
        <x:v>Paid Social</x:v>
      </x:c>
      <x:c r="D332" s="2" t="str">
        <x:v>MUG-002</x:v>
      </x:c>
      <x:c r="E332" s="2" t="str">
        <x:f>_xlfn.IFNA(VLOOKUP(D332,'Products'!$A$7:$I$22,2,FALSE),"Unmapped")</x:f>
        <x:v>Campfire enamel mug</x:v>
      </x:c>
      <x:c r="F332" s="2" t="str">
        <x:f>_xlfn.IFNA(VLOOKUP(D332,'Products'!$A$7:$I$22,3,FALSE),"Unmapped")</x:f>
        <x:v>Drinkware</x:v>
      </x:c>
      <x:c r="G332" s="2" t="n">
        <x:v>2</x:v>
      </x:c>
      <x:c r="H332" s="2" t="n">
        <x:v>0</x:v>
      </x:c>
      <x:c r="I332" s="10" t="n">
        <x:v>22.95</x:v>
      </x:c>
      <x:c r="J332" s="10" t="n">
        <x:v>0</x:v>
      </x:c>
      <x:c r="K332" s="10" t="n">
        <x:v>8.5</x:v>
      </x:c>
      <x:c r="L332" s="10" t="n">
        <x:f>G332*I332</x:f>
        <x:v>45.9</x:v>
      </x:c>
      <x:c r="M332" s="10" t="n">
        <x:f>ROUND((L332-J332)*H332/G332,2)</x:f>
        <x:v>0</x:v>
      </x:c>
      <x:c r="N332" s="10" t="n">
        <x:f>L332-J332-M332</x:f>
        <x:v>45.9</x:v>
      </x:c>
      <x:c r="O332" s="10" t="n">
        <x:f>(G332-H332)*K332</x:f>
        <x:v>17</x:v>
      </x:c>
      <x:c r="P332" s="10" t="n">
        <x:f>N332-O332</x:f>
        <x:v>28.9</x:v>
      </x:c>
      <x:c r="Q332" s="9" t="n">
        <x:f>A332-WEEKDAY(A332,2)+1</x:f>
        <x:v>46272</x:v>
      </x:c>
      <x:c r="R332" s="2" t="str">
        <x:f>IF(AND(A332&gt;='Review'!$B$4,A332&lt;='Review'!$D$4),"Selected","Outside")</x:f>
        <x:v>Outside</x:v>
      </x:c>
    </x:row>
    <x:row r="333" ht="20" customHeight="1">
      <x:c r="A333" s="9" t="n">
        <x:v>46274</x:v>
      </x:c>
      <x:c r="B333" s="2" t="str">
        <x:v>MM-1243</x:v>
      </x:c>
      <x:c r="C333" s="2" t="str">
        <x:v>Email</x:v>
      </x:c>
      <x:c r="D333" s="2" t="str">
        <x:v>APP-002</x:v>
      </x:c>
      <x:c r="E333" s="2" t="str">
        <x:f>_xlfn.IFNA(VLOOKUP(D333,'Products'!$A$7:$I$22,2,FALSE),"Unmapped")</x:f>
        <x:v>Weekend hoodie</x:v>
      </x:c>
      <x:c r="F333" s="2" t="str">
        <x:f>_xlfn.IFNA(VLOOKUP(D333,'Products'!$A$7:$I$22,3,FALSE),"Unmapped")</x:f>
        <x:v>Apparel</x:v>
      </x:c>
      <x:c r="G333" s="2" t="n">
        <x:v>1</x:v>
      </x:c>
      <x:c r="H333" s="2" t="n">
        <x:v>0</x:v>
      </x:c>
      <x:c r="I333" s="10" t="n">
        <x:v>69.95</x:v>
      </x:c>
      <x:c r="J333" s="10" t="n">
        <x:v>6.99</x:v>
      </x:c>
      <x:c r="K333" s="10" t="n">
        <x:v>28</x:v>
      </x:c>
      <x:c r="L333" s="10" t="n">
        <x:f>G333*I333</x:f>
        <x:v>69.95</x:v>
      </x:c>
      <x:c r="M333" s="10" t="n">
        <x:f>ROUND((L333-J333)*H333/G333,2)</x:f>
        <x:v>0</x:v>
      </x:c>
      <x:c r="N333" s="10" t="n">
        <x:f>L333-J333-M333</x:f>
        <x:v>62.96</x:v>
      </x:c>
      <x:c r="O333" s="10" t="n">
        <x:f>(G333-H333)*K333</x:f>
        <x:v>28</x:v>
      </x:c>
      <x:c r="P333" s="10" t="n">
        <x:f>N333-O333</x:f>
        <x:v>34.96</x:v>
      </x:c>
      <x:c r="Q333" s="9" t="n">
        <x:f>A333-WEEKDAY(A333,2)+1</x:f>
        <x:v>46272</x:v>
      </x:c>
      <x:c r="R333" s="2" t="str">
        <x:f>IF(AND(A333&gt;='Review'!$B$4,A333&lt;='Review'!$D$4),"Selected","Outside")</x:f>
        <x:v>Outside</x:v>
      </x:c>
    </x:row>
    <x:row r="334" ht="20" customHeight="1">
      <x:c r="A334" s="9" t="n">
        <x:v>46274</x:v>
      </x:c>
      <x:c r="B334" s="2" t="str">
        <x:v>MM-1250</x:v>
      </x:c>
      <x:c r="C334" s="2" t="str">
        <x:v>Paid Social</x:v>
      </x:c>
      <x:c r="D334" s="2" t="str">
        <x:v>PIN-001</x:v>
      </x:c>
      <x:c r="E334" s="2" t="str">
        <x:f>_xlfn.IFNA(VLOOKUP(D334,'Products'!$A$7:$I$22,2,FALSE),"Unmapped")</x:f>
        <x:v>Coffee enamel pin</x:v>
      </x:c>
      <x:c r="F334" s="2" t="str">
        <x:f>_xlfn.IFNA(VLOOKUP(D334,'Products'!$A$7:$I$22,3,FALSE),"Unmapped")</x:f>
        <x:v>Accessories</x:v>
      </x:c>
      <x:c r="G334" s="2" t="n">
        <x:v>1</x:v>
      </x:c>
      <x:c r="H334" s="2" t="n">
        <x:v>0</x:v>
      </x:c>
      <x:c r="I334" s="10" t="n">
        <x:v>9.95</x:v>
      </x:c>
      <x:c r="J334" s="10" t="n">
        <x:v>0</x:v>
      </x:c>
      <x:c r="K334" s="10" t="n">
        <x:v>2.5</x:v>
      </x:c>
      <x:c r="L334" s="10" t="n">
        <x:f>G334*I334</x:f>
        <x:v>9.95</x:v>
      </x:c>
      <x:c r="M334" s="10" t="n">
        <x:f>ROUND((L334-J334)*H334/G334,2)</x:f>
        <x:v>0</x:v>
      </x:c>
      <x:c r="N334" s="10" t="n">
        <x:f>L334-J334-M334</x:f>
        <x:v>9.95</x:v>
      </x:c>
      <x:c r="O334" s="10" t="n">
        <x:f>(G334-H334)*K334</x:f>
        <x:v>2.5</x:v>
      </x:c>
      <x:c r="P334" s="10" t="n">
        <x:f>N334-O334</x:f>
        <x:v>7.449999999999999</x:v>
      </x:c>
      <x:c r="Q334" s="9" t="n">
        <x:f>A334-WEEKDAY(A334,2)+1</x:f>
        <x:v>46272</x:v>
      </x:c>
      <x:c r="R334" s="2" t="str">
        <x:f>IF(AND(A334&gt;='Review'!$B$4,A334&lt;='Review'!$D$4),"Selected","Outside")</x:f>
        <x:v>Outside</x:v>
      </x:c>
    </x:row>
    <x:row r="335" ht="20" customHeight="1">
      <x:c r="A335" s="9" t="n">
        <x:v>46274</x:v>
      </x:c>
      <x:c r="B335" s="2" t="str">
        <x:v>MM-1239</x:v>
      </x:c>
      <x:c r="C335" s="2" t="str">
        <x:v>Direct</x:v>
      </x:c>
      <x:c r="D335" s="2" t="str">
        <x:v>APP-003</x:v>
      </x:c>
      <x:c r="E335" s="2" t="str">
        <x:f>_xlfn.IFNA(VLOOKUP(D335,'Products'!$A$7:$I$22,2,FALSE),"Unmapped")</x:f>
        <x:v>Coffee club tee</x:v>
      </x:c>
      <x:c r="F335" s="2" t="str">
        <x:f>_xlfn.IFNA(VLOOKUP(D335,'Products'!$A$7:$I$22,3,FALSE),"Unmapped")</x:f>
        <x:v>Apparel</x:v>
      </x:c>
      <x:c r="G335" s="2" t="n">
        <x:v>1</x:v>
      </x:c>
      <x:c r="H335" s="2" t="n">
        <x:v>0</x:v>
      </x:c>
      <x:c r="I335" s="10" t="n">
        <x:v>29.95</x:v>
      </x:c>
      <x:c r="J335" s="10" t="n">
        <x:v>0</x:v>
      </x:c>
      <x:c r="K335" s="10" t="n">
        <x:v>10</x:v>
      </x:c>
      <x:c r="L335" s="10" t="n">
        <x:f>G335*I335</x:f>
        <x:v>29.95</x:v>
      </x:c>
      <x:c r="M335" s="10" t="n">
        <x:f>ROUND((L335-J335)*H335/G335,2)</x:f>
        <x:v>0</x:v>
      </x:c>
      <x:c r="N335" s="10" t="n">
        <x:f>L335-J335-M335</x:f>
        <x:v>29.95</x:v>
      </x:c>
      <x:c r="O335" s="10" t="n">
        <x:f>(G335-H335)*K335</x:f>
        <x:v>10</x:v>
      </x:c>
      <x:c r="P335" s="10" t="n">
        <x:f>N335-O335</x:f>
        <x:v>19.95</x:v>
      </x:c>
      <x:c r="Q335" s="9" t="n">
        <x:f>A335-WEEKDAY(A335,2)+1</x:f>
        <x:v>46272</x:v>
      </x:c>
      <x:c r="R335" s="2" t="str">
        <x:f>IF(AND(A335&gt;='Review'!$B$4,A335&lt;='Review'!$D$4),"Selected","Outside")</x:f>
        <x:v>Outside</x:v>
      </x:c>
    </x:row>
    <x:row r="336" ht="20" customHeight="1">
      <x:c r="A336" s="9" t="n">
        <x:v>46274</x:v>
      </x:c>
      <x:c r="B336" s="2" t="str">
        <x:v>MM-1247</x:v>
      </x:c>
      <x:c r="C336" s="2" t="str">
        <x:v>Organic Search</x:v>
      </x:c>
      <x:c r="D336" s="2" t="str">
        <x:v>PIN-001</x:v>
      </x:c>
      <x:c r="E336" s="2" t="str">
        <x:f>_xlfn.IFNA(VLOOKUP(D336,'Products'!$A$7:$I$22,2,FALSE),"Unmapped")</x:f>
        <x:v>Coffee enamel pin</x:v>
      </x:c>
      <x:c r="F336" s="2" t="str">
        <x:f>_xlfn.IFNA(VLOOKUP(D336,'Products'!$A$7:$I$22,3,FALSE),"Unmapped")</x:f>
        <x:v>Accessories</x:v>
      </x:c>
      <x:c r="G336" s="2" t="n">
        <x:v>1</x:v>
      </x:c>
      <x:c r="H336" s="2" t="n">
        <x:v>0</x:v>
      </x:c>
      <x:c r="I336" s="10" t="n">
        <x:v>9.95</x:v>
      </x:c>
      <x:c r="J336" s="10" t="n">
        <x:v>0</x:v>
      </x:c>
      <x:c r="K336" s="10" t="n">
        <x:v>2.5</x:v>
      </x:c>
      <x:c r="L336" s="10" t="n">
        <x:f>G336*I336</x:f>
        <x:v>9.95</x:v>
      </x:c>
      <x:c r="M336" s="10" t="n">
        <x:f>ROUND((L336-J336)*H336/G336,2)</x:f>
        <x:v>0</x:v>
      </x:c>
      <x:c r="N336" s="10" t="n">
        <x:f>L336-J336-M336</x:f>
        <x:v>9.95</x:v>
      </x:c>
      <x:c r="O336" s="10" t="n">
        <x:f>(G336-H336)*K336</x:f>
        <x:v>2.5</x:v>
      </x:c>
      <x:c r="P336" s="10" t="n">
        <x:f>N336-O336</x:f>
        <x:v>7.449999999999999</x:v>
      </x:c>
      <x:c r="Q336" s="9" t="n">
        <x:f>A336-WEEKDAY(A336,2)+1</x:f>
        <x:v>46272</x:v>
      </x:c>
      <x:c r="R336" s="2" t="str">
        <x:f>IF(AND(A336&gt;='Review'!$B$4,A336&lt;='Review'!$D$4),"Selected","Outside")</x:f>
        <x:v>Outside</x:v>
      </x:c>
    </x:row>
    <x:row r="337" ht="20" customHeight="1">
      <x:c r="A337" s="9" t="n">
        <x:v>46274</x:v>
      </x:c>
      <x:c r="B337" s="2" t="str">
        <x:v>MM-1251</x:v>
      </x:c>
      <x:c r="C337" s="2" t="str">
        <x:v>Organic Search</x:v>
      </x:c>
      <x:c r="D337" s="2" t="str">
        <x:v>APP-003</x:v>
      </x:c>
      <x:c r="E337" s="2" t="str">
        <x:f>_xlfn.IFNA(VLOOKUP(D337,'Products'!$A$7:$I$22,2,FALSE),"Unmapped")</x:f>
        <x:v>Coffee club tee</x:v>
      </x:c>
      <x:c r="F337" s="2" t="str">
        <x:f>_xlfn.IFNA(VLOOKUP(D337,'Products'!$A$7:$I$22,3,FALSE),"Unmapped")</x:f>
        <x:v>Apparel</x:v>
      </x:c>
      <x:c r="G337" s="2" t="n">
        <x:v>1</x:v>
      </x:c>
      <x:c r="H337" s="2" t="n">
        <x:v>0</x:v>
      </x:c>
      <x:c r="I337" s="10" t="n">
        <x:v>29.95</x:v>
      </x:c>
      <x:c r="J337" s="10" t="n">
        <x:v>2.99</x:v>
      </x:c>
      <x:c r="K337" s="10" t="n">
        <x:v>10</x:v>
      </x:c>
      <x:c r="L337" s="10" t="n">
        <x:f>G337*I337</x:f>
        <x:v>29.95</x:v>
      </x:c>
      <x:c r="M337" s="10" t="n">
        <x:f>ROUND((L337-J337)*H337/G337,2)</x:f>
        <x:v>0</x:v>
      </x:c>
      <x:c r="N337" s="10" t="n">
        <x:f>L337-J337-M337</x:f>
        <x:v>26.96</x:v>
      </x:c>
      <x:c r="O337" s="10" t="n">
        <x:f>(G337-H337)*K337</x:f>
        <x:v>10</x:v>
      </x:c>
      <x:c r="P337" s="10" t="n">
        <x:f>N337-O337</x:f>
        <x:v>16.96</x:v>
      </x:c>
      <x:c r="Q337" s="9" t="n">
        <x:f>A337-WEEKDAY(A337,2)+1</x:f>
        <x:v>46272</x:v>
      </x:c>
      <x:c r="R337" s="2" t="str">
        <x:f>IF(AND(A337&gt;='Review'!$B$4,A337&lt;='Review'!$D$4),"Selected","Outside")</x:f>
        <x:v>Outside</x:v>
      </x:c>
    </x:row>
    <x:row r="338" ht="20" customHeight="1">
      <x:c r="A338" s="9" t="n">
        <x:v>46274</x:v>
      </x:c>
      <x:c r="B338" s="2" t="str">
        <x:v>MM-1251</x:v>
      </x:c>
      <x:c r="C338" s="2" t="str">
        <x:v>Organic Search</x:v>
      </x:c>
      <x:c r="D338" s="2" t="str">
        <x:v>TUM-001</x:v>
      </x:c>
      <x:c r="E338" s="2" t="str">
        <x:f>_xlfn.IFNA(VLOOKUP(D338,'Products'!$A$7:$I$22,2,FALSE),"Unmapped")</x:f>
        <x:v>Maple travel tumbler</x:v>
      </x:c>
      <x:c r="F338" s="2" t="str">
        <x:f>_xlfn.IFNA(VLOOKUP(D338,'Products'!$A$7:$I$22,3,FALSE),"Unmapped")</x:f>
        <x:v>Drinkware</x:v>
      </x:c>
      <x:c r="G338" s="2" t="n">
        <x:v>1</x:v>
      </x:c>
      <x:c r="H338" s="2" t="n">
        <x:v>0</x:v>
      </x:c>
      <x:c r="I338" s="10" t="n">
        <x:v>32.95</x:v>
      </x:c>
      <x:c r="J338" s="10" t="n">
        <x:v>0</x:v>
      </x:c>
      <x:c r="K338" s="10" t="n">
        <x:v>12</x:v>
      </x:c>
      <x:c r="L338" s="10" t="n">
        <x:f>G338*I338</x:f>
        <x:v>32.95</x:v>
      </x:c>
      <x:c r="M338" s="10" t="n">
        <x:f>ROUND((L338-J338)*H338/G338,2)</x:f>
        <x:v>0</x:v>
      </x:c>
      <x:c r="N338" s="10" t="n">
        <x:f>L338-J338-M338</x:f>
        <x:v>32.95</x:v>
      </x:c>
      <x:c r="O338" s="10" t="n">
        <x:f>(G338-H338)*K338</x:f>
        <x:v>12</x:v>
      </x:c>
      <x:c r="P338" s="10" t="n">
        <x:f>N338-O338</x:f>
        <x:v>20.950000000000003</x:v>
      </x:c>
      <x:c r="Q338" s="9" t="n">
        <x:f>A338-WEEKDAY(A338,2)+1</x:f>
        <x:v>46272</x:v>
      </x:c>
      <x:c r="R338" s="2" t="str">
        <x:f>IF(AND(A338&gt;='Review'!$B$4,A338&lt;='Review'!$D$4),"Selected","Outside")</x:f>
        <x:v>Outside</x:v>
      </x:c>
    </x:row>
    <x:row r="339" ht="20" customHeight="1">
      <x:c r="A339" s="9" t="n">
        <x:v>46275</x:v>
      </x:c>
      <x:c r="B339" s="2" t="str">
        <x:v>MM-1253</x:v>
      </x:c>
      <x:c r="C339" s="2" t="str">
        <x:v>Direct</x:v>
      </x:c>
      <x:c r="D339" s="2" t="str">
        <x:v>APP-001</x:v>
      </x:c>
      <x:c r="E339" s="2" t="str">
        <x:f>_xlfn.IFNA(VLOOKUP(D339,'Products'!$A$7:$I$22,2,FALSE),"Unmapped")</x:f>
        <x:v>Everyday crewneck</x:v>
      </x:c>
      <x:c r="F339" s="2" t="str">
        <x:f>_xlfn.IFNA(VLOOKUP(D339,'Products'!$A$7:$I$22,3,FALSE),"Unmapped")</x:f>
        <x:v>Apparel</x:v>
      </x:c>
      <x:c r="G339" s="2" t="n">
        <x:v>1</x:v>
      </x:c>
      <x:c r="H339" s="2" t="n">
        <x:v>0</x:v>
      </x:c>
      <x:c r="I339" s="10" t="n">
        <x:v>54.95</x:v>
      </x:c>
      <x:c r="J339" s="10" t="n">
        <x:v>0</x:v>
      </x:c>
      <x:c r="K339" s="10" t="n">
        <x:v>22</x:v>
      </x:c>
      <x:c r="L339" s="10" t="n">
        <x:f>G339*I339</x:f>
        <x:v>54.95</x:v>
      </x:c>
      <x:c r="M339" s="10" t="n">
        <x:f>ROUND((L339-J339)*H339/G339,2)</x:f>
        <x:v>0</x:v>
      </x:c>
      <x:c r="N339" s="10" t="n">
        <x:f>L339-J339-M339</x:f>
        <x:v>54.95</x:v>
      </x:c>
      <x:c r="O339" s="10" t="n">
        <x:f>(G339-H339)*K339</x:f>
        <x:v>22</x:v>
      </x:c>
      <x:c r="P339" s="10" t="n">
        <x:f>N339-O339</x:f>
        <x:v>32.95</x:v>
      </x:c>
      <x:c r="Q339" s="9" t="n">
        <x:f>A339-WEEKDAY(A339,2)+1</x:f>
        <x:v>46272</x:v>
      </x:c>
      <x:c r="R339" s="2" t="str">
        <x:f>IF(AND(A339&gt;='Review'!$B$4,A339&lt;='Review'!$D$4),"Selected","Outside")</x:f>
        <x:v>Outside</x:v>
      </x:c>
    </x:row>
    <x:row r="340" ht="20" customHeight="1">
      <x:c r="A340" s="9" t="n">
        <x:v>46275</x:v>
      </x:c>
      <x:c r="B340" s="2" t="str">
        <x:v>MM-1267</x:v>
      </x:c>
      <x:c r="C340" s="2" t="str">
        <x:v>Organic Search</x:v>
      </x:c>
      <x:c r="D340" s="2" t="str">
        <x:v>APP-001</x:v>
      </x:c>
      <x:c r="E340" s="2" t="str">
        <x:f>_xlfn.IFNA(VLOOKUP(D340,'Products'!$A$7:$I$22,2,FALSE),"Unmapped")</x:f>
        <x:v>Everyday crewneck</x:v>
      </x:c>
      <x:c r="F340" s="2" t="str">
        <x:f>_xlfn.IFNA(VLOOKUP(D340,'Products'!$A$7:$I$22,3,FALSE),"Unmapped")</x:f>
        <x:v>Apparel</x:v>
      </x:c>
      <x:c r="G340" s="2" t="n">
        <x:v>3</x:v>
      </x:c>
      <x:c r="H340" s="2" t="n">
        <x:v>0</x:v>
      </x:c>
      <x:c r="I340" s="10" t="n">
        <x:v>54.95</x:v>
      </x:c>
      <x:c r="J340" s="10" t="n">
        <x:v>0</x:v>
      </x:c>
      <x:c r="K340" s="10" t="n">
        <x:v>22</x:v>
      </x:c>
      <x:c r="L340" s="10" t="n">
        <x:f>G340*I340</x:f>
        <x:v>164.85000000000002</x:v>
      </x:c>
      <x:c r="M340" s="10" t="n">
        <x:f>ROUND((L340-J340)*H340/G340,2)</x:f>
        <x:v>0</x:v>
      </x:c>
      <x:c r="N340" s="10" t="n">
        <x:f>L340-J340-M340</x:f>
        <x:v>164.85000000000002</x:v>
      </x:c>
      <x:c r="O340" s="10" t="n">
        <x:f>(G340-H340)*K340</x:f>
        <x:v>66</x:v>
      </x:c>
      <x:c r="P340" s="10" t="n">
        <x:f>N340-O340</x:f>
        <x:v>98.85000000000002</x:v>
      </x:c>
      <x:c r="Q340" s="9" t="n">
        <x:f>A340-WEEKDAY(A340,2)+1</x:f>
        <x:v>46272</x:v>
      </x:c>
      <x:c r="R340" s="2" t="str">
        <x:f>IF(AND(A340&gt;='Review'!$B$4,A340&lt;='Review'!$D$4),"Selected","Outside")</x:f>
        <x:v>Outside</x:v>
      </x:c>
    </x:row>
    <x:row r="341" ht="20" customHeight="1">
      <x:c r="A341" s="9" t="n">
        <x:v>46275</x:v>
      </x:c>
      <x:c r="B341" s="2" t="str">
        <x:v>MM-1257</x:v>
      </x:c>
      <x:c r="C341" s="2" t="str">
        <x:v>Email</x:v>
      </x:c>
      <x:c r="D341" s="2" t="str">
        <x:v>MUG-001</x:v>
      </x:c>
      <x:c r="E341" s="2" t="str">
        <x:f>_xlfn.IFNA(VLOOKUP(D341,'Products'!$A$7:$I$22,2,FALSE),"Unmapped")</x:f>
        <x:v>Everyday ceramic mug</x:v>
      </x:c>
      <x:c r="F341" s="2" t="str">
        <x:f>_xlfn.IFNA(VLOOKUP(D341,'Products'!$A$7:$I$22,3,FALSE),"Unmapped")</x:f>
        <x:v>Drinkware</x:v>
      </x:c>
      <x:c r="G341" s="2" t="n">
        <x:v>1</x:v>
      </x:c>
      <x:c r="H341" s="2" t="n">
        <x:v>0</x:v>
      </x:c>
      <x:c r="I341" s="10" t="n">
        <x:v>18.95</x:v>
      </x:c>
      <x:c r="J341" s="10" t="n">
        <x:v>1.89</x:v>
      </x:c>
      <x:c r="K341" s="10" t="n">
        <x:v>6.5</x:v>
      </x:c>
      <x:c r="L341" s="10" t="n">
        <x:f>G341*I341</x:f>
        <x:v>18.95</x:v>
      </x:c>
      <x:c r="M341" s="10" t="n">
        <x:f>ROUND((L341-J341)*H341/G341,2)</x:f>
        <x:v>0</x:v>
      </x:c>
      <x:c r="N341" s="10" t="n">
        <x:f>L341-J341-M341</x:f>
        <x:v>17.06</x:v>
      </x:c>
      <x:c r="O341" s="10" t="n">
        <x:f>(G341-H341)*K341</x:f>
        <x:v>6.5</x:v>
      </x:c>
      <x:c r="P341" s="10" t="n">
        <x:f>N341-O341</x:f>
        <x:v>10.559999999999999</x:v>
      </x:c>
      <x:c r="Q341" s="9" t="n">
        <x:f>A341-WEEKDAY(A341,2)+1</x:f>
        <x:v>46272</x:v>
      </x:c>
      <x:c r="R341" s="2" t="str">
        <x:f>IF(AND(A341&gt;='Review'!$B$4,A341&lt;='Review'!$D$4),"Selected","Outside")</x:f>
        <x:v>Outside</x:v>
      </x:c>
    </x:row>
    <x:row r="342" ht="20" customHeight="1">
      <x:c r="A342" s="9" t="n">
        <x:v>46275</x:v>
      </x:c>
      <x:c r="B342" s="2" t="str">
        <x:v>MM-1257</x:v>
      </x:c>
      <x:c r="C342" s="2" t="str">
        <x:v>Email</x:v>
      </x:c>
      <x:c r="D342" s="2" t="str">
        <x:v>TUM-001</x:v>
      </x:c>
      <x:c r="E342" s="2" t="str">
        <x:f>_xlfn.IFNA(VLOOKUP(D342,'Products'!$A$7:$I$22,2,FALSE),"Unmapped")</x:f>
        <x:v>Maple travel tumbler</x:v>
      </x:c>
      <x:c r="F342" s="2" t="str">
        <x:f>_xlfn.IFNA(VLOOKUP(D342,'Products'!$A$7:$I$22,3,FALSE),"Unmapped")</x:f>
        <x:v>Drinkware</x:v>
      </x:c>
      <x:c r="G342" s="2" t="n">
        <x:v>1</x:v>
      </x:c>
      <x:c r="H342" s="2" t="n">
        <x:v>0</x:v>
      </x:c>
      <x:c r="I342" s="10" t="n">
        <x:v>32.95</x:v>
      </x:c>
      <x:c r="J342" s="10" t="n">
        <x:v>3.29</x:v>
      </x:c>
      <x:c r="K342" s="10" t="n">
        <x:v>12</x:v>
      </x:c>
      <x:c r="L342" s="10" t="n">
        <x:f>G342*I342</x:f>
        <x:v>32.95</x:v>
      </x:c>
      <x:c r="M342" s="10" t="n">
        <x:f>ROUND((L342-J342)*H342/G342,2)</x:f>
        <x:v>0</x:v>
      </x:c>
      <x:c r="N342" s="10" t="n">
        <x:f>L342-J342-M342</x:f>
        <x:v>29.660000000000004</x:v>
      </x:c>
      <x:c r="O342" s="10" t="n">
        <x:f>(G342-H342)*K342</x:f>
        <x:v>12</x:v>
      </x:c>
      <x:c r="P342" s="10" t="n">
        <x:f>N342-O342</x:f>
        <x:v>17.660000000000004</x:v>
      </x:c>
      <x:c r="Q342" s="9" t="n">
        <x:f>A342-WEEKDAY(A342,2)+1</x:f>
        <x:v>46272</x:v>
      </x:c>
      <x:c r="R342" s="2" t="str">
        <x:f>IF(AND(A342&gt;='Review'!$B$4,A342&lt;='Review'!$D$4),"Selected","Outside")</x:f>
        <x:v>Outside</x:v>
      </x:c>
    </x:row>
    <x:row r="343" ht="20" customHeight="1">
      <x:c r="A343" s="9" t="n">
        <x:v>46275</x:v>
      </x:c>
      <x:c r="B343" s="2" t="str">
        <x:v>MM-1257</x:v>
      </x:c>
      <x:c r="C343" s="2" t="str">
        <x:v>Email</x:v>
      </x:c>
      <x:c r="D343" s="2" t="str">
        <x:v>GFT-002</x:v>
      </x:c>
      <x:c r="E343" s="2" t="str">
        <x:f>_xlfn.IFNA(VLOOKUP(D343,'Products'!$A$7:$I$22,2,FALSE),"Unmapped")</x:f>
        <x:v>Cozy weekend gift box</x:v>
      </x:c>
      <x:c r="F343" s="2" t="str">
        <x:f>_xlfn.IFNA(VLOOKUP(D343,'Products'!$A$7:$I$22,3,FALSE),"Unmapped")</x:f>
        <x:v>Gifts</x:v>
      </x:c>
      <x:c r="G343" s="2" t="n">
        <x:v>2</x:v>
      </x:c>
      <x:c r="H343" s="2" t="n">
        <x:v>0</x:v>
      </x:c>
      <x:c r="I343" s="10" t="n">
        <x:v>79.95</x:v>
      </x:c>
      <x:c r="J343" s="10" t="n">
        <x:v>15.99</x:v>
      </x:c>
      <x:c r="K343" s="10" t="n">
        <x:v>32</x:v>
      </x:c>
      <x:c r="L343" s="10" t="n">
        <x:f>G343*I343</x:f>
        <x:v>159.9</x:v>
      </x:c>
      <x:c r="M343" s="10" t="n">
        <x:f>ROUND((L343-J343)*H343/G343,2)</x:f>
        <x:v>0</x:v>
      </x:c>
      <x:c r="N343" s="10" t="n">
        <x:f>L343-J343-M343</x:f>
        <x:v>143.91</x:v>
      </x:c>
      <x:c r="O343" s="10" t="n">
        <x:f>(G343-H343)*K343</x:f>
        <x:v>64</x:v>
      </x:c>
      <x:c r="P343" s="10" t="n">
        <x:f>N343-O343</x:f>
        <x:v>79.91</x:v>
      </x:c>
      <x:c r="Q343" s="9" t="n">
        <x:f>A343-WEEKDAY(A343,2)+1</x:f>
        <x:v>46272</x:v>
      </x:c>
      <x:c r="R343" s="2" t="str">
        <x:f>IF(AND(A343&gt;='Review'!$B$4,A343&lt;='Review'!$D$4),"Selected","Outside")</x:f>
        <x:v>Outside</x:v>
      </x:c>
    </x:row>
    <x:row r="344" ht="20" customHeight="1">
      <x:c r="A344" s="9" t="n">
        <x:v>46275</x:v>
      </x:c>
      <x:c r="B344" s="2" t="str">
        <x:v>MM-1254</x:v>
      </x:c>
      <x:c r="C344" s="2" t="str">
        <x:v>Organic Search</x:v>
      </x:c>
      <x:c r="D344" s="2" t="str">
        <x:v>MUG-001</x:v>
      </x:c>
      <x:c r="E344" s="2" t="str">
        <x:f>_xlfn.IFNA(VLOOKUP(D344,'Products'!$A$7:$I$22,2,FALSE),"Unmapped")</x:f>
        <x:v>Everyday ceramic mug</x:v>
      </x:c>
      <x:c r="F344" s="2" t="str">
        <x:f>_xlfn.IFNA(VLOOKUP(D344,'Products'!$A$7:$I$22,3,FALSE),"Unmapped")</x:f>
        <x:v>Drinkware</x:v>
      </x:c>
      <x:c r="G344" s="2" t="n">
        <x:v>3</x:v>
      </x:c>
      <x:c r="H344" s="2" t="n">
        <x:v>0</x:v>
      </x:c>
      <x:c r="I344" s="10" t="n">
        <x:v>18.95</x:v>
      </x:c>
      <x:c r="J344" s="10" t="n">
        <x:v>0</x:v>
      </x:c>
      <x:c r="K344" s="10" t="n">
        <x:v>6.5</x:v>
      </x:c>
      <x:c r="L344" s="10" t="n">
        <x:f>G344*I344</x:f>
        <x:v>56.849999999999994</x:v>
      </x:c>
      <x:c r="M344" s="10" t="n">
        <x:f>ROUND((L344-J344)*H344/G344,2)</x:f>
        <x:v>0</x:v>
      </x:c>
      <x:c r="N344" s="10" t="n">
        <x:f>L344-J344-M344</x:f>
        <x:v>56.849999999999994</x:v>
      </x:c>
      <x:c r="O344" s="10" t="n">
        <x:f>(G344-H344)*K344</x:f>
        <x:v>19.5</x:v>
      </x:c>
      <x:c r="P344" s="10" t="n">
        <x:f>N344-O344</x:f>
        <x:v>37.349999999999994</x:v>
      </x:c>
      <x:c r="Q344" s="9" t="n">
        <x:f>A344-WEEKDAY(A344,2)+1</x:f>
        <x:v>46272</x:v>
      </x:c>
      <x:c r="R344" s="2" t="str">
        <x:f>IF(AND(A344&gt;='Review'!$B$4,A344&lt;='Review'!$D$4),"Selected","Outside")</x:f>
        <x:v>Outside</x:v>
      </x:c>
    </x:row>
    <x:row r="345" ht="20" customHeight="1">
      <x:c r="A345" s="9" t="n">
        <x:v>46275</x:v>
      </x:c>
      <x:c r="B345" s="2" t="str">
        <x:v>MM-1254</x:v>
      </x:c>
      <x:c r="C345" s="2" t="str">
        <x:v>Organic Search</x:v>
      </x:c>
      <x:c r="D345" s="2" t="str">
        <x:v>TOTE-001</x:v>
      </x:c>
      <x:c r="E345" s="2" t="str">
        <x:f>_xlfn.IFNA(VLOOKUP(D345,'Products'!$A$7:$I$22,2,FALSE),"Unmapped")</x:f>
        <x:v>Market canvas tote</x:v>
      </x:c>
      <x:c r="F345" s="2" t="str">
        <x:f>_xlfn.IFNA(VLOOKUP(D345,'Products'!$A$7:$I$22,3,FALSE),"Unmapped")</x:f>
        <x:v>Accessories</x:v>
      </x:c>
      <x:c r="G345" s="2" t="n">
        <x:v>1</x:v>
      </x:c>
      <x:c r="H345" s="2" t="n">
        <x:v>0</x:v>
      </x:c>
      <x:c r="I345" s="10" t="n">
        <x:v>19.95</x:v>
      </x:c>
      <x:c r="J345" s="10" t="n">
        <x:v>0</x:v>
      </x:c>
      <x:c r="K345" s="10" t="n">
        <x:v>6</x:v>
      </x:c>
      <x:c r="L345" s="10" t="n">
        <x:f>G345*I345</x:f>
        <x:v>19.95</x:v>
      </x:c>
      <x:c r="M345" s="10" t="n">
        <x:f>ROUND((L345-J345)*H345/G345,2)</x:f>
        <x:v>0</x:v>
      </x:c>
      <x:c r="N345" s="10" t="n">
        <x:f>L345-J345-M345</x:f>
        <x:v>19.95</x:v>
      </x:c>
      <x:c r="O345" s="10" t="n">
        <x:f>(G345-H345)*K345</x:f>
        <x:v>6</x:v>
      </x:c>
      <x:c r="P345" s="10" t="n">
        <x:f>N345-O345</x:f>
        <x:v>13.95</x:v>
      </x:c>
      <x:c r="Q345" s="9" t="n">
        <x:f>A345-WEEKDAY(A345,2)+1</x:f>
        <x:v>46272</x:v>
      </x:c>
      <x:c r="R345" s="2" t="str">
        <x:f>IF(AND(A345&gt;='Review'!$B$4,A345&lt;='Review'!$D$4),"Selected","Outside")</x:f>
        <x:v>Outside</x:v>
      </x:c>
    </x:row>
    <x:row r="346" ht="20" customHeight="1">
      <x:c r="A346" s="9" t="n">
        <x:v>46275</x:v>
      </x:c>
      <x:c r="B346" s="2" t="str">
        <x:v>MM-1254</x:v>
      </x:c>
      <x:c r="C346" s="2" t="str">
        <x:v>Organic Search</x:v>
      </x:c>
      <x:c r="D346" s="2" t="str">
        <x:v>APP-003</x:v>
      </x:c>
      <x:c r="E346" s="2" t="str">
        <x:f>_xlfn.IFNA(VLOOKUP(D346,'Products'!$A$7:$I$22,2,FALSE),"Unmapped")</x:f>
        <x:v>Coffee club tee</x:v>
      </x:c>
      <x:c r="F346" s="2" t="str">
        <x:f>_xlfn.IFNA(VLOOKUP(D346,'Products'!$A$7:$I$22,3,FALSE),"Unmapped")</x:f>
        <x:v>Apparel</x:v>
      </x:c>
      <x:c r="G346" s="2" t="n">
        <x:v>1</x:v>
      </x:c>
      <x:c r="H346" s="2" t="n">
        <x:v>0</x:v>
      </x:c>
      <x:c r="I346" s="10" t="n">
        <x:v>29.95</x:v>
      </x:c>
      <x:c r="J346" s="10" t="n">
        <x:v>0</x:v>
      </x:c>
      <x:c r="K346" s="10" t="n">
        <x:v>10</x:v>
      </x:c>
      <x:c r="L346" s="10" t="n">
        <x:f>G346*I346</x:f>
        <x:v>29.95</x:v>
      </x:c>
      <x:c r="M346" s="10" t="n">
        <x:f>ROUND((L346-J346)*H346/G346,2)</x:f>
        <x:v>0</x:v>
      </x:c>
      <x:c r="N346" s="10" t="n">
        <x:f>L346-J346-M346</x:f>
        <x:v>29.95</x:v>
      </x:c>
      <x:c r="O346" s="10" t="n">
        <x:f>(G346-H346)*K346</x:f>
        <x:v>10</x:v>
      </x:c>
      <x:c r="P346" s="10" t="n">
        <x:f>N346-O346</x:f>
        <x:v>19.95</x:v>
      </x:c>
      <x:c r="Q346" s="9" t="n">
        <x:f>A346-WEEKDAY(A346,2)+1</x:f>
        <x:v>46272</x:v>
      </x:c>
      <x:c r="R346" s="2" t="str">
        <x:f>IF(AND(A346&gt;='Review'!$B$4,A346&lt;='Review'!$D$4),"Selected","Outside")</x:f>
        <x:v>Outside</x:v>
      </x:c>
    </x:row>
    <x:row r="347" ht="20" customHeight="1">
      <x:c r="A347" s="9" t="n">
        <x:v>46275</x:v>
      </x:c>
      <x:c r="B347" s="2" t="str">
        <x:v>MM-1268</x:v>
      </x:c>
      <x:c r="C347" s="2" t="str">
        <x:v>Paid Social</x:v>
      </x:c>
      <x:c r="D347" s="2" t="str">
        <x:v>TUM-002</x:v>
      </x:c>
      <x:c r="E347" s="2" t="str">
        <x:f>_xlfn.IFNA(VLOOKUP(D347,'Products'!$A$7:$I$22,2,FALSE),"Unmapped")</x:f>
        <x:v>Cold brew glass cup</x:v>
      </x:c>
      <x:c r="F347" s="2" t="str">
        <x:f>_xlfn.IFNA(VLOOKUP(D347,'Products'!$A$7:$I$22,3,FALSE),"Unmapped")</x:f>
        <x:v>Drinkware</x:v>
      </x:c>
      <x:c r="G347" s="2" t="n">
        <x:v>1</x:v>
      </x:c>
      <x:c r="H347" s="2" t="n">
        <x:v>0</x:v>
      </x:c>
      <x:c r="I347" s="10" t="n">
        <x:v>24.95</x:v>
      </x:c>
      <x:c r="J347" s="10" t="n">
        <x:v>0</x:v>
      </x:c>
      <x:c r="K347" s="10" t="n">
        <x:v>9</x:v>
      </x:c>
      <x:c r="L347" s="10" t="n">
        <x:f>G347*I347</x:f>
        <x:v>24.95</x:v>
      </x:c>
      <x:c r="M347" s="10" t="n">
        <x:f>ROUND((L347-J347)*H347/G347,2)</x:f>
        <x:v>0</x:v>
      </x:c>
      <x:c r="N347" s="10" t="n">
        <x:f>L347-J347-M347</x:f>
        <x:v>24.95</x:v>
      </x:c>
      <x:c r="O347" s="10" t="n">
        <x:f>(G347-H347)*K347</x:f>
        <x:v>9</x:v>
      </x:c>
      <x:c r="P347" s="10" t="n">
        <x:f>N347-O347</x:f>
        <x:v>15.95</x:v>
      </x:c>
      <x:c r="Q347" s="9" t="n">
        <x:f>A347-WEEKDAY(A347,2)+1</x:f>
        <x:v>46272</x:v>
      </x:c>
      <x:c r="R347" s="2" t="str">
        <x:f>IF(AND(A347&gt;='Review'!$B$4,A347&lt;='Review'!$D$4),"Selected","Outside")</x:f>
        <x:v>Outside</x:v>
      </x:c>
    </x:row>
    <x:row r="348" ht="20" customHeight="1">
      <x:c r="A348" s="9" t="n">
        <x:v>46275</x:v>
      </x:c>
      <x:c r="B348" s="2" t="str">
        <x:v>MM-1268</x:v>
      </x:c>
      <x:c r="C348" s="2" t="str">
        <x:v>Paid Social</x:v>
      </x:c>
      <x:c r="D348" s="2" t="str">
        <x:v>PIN-001</x:v>
      </x:c>
      <x:c r="E348" s="2" t="str">
        <x:f>_xlfn.IFNA(VLOOKUP(D348,'Products'!$A$7:$I$22,2,FALSE),"Unmapped")</x:f>
        <x:v>Coffee enamel pin</x:v>
      </x:c>
      <x:c r="F348" s="2" t="str">
        <x:f>_xlfn.IFNA(VLOOKUP(D348,'Products'!$A$7:$I$22,3,FALSE),"Unmapped")</x:f>
        <x:v>Accessories</x:v>
      </x:c>
      <x:c r="G348" s="2" t="n">
        <x:v>1</x:v>
      </x:c>
      <x:c r="H348" s="2" t="n">
        <x:v>0</x:v>
      </x:c>
      <x:c r="I348" s="10" t="n">
        <x:v>9.95</x:v>
      </x:c>
      <x:c r="J348" s="10" t="n">
        <x:v>0.99</x:v>
      </x:c>
      <x:c r="K348" s="10" t="n">
        <x:v>2.5</x:v>
      </x:c>
      <x:c r="L348" s="10" t="n">
        <x:f>G348*I348</x:f>
        <x:v>9.95</x:v>
      </x:c>
      <x:c r="M348" s="10" t="n">
        <x:f>ROUND((L348-J348)*H348/G348,2)</x:f>
        <x:v>0</x:v>
      </x:c>
      <x:c r="N348" s="10" t="n">
        <x:f>L348-J348-M348</x:f>
        <x:v>8.959999999999999</x:v>
      </x:c>
      <x:c r="O348" s="10" t="n">
        <x:f>(G348-H348)*K348</x:f>
        <x:v>2.5</x:v>
      </x:c>
      <x:c r="P348" s="10" t="n">
        <x:f>N348-O348</x:f>
        <x:v>6.459999999999999</x:v>
      </x:c>
      <x:c r="Q348" s="9" t="n">
        <x:f>A348-WEEKDAY(A348,2)+1</x:f>
        <x:v>46272</x:v>
      </x:c>
      <x:c r="R348" s="2" t="str">
        <x:f>IF(AND(A348&gt;='Review'!$B$4,A348&lt;='Review'!$D$4),"Selected","Outside")</x:f>
        <x:v>Outside</x:v>
      </x:c>
    </x:row>
    <x:row r="349" ht="20" customHeight="1">
      <x:c r="A349" s="9" t="n">
        <x:v>46275</x:v>
      </x:c>
      <x:c r="B349" s="2" t="str">
        <x:v>MM-1268</x:v>
      </x:c>
      <x:c r="C349" s="2" t="str">
        <x:v>Paid Social</x:v>
      </x:c>
      <x:c r="D349" s="2" t="str">
        <x:v>GFT-002</x:v>
      </x:c>
      <x:c r="E349" s="2" t="str">
        <x:f>_xlfn.IFNA(VLOOKUP(D349,'Products'!$A$7:$I$22,2,FALSE),"Unmapped")</x:f>
        <x:v>Cozy weekend gift box</x:v>
      </x:c>
      <x:c r="F349" s="2" t="str">
        <x:f>_xlfn.IFNA(VLOOKUP(D349,'Products'!$A$7:$I$22,3,FALSE),"Unmapped")</x:f>
        <x:v>Gifts</x:v>
      </x:c>
      <x:c r="G349" s="2" t="n">
        <x:v>1</x:v>
      </x:c>
      <x:c r="H349" s="2" t="n">
        <x:v>0</x:v>
      </x:c>
      <x:c r="I349" s="10" t="n">
        <x:v>79.95</x:v>
      </x:c>
      <x:c r="J349" s="10" t="n">
        <x:v>0</x:v>
      </x:c>
      <x:c r="K349" s="10" t="n">
        <x:v>32</x:v>
      </x:c>
      <x:c r="L349" s="10" t="n">
        <x:f>G349*I349</x:f>
        <x:v>79.95</x:v>
      </x:c>
      <x:c r="M349" s="10" t="n">
        <x:f>ROUND((L349-J349)*H349/G349,2)</x:f>
        <x:v>0</x:v>
      </x:c>
      <x:c r="N349" s="10" t="n">
        <x:f>L349-J349-M349</x:f>
        <x:v>79.95</x:v>
      </x:c>
      <x:c r="O349" s="10" t="n">
        <x:f>(G349-H349)*K349</x:f>
        <x:v>32</x:v>
      </x:c>
      <x:c r="P349" s="10" t="n">
        <x:f>N349-O349</x:f>
        <x:v>47.95</x:v>
      </x:c>
      <x:c r="Q349" s="9" t="n">
        <x:f>A349-WEEKDAY(A349,2)+1</x:f>
        <x:v>46272</x:v>
      </x:c>
      <x:c r="R349" s="2" t="str">
        <x:f>IF(AND(A349&gt;='Review'!$B$4,A349&lt;='Review'!$D$4),"Selected","Outside")</x:f>
        <x:v>Outside</x:v>
      </x:c>
    </x:row>
    <x:row r="350" ht="20" customHeight="1">
      <x:c r="A350" s="9" t="n">
        <x:v>46275</x:v>
      </x:c>
      <x:c r="B350" s="2" t="str">
        <x:v>MM-1256</x:v>
      </x:c>
      <x:c r="C350" s="2" t="str">
        <x:v>Paid Social</x:v>
      </x:c>
      <x:c r="D350" s="2" t="str">
        <x:v>APP-002</x:v>
      </x:c>
      <x:c r="E350" s="2" t="str">
        <x:f>_xlfn.IFNA(VLOOKUP(D350,'Products'!$A$7:$I$22,2,FALSE),"Unmapped")</x:f>
        <x:v>Weekend hoodie</x:v>
      </x:c>
      <x:c r="F350" s="2" t="str">
        <x:f>_xlfn.IFNA(VLOOKUP(D350,'Products'!$A$7:$I$22,3,FALSE),"Unmapped")</x:f>
        <x:v>Apparel</x:v>
      </x:c>
      <x:c r="G350" s="2" t="n">
        <x:v>2</x:v>
      </x:c>
      <x:c r="H350" s="2" t="n">
        <x:v>0</x:v>
      </x:c>
      <x:c r="I350" s="10" t="n">
        <x:v>69.95</x:v>
      </x:c>
      <x:c r="J350" s="10" t="n">
        <x:v>0</x:v>
      </x:c>
      <x:c r="K350" s="10" t="n">
        <x:v>28</x:v>
      </x:c>
      <x:c r="L350" s="10" t="n">
        <x:f>G350*I350</x:f>
        <x:v>139.9</x:v>
      </x:c>
      <x:c r="M350" s="10" t="n">
        <x:f>ROUND((L350-J350)*H350/G350,2)</x:f>
        <x:v>0</x:v>
      </x:c>
      <x:c r="N350" s="10" t="n">
        <x:f>L350-J350-M350</x:f>
        <x:v>139.9</x:v>
      </x:c>
      <x:c r="O350" s="10" t="n">
        <x:f>(G350-H350)*K350</x:f>
        <x:v>56</x:v>
      </x:c>
      <x:c r="P350" s="10" t="n">
        <x:f>N350-O350</x:f>
        <x:v>83.9</x:v>
      </x:c>
      <x:c r="Q350" s="9" t="n">
        <x:f>A350-WEEKDAY(A350,2)+1</x:f>
        <x:v>46272</x:v>
      </x:c>
      <x:c r="R350" s="2" t="str">
        <x:f>IF(AND(A350&gt;='Review'!$B$4,A350&lt;='Review'!$D$4),"Selected","Outside")</x:f>
        <x:v>Outside</x:v>
      </x:c>
    </x:row>
    <x:row r="351" ht="20" customHeight="1">
      <x:c r="A351" s="9" t="n">
        <x:v>46275</x:v>
      </x:c>
      <x:c r="B351" s="2" t="str">
        <x:v>MM-1259</x:v>
      </x:c>
      <x:c r="C351" s="2" t="str">
        <x:v>Direct</x:v>
      </x:c>
      <x:c r="D351" s="2" t="str">
        <x:v>APP-002</x:v>
      </x:c>
      <x:c r="E351" s="2" t="str">
        <x:f>_xlfn.IFNA(VLOOKUP(D351,'Products'!$A$7:$I$22,2,FALSE),"Unmapped")</x:f>
        <x:v>Weekend hoodie</x:v>
      </x:c>
      <x:c r="F351" s="2" t="str">
        <x:f>_xlfn.IFNA(VLOOKUP(D351,'Products'!$A$7:$I$22,3,FALSE),"Unmapped")</x:f>
        <x:v>Apparel</x:v>
      </x:c>
      <x:c r="G351" s="2" t="n">
        <x:v>1</x:v>
      </x:c>
      <x:c r="H351" s="2" t="n">
        <x:v>0</x:v>
      </x:c>
      <x:c r="I351" s="10" t="n">
        <x:v>69.95</x:v>
      </x:c>
      <x:c r="J351" s="10" t="n">
        <x:v>6.99</x:v>
      </x:c>
      <x:c r="K351" s="10" t="n">
        <x:v>28</x:v>
      </x:c>
      <x:c r="L351" s="10" t="n">
        <x:f>G351*I351</x:f>
        <x:v>69.95</x:v>
      </x:c>
      <x:c r="M351" s="10" t="n">
        <x:f>ROUND((L351-J351)*H351/G351,2)</x:f>
        <x:v>0</x:v>
      </x:c>
      <x:c r="N351" s="10" t="n">
        <x:f>L351-J351-M351</x:f>
        <x:v>62.96</x:v>
      </x:c>
      <x:c r="O351" s="10" t="n">
        <x:f>(G351-H351)*K351</x:f>
        <x:v>28</x:v>
      </x:c>
      <x:c r="P351" s="10" t="n">
        <x:f>N351-O351</x:f>
        <x:v>34.96</x:v>
      </x:c>
      <x:c r="Q351" s="9" t="n">
        <x:f>A351-WEEKDAY(A351,2)+1</x:f>
        <x:v>46272</x:v>
      </x:c>
      <x:c r="R351" s="2" t="str">
        <x:f>IF(AND(A351&gt;='Review'!$B$4,A351&lt;='Review'!$D$4),"Selected","Outside")</x:f>
        <x:v>Outside</x:v>
      </x:c>
    </x:row>
    <x:row r="352" ht="20" customHeight="1">
      <x:c r="A352" s="9" t="n">
        <x:v>46275</x:v>
      </x:c>
      <x:c r="B352" s="2" t="str">
        <x:v>MM-1264</x:v>
      </x:c>
      <x:c r="C352" s="2" t="str">
        <x:v>Direct</x:v>
      </x:c>
      <x:c r="D352" s="2" t="str">
        <x:v>TUM-002</x:v>
      </x:c>
      <x:c r="E352" s="2" t="str">
        <x:f>_xlfn.IFNA(VLOOKUP(D352,'Products'!$A$7:$I$22,2,FALSE),"Unmapped")</x:f>
        <x:v>Cold brew glass cup</x:v>
      </x:c>
      <x:c r="F352" s="2" t="str">
        <x:f>_xlfn.IFNA(VLOOKUP(D352,'Products'!$A$7:$I$22,3,FALSE),"Unmapped")</x:f>
        <x:v>Drinkware</x:v>
      </x:c>
      <x:c r="G352" s="2" t="n">
        <x:v>2</x:v>
      </x:c>
      <x:c r="H352" s="2" t="n">
        <x:v>0</x:v>
      </x:c>
      <x:c r="I352" s="10" t="n">
        <x:v>24.95</x:v>
      </x:c>
      <x:c r="J352" s="10" t="n">
        <x:v>0</x:v>
      </x:c>
      <x:c r="K352" s="10" t="n">
        <x:v>9</x:v>
      </x:c>
      <x:c r="L352" s="10" t="n">
        <x:f>G352*I352</x:f>
        <x:v>49.9</x:v>
      </x:c>
      <x:c r="M352" s="10" t="n">
        <x:f>ROUND((L352-J352)*H352/G352,2)</x:f>
        <x:v>0</x:v>
      </x:c>
      <x:c r="N352" s="10" t="n">
        <x:f>L352-J352-M352</x:f>
        <x:v>49.9</x:v>
      </x:c>
      <x:c r="O352" s="10" t="n">
        <x:f>(G352-H352)*K352</x:f>
        <x:v>18</x:v>
      </x:c>
      <x:c r="P352" s="10" t="n">
        <x:f>N352-O352</x:f>
        <x:v>31.9</x:v>
      </x:c>
      <x:c r="Q352" s="9" t="n">
        <x:f>A352-WEEKDAY(A352,2)+1</x:f>
        <x:v>46272</x:v>
      </x:c>
      <x:c r="R352" s="2" t="str">
        <x:f>IF(AND(A352&gt;='Review'!$B$4,A352&lt;='Review'!$D$4),"Selected","Outside")</x:f>
        <x:v>Outside</x:v>
      </x:c>
    </x:row>
    <x:row r="353" ht="20" customHeight="1">
      <x:c r="A353" s="9" t="n">
        <x:v>46275</x:v>
      </x:c>
      <x:c r="B353" s="2" t="str">
        <x:v>MM-1265</x:v>
      </x:c>
      <x:c r="C353" s="2" t="str">
        <x:v>Organic Search</x:v>
      </x:c>
      <x:c r="D353" s="2" t="str">
        <x:v>KEY-001</x:v>
      </x:c>
      <x:c r="E353" s="2" t="str">
        <x:f>_xlfn.IFNA(VLOOKUP(D353,'Products'!$A$7:$I$22,2,FALSE),"Unmapped")</x:f>
        <x:v>Maple keyring</x:v>
      </x:c>
      <x:c r="F353" s="2" t="str">
        <x:f>_xlfn.IFNA(VLOOKUP(D353,'Products'!$A$7:$I$22,3,FALSE),"Unmapped")</x:f>
        <x:v>Accessories</x:v>
      </x:c>
      <x:c r="G353" s="2" t="n">
        <x:v>1</x:v>
      </x:c>
      <x:c r="H353" s="2" t="n">
        <x:v>0</x:v>
      </x:c>
      <x:c r="I353" s="10" t="n">
        <x:v>12.95</x:v>
      </x:c>
      <x:c r="J353" s="10" t="n">
        <x:v>0</x:v>
      </x:c>
      <x:c r="K353" s="10" t="n">
        <x:v>3.5</x:v>
      </x:c>
      <x:c r="L353" s="10" t="n">
        <x:f>G353*I353</x:f>
        <x:v>12.95</x:v>
      </x:c>
      <x:c r="M353" s="10" t="n">
        <x:f>ROUND((L353-J353)*H353/G353,2)</x:f>
        <x:v>0</x:v>
      </x:c>
      <x:c r="N353" s="10" t="n">
        <x:f>L353-J353-M353</x:f>
        <x:v>12.95</x:v>
      </x:c>
      <x:c r="O353" s="10" t="n">
        <x:f>(G353-H353)*K353</x:f>
        <x:v>3.5</x:v>
      </x:c>
      <x:c r="P353" s="10" t="n">
        <x:f>N353-O353</x:f>
        <x:v>9.45</x:v>
      </x:c>
      <x:c r="Q353" s="9" t="n">
        <x:f>A353-WEEKDAY(A353,2)+1</x:f>
        <x:v>46272</x:v>
      </x:c>
      <x:c r="R353" s="2" t="str">
        <x:f>IF(AND(A353&gt;='Review'!$B$4,A353&lt;='Review'!$D$4),"Selected","Outside")</x:f>
        <x:v>Outside</x:v>
      </x:c>
    </x:row>
    <x:row r="354" ht="20" customHeight="1">
      <x:c r="A354" s="9" t="n">
        <x:v>46275</x:v>
      </x:c>
      <x:c r="B354" s="2" t="str">
        <x:v>MM-1261</x:v>
      </x:c>
      <x:c r="C354" s="2" t="str">
        <x:v>Paid Social</x:v>
      </x:c>
      <x:c r="D354" s="2" t="str">
        <x:v>HAT-001</x:v>
      </x:c>
      <x:c r="E354" s="2" t="str">
        <x:f>_xlfn.IFNA(VLOOKUP(D354,'Products'!$A$7:$I$22,2,FALSE),"Unmapped")</x:f>
        <x:v>Classic canvas cap</x:v>
      </x:c>
      <x:c r="F354" s="2" t="str">
        <x:f>_xlfn.IFNA(VLOOKUP(D354,'Products'!$A$7:$I$22,3,FALSE),"Unmapped")</x:f>
        <x:v>Accessories</x:v>
      </x:c>
      <x:c r="G354" s="2" t="n">
        <x:v>1</x:v>
      </x:c>
      <x:c r="H354" s="2" t="n">
        <x:v>0</x:v>
      </x:c>
      <x:c r="I354" s="10" t="n">
        <x:v>24.95</x:v>
      </x:c>
      <x:c r="J354" s="10" t="n">
        <x:v>0</x:v>
      </x:c>
      <x:c r="K354" s="10" t="n">
        <x:v>8.5</x:v>
      </x:c>
      <x:c r="L354" s="10" t="n">
        <x:f>G354*I354</x:f>
        <x:v>24.95</x:v>
      </x:c>
      <x:c r="M354" s="10" t="n">
        <x:f>ROUND((L354-J354)*H354/G354,2)</x:f>
        <x:v>0</x:v>
      </x:c>
      <x:c r="N354" s="10" t="n">
        <x:f>L354-J354-M354</x:f>
        <x:v>24.95</x:v>
      </x:c>
      <x:c r="O354" s="10" t="n">
        <x:f>(G354-H354)*K354</x:f>
        <x:v>8.5</x:v>
      </x:c>
      <x:c r="P354" s="10" t="n">
        <x:f>N354-O354</x:f>
        <x:v>16.45</x:v>
      </x:c>
      <x:c r="Q354" s="9" t="n">
        <x:f>A354-WEEKDAY(A354,2)+1</x:f>
        <x:v>46272</x:v>
      </x:c>
      <x:c r="R354" s="2" t="str">
        <x:f>IF(AND(A354&gt;='Review'!$B$4,A354&lt;='Review'!$D$4),"Selected","Outside")</x:f>
        <x:v>Outside</x:v>
      </x:c>
    </x:row>
    <x:row r="355" ht="20" customHeight="1">
      <x:c r="A355" s="9" t="n">
        <x:v>46275</x:v>
      </x:c>
      <x:c r="B355" s="2" t="str">
        <x:v>MM-1261</x:v>
      </x:c>
      <x:c r="C355" s="2" t="str">
        <x:v>Paid Social</x:v>
      </x:c>
      <x:c r="D355" s="2" t="str">
        <x:v>MUG-001</x:v>
      </x:c>
      <x:c r="E355" s="2" t="str">
        <x:f>_xlfn.IFNA(VLOOKUP(D355,'Products'!$A$7:$I$22,2,FALSE),"Unmapped")</x:f>
        <x:v>Everyday ceramic mug</x:v>
      </x:c>
      <x:c r="F355" s="2" t="str">
        <x:f>_xlfn.IFNA(VLOOKUP(D355,'Products'!$A$7:$I$22,3,FALSE),"Unmapped")</x:f>
        <x:v>Drinkware</x:v>
      </x:c>
      <x:c r="G355" s="2" t="n">
        <x:v>1</x:v>
      </x:c>
      <x:c r="H355" s="2" t="n">
        <x:v>0</x:v>
      </x:c>
      <x:c r="I355" s="10" t="n">
        <x:v>18.95</x:v>
      </x:c>
      <x:c r="J355" s="10" t="n">
        <x:v>0</x:v>
      </x:c>
      <x:c r="K355" s="10" t="n">
        <x:v>6.5</x:v>
      </x:c>
      <x:c r="L355" s="10" t="n">
        <x:f>G355*I355</x:f>
        <x:v>18.95</x:v>
      </x:c>
      <x:c r="M355" s="10" t="n">
        <x:f>ROUND((L355-J355)*H355/G355,2)</x:f>
        <x:v>0</x:v>
      </x:c>
      <x:c r="N355" s="10" t="n">
        <x:f>L355-J355-M355</x:f>
        <x:v>18.95</x:v>
      </x:c>
      <x:c r="O355" s="10" t="n">
        <x:f>(G355-H355)*K355</x:f>
        <x:v>6.5</x:v>
      </x:c>
      <x:c r="P355" s="10" t="n">
        <x:f>N355-O355</x:f>
        <x:v>12.45</x:v>
      </x:c>
      <x:c r="Q355" s="9" t="n">
        <x:f>A355-WEEKDAY(A355,2)+1</x:f>
        <x:v>46272</x:v>
      </x:c>
      <x:c r="R355" s="2" t="str">
        <x:f>IF(AND(A355&gt;='Review'!$B$4,A355&lt;='Review'!$D$4),"Selected","Outside")</x:f>
        <x:v>Outside</x:v>
      </x:c>
    </x:row>
    <x:row r="356" ht="20" customHeight="1">
      <x:c r="A356" s="9" t="n">
        <x:v>46275</x:v>
      </x:c>
      <x:c r="B356" s="2" t="str">
        <x:v>MM-1263</x:v>
      </x:c>
      <x:c r="C356" s="2" t="str">
        <x:v>Email</x:v>
      </x:c>
      <x:c r="D356" s="2" t="str">
        <x:v>TOTE-001</x:v>
      </x:c>
      <x:c r="E356" s="2" t="str">
        <x:f>_xlfn.IFNA(VLOOKUP(D356,'Products'!$A$7:$I$22,2,FALSE),"Unmapped")</x:f>
        <x:v>Market canvas tote</x:v>
      </x:c>
      <x:c r="F356" s="2" t="str">
        <x:f>_xlfn.IFNA(VLOOKUP(D356,'Products'!$A$7:$I$22,3,FALSE),"Unmapped")</x:f>
        <x:v>Accessories</x:v>
      </x:c>
      <x:c r="G356" s="2" t="n">
        <x:v>1</x:v>
      </x:c>
      <x:c r="H356" s="2" t="n">
        <x:v>0</x:v>
      </x:c>
      <x:c r="I356" s="10" t="n">
        <x:v>19.95</x:v>
      </x:c>
      <x:c r="J356" s="10" t="n">
        <x:v>1.99</x:v>
      </x:c>
      <x:c r="K356" s="10" t="n">
        <x:v>6</x:v>
      </x:c>
      <x:c r="L356" s="10" t="n">
        <x:f>G356*I356</x:f>
        <x:v>19.95</x:v>
      </x:c>
      <x:c r="M356" s="10" t="n">
        <x:f>ROUND((L356-J356)*H356/G356,2)</x:f>
        <x:v>0</x:v>
      </x:c>
      <x:c r="N356" s="10" t="n">
        <x:f>L356-J356-M356</x:f>
        <x:v>17.96</x:v>
      </x:c>
      <x:c r="O356" s="10" t="n">
        <x:f>(G356-H356)*K356</x:f>
        <x:v>6</x:v>
      </x:c>
      <x:c r="P356" s="10" t="n">
        <x:f>N356-O356</x:f>
        <x:v>11.96</x:v>
      </x:c>
      <x:c r="Q356" s="9" t="n">
        <x:f>A356-WEEKDAY(A356,2)+1</x:f>
        <x:v>46272</x:v>
      </x:c>
      <x:c r="R356" s="2" t="str">
        <x:f>IF(AND(A356&gt;='Review'!$B$4,A356&lt;='Review'!$D$4),"Selected","Outside")</x:f>
        <x:v>Outside</x:v>
      </x:c>
    </x:row>
    <x:row r="357" ht="20" customHeight="1">
      <x:c r="A357" s="9" t="n">
        <x:v>46275</x:v>
      </x:c>
      <x:c r="B357" s="2" t="str">
        <x:v>MM-1258</x:v>
      </x:c>
      <x:c r="C357" s="2" t="str">
        <x:v>Organic Search</x:v>
      </x:c>
      <x:c r="D357" s="2" t="str">
        <x:v>KEY-001</x:v>
      </x:c>
      <x:c r="E357" s="2" t="str">
        <x:f>_xlfn.IFNA(VLOOKUP(D357,'Products'!$A$7:$I$22,2,FALSE),"Unmapped")</x:f>
        <x:v>Maple keyring</x:v>
      </x:c>
      <x:c r="F357" s="2" t="str">
        <x:f>_xlfn.IFNA(VLOOKUP(D357,'Products'!$A$7:$I$22,3,FALSE),"Unmapped")</x:f>
        <x:v>Accessories</x:v>
      </x:c>
      <x:c r="G357" s="2" t="n">
        <x:v>2</x:v>
      </x:c>
      <x:c r="H357" s="2" t="n">
        <x:v>0</x:v>
      </x:c>
      <x:c r="I357" s="10" t="n">
        <x:v>12.95</x:v>
      </x:c>
      <x:c r="J357" s="10" t="n">
        <x:v>0</x:v>
      </x:c>
      <x:c r="K357" s="10" t="n">
        <x:v>3.5</x:v>
      </x:c>
      <x:c r="L357" s="10" t="n">
        <x:f>G357*I357</x:f>
        <x:v>25.9</x:v>
      </x:c>
      <x:c r="M357" s="10" t="n">
        <x:f>ROUND((L357-J357)*H357/G357,2)</x:f>
        <x:v>0</x:v>
      </x:c>
      <x:c r="N357" s="10" t="n">
        <x:f>L357-J357-M357</x:f>
        <x:v>25.9</x:v>
      </x:c>
      <x:c r="O357" s="10" t="n">
        <x:f>(G357-H357)*K357</x:f>
        <x:v>7</x:v>
      </x:c>
      <x:c r="P357" s="10" t="n">
        <x:f>N357-O357</x:f>
        <x:v>18.9</x:v>
      </x:c>
      <x:c r="Q357" s="9" t="n">
        <x:f>A357-WEEKDAY(A357,2)+1</x:f>
        <x:v>46272</x:v>
      </x:c>
      <x:c r="R357" s="2" t="str">
        <x:f>IF(AND(A357&gt;='Review'!$B$4,A357&lt;='Review'!$D$4),"Selected","Outside")</x:f>
        <x:v>Outside</x:v>
      </x:c>
    </x:row>
    <x:row r="358" ht="20" customHeight="1">
      <x:c r="A358" s="9" t="n">
        <x:v>46275</x:v>
      </x:c>
      <x:c r="B358" s="2" t="str">
        <x:v>MM-1258</x:v>
      </x:c>
      <x:c r="C358" s="2" t="str">
        <x:v>Organic Search</x:v>
      </x:c>
      <x:c r="D358" s="2" t="str">
        <x:v>GFT-001</x:v>
      </x:c>
      <x:c r="E358" s="2" t="str">
        <x:f>_xlfn.IFNA(VLOOKUP(D358,'Products'!$A$7:$I$22,2,FALSE),"Unmapped")</x:f>
        <x:v>Morning ritual gift set</x:v>
      </x:c>
      <x:c r="F358" s="2" t="str">
        <x:f>_xlfn.IFNA(VLOOKUP(D358,'Products'!$A$7:$I$22,3,FALSE),"Unmapped")</x:f>
        <x:v>Gifts</x:v>
      </x:c>
      <x:c r="G358" s="2" t="n">
        <x:v>2</x:v>
      </x:c>
      <x:c r="H358" s="2" t="n">
        <x:v>0</x:v>
      </x:c>
      <x:c r="I358" s="10" t="n">
        <x:v>59.95</x:v>
      </x:c>
      <x:c r="J358" s="10" t="n">
        <x:v>0</x:v>
      </x:c>
      <x:c r="K358" s="10" t="n">
        <x:v>24</x:v>
      </x:c>
      <x:c r="L358" s="10" t="n">
        <x:f>G358*I358</x:f>
        <x:v>119.9</x:v>
      </x:c>
      <x:c r="M358" s="10" t="n">
        <x:f>ROUND((L358-J358)*H358/G358,2)</x:f>
        <x:v>0</x:v>
      </x:c>
      <x:c r="N358" s="10" t="n">
        <x:f>L358-J358-M358</x:f>
        <x:v>119.9</x:v>
      </x:c>
      <x:c r="O358" s="10" t="n">
        <x:f>(G358-H358)*K358</x:f>
        <x:v>48</x:v>
      </x:c>
      <x:c r="P358" s="10" t="n">
        <x:f>N358-O358</x:f>
        <x:v>71.9</x:v>
      </x:c>
      <x:c r="Q358" s="9" t="n">
        <x:f>A358-WEEKDAY(A358,2)+1</x:f>
        <x:v>46272</x:v>
      </x:c>
      <x:c r="R358" s="2" t="str">
        <x:f>IF(AND(A358&gt;='Review'!$B$4,A358&lt;='Review'!$D$4),"Selected","Outside")</x:f>
        <x:v>Outside</x:v>
      </x:c>
    </x:row>
    <x:row r="359" ht="20" customHeight="1">
      <x:c r="A359" s="9" t="n">
        <x:v>46275</x:v>
      </x:c>
      <x:c r="B359" s="2" t="str">
        <x:v>MM-1260</x:v>
      </x:c>
      <x:c r="C359" s="2" t="str">
        <x:v>Paid Social</x:v>
      </x:c>
      <x:c r="D359" s="2" t="str">
        <x:v>APP-001</x:v>
      </x:c>
      <x:c r="E359" s="2" t="str">
        <x:f>_xlfn.IFNA(VLOOKUP(D359,'Products'!$A$7:$I$22,2,FALSE),"Unmapped")</x:f>
        <x:v>Everyday crewneck</x:v>
      </x:c>
      <x:c r="F359" s="2" t="str">
        <x:f>_xlfn.IFNA(VLOOKUP(D359,'Products'!$A$7:$I$22,3,FALSE),"Unmapped")</x:f>
        <x:v>Apparel</x:v>
      </x:c>
      <x:c r="G359" s="2" t="n">
        <x:v>2</x:v>
      </x:c>
      <x:c r="H359" s="2" t="n">
        <x:v>0</x:v>
      </x:c>
      <x:c r="I359" s="10" t="n">
        <x:v>54.95</x:v>
      </x:c>
      <x:c r="J359" s="10" t="n">
        <x:v>0</x:v>
      </x:c>
      <x:c r="K359" s="10" t="n">
        <x:v>22</x:v>
      </x:c>
      <x:c r="L359" s="10" t="n">
        <x:f>G359*I359</x:f>
        <x:v>109.9</x:v>
      </x:c>
      <x:c r="M359" s="10" t="n">
        <x:f>ROUND((L359-J359)*H359/G359,2)</x:f>
        <x:v>0</x:v>
      </x:c>
      <x:c r="N359" s="10" t="n">
        <x:f>L359-J359-M359</x:f>
        <x:v>109.9</x:v>
      </x:c>
      <x:c r="O359" s="10" t="n">
        <x:f>(G359-H359)*K359</x:f>
        <x:v>44</x:v>
      </x:c>
      <x:c r="P359" s="10" t="n">
        <x:f>N359-O359</x:f>
        <x:v>65.9</x:v>
      </x:c>
      <x:c r="Q359" s="9" t="n">
        <x:f>A359-WEEKDAY(A359,2)+1</x:f>
        <x:v>46272</x:v>
      </x:c>
      <x:c r="R359" s="2" t="str">
        <x:f>IF(AND(A359&gt;='Review'!$B$4,A359&lt;='Review'!$D$4),"Selected","Outside")</x:f>
        <x:v>Outside</x:v>
      </x:c>
    </x:row>
    <x:row r="360" ht="20" customHeight="1">
      <x:c r="A360" s="9" t="n">
        <x:v>46275</x:v>
      </x:c>
      <x:c r="B360" s="2" t="str">
        <x:v>MM-1260</x:v>
      </x:c>
      <x:c r="C360" s="2" t="str">
        <x:v>Paid Social</x:v>
      </x:c>
      <x:c r="D360" s="2" t="str">
        <x:v>PIN-001</x:v>
      </x:c>
      <x:c r="E360" s="2" t="str">
        <x:f>_xlfn.IFNA(VLOOKUP(D360,'Products'!$A$7:$I$22,2,FALSE),"Unmapped")</x:f>
        <x:v>Coffee enamel pin</x:v>
      </x:c>
      <x:c r="F360" s="2" t="str">
        <x:f>_xlfn.IFNA(VLOOKUP(D360,'Products'!$A$7:$I$22,3,FALSE),"Unmapped")</x:f>
        <x:v>Accessories</x:v>
      </x:c>
      <x:c r="G360" s="2" t="n">
        <x:v>1</x:v>
      </x:c>
      <x:c r="H360" s="2" t="n">
        <x:v>0</x:v>
      </x:c>
      <x:c r="I360" s="10" t="n">
        <x:v>9.95</x:v>
      </x:c>
      <x:c r="J360" s="10" t="n">
        <x:v>0</x:v>
      </x:c>
      <x:c r="K360" s="10" t="n">
        <x:v>2.5</x:v>
      </x:c>
      <x:c r="L360" s="10" t="n">
        <x:f>G360*I360</x:f>
        <x:v>9.95</x:v>
      </x:c>
      <x:c r="M360" s="10" t="n">
        <x:f>ROUND((L360-J360)*H360/G360,2)</x:f>
        <x:v>0</x:v>
      </x:c>
      <x:c r="N360" s="10" t="n">
        <x:f>L360-J360-M360</x:f>
        <x:v>9.95</x:v>
      </x:c>
      <x:c r="O360" s="10" t="n">
        <x:f>(G360-H360)*K360</x:f>
        <x:v>2.5</x:v>
      </x:c>
      <x:c r="P360" s="10" t="n">
        <x:f>N360-O360</x:f>
        <x:v>7.449999999999999</x:v>
      </x:c>
      <x:c r="Q360" s="9" t="n">
        <x:f>A360-WEEKDAY(A360,2)+1</x:f>
        <x:v>46272</x:v>
      </x:c>
      <x:c r="R360" s="2" t="str">
        <x:f>IF(AND(A360&gt;='Review'!$B$4,A360&lt;='Review'!$D$4),"Selected","Outside")</x:f>
        <x:v>Outside</x:v>
      </x:c>
    </x:row>
    <x:row r="361" ht="20" customHeight="1">
      <x:c r="A361" s="9" t="n">
        <x:v>46275</x:v>
      </x:c>
      <x:c r="B361" s="2" t="str">
        <x:v>MM-1255</x:v>
      </x:c>
      <x:c r="C361" s="2" t="str">
        <x:v>Email</x:v>
      </x:c>
      <x:c r="D361" s="2" t="str">
        <x:v>GFT-002</x:v>
      </x:c>
      <x:c r="E361" s="2" t="str">
        <x:f>_xlfn.IFNA(VLOOKUP(D361,'Products'!$A$7:$I$22,2,FALSE),"Unmapped")</x:f>
        <x:v>Cozy weekend gift box</x:v>
      </x:c>
      <x:c r="F361" s="2" t="str">
        <x:f>_xlfn.IFNA(VLOOKUP(D361,'Products'!$A$7:$I$22,3,FALSE),"Unmapped")</x:f>
        <x:v>Gifts</x:v>
      </x:c>
      <x:c r="G361" s="2" t="n">
        <x:v>1</x:v>
      </x:c>
      <x:c r="H361" s="2" t="n">
        <x:v>0</x:v>
      </x:c>
      <x:c r="I361" s="10" t="n">
        <x:v>79.95</x:v>
      </x:c>
      <x:c r="J361" s="10" t="n">
        <x:v>7.99</x:v>
      </x:c>
      <x:c r="K361" s="10" t="n">
        <x:v>32</x:v>
      </x:c>
      <x:c r="L361" s="10" t="n">
        <x:f>G361*I361</x:f>
        <x:v>79.95</x:v>
      </x:c>
      <x:c r="M361" s="10" t="n">
        <x:f>ROUND((L361-J361)*H361/G361,2)</x:f>
        <x:v>0</x:v>
      </x:c>
      <x:c r="N361" s="10" t="n">
        <x:f>L361-J361-M361</x:f>
        <x:v>71.96000000000001</x:v>
      </x:c>
      <x:c r="O361" s="10" t="n">
        <x:f>(G361-H361)*K361</x:f>
        <x:v>32</x:v>
      </x:c>
      <x:c r="P361" s="10" t="n">
        <x:f>N361-O361</x:f>
        <x:v>39.96000000000001</x:v>
      </x:c>
      <x:c r="Q361" s="9" t="n">
        <x:f>A361-WEEKDAY(A361,2)+1</x:f>
        <x:v>46272</x:v>
      </x:c>
      <x:c r="R361" s="2" t="str">
        <x:f>IF(AND(A361&gt;='Review'!$B$4,A361&lt;='Review'!$D$4),"Selected","Outside")</x:f>
        <x:v>Outside</x:v>
      </x:c>
    </x:row>
    <x:row r="362" ht="20" customHeight="1">
      <x:c r="A362" s="9" t="n">
        <x:v>46275</x:v>
      </x:c>
      <x:c r="B362" s="2" t="str">
        <x:v>MM-1262</x:v>
      </x:c>
      <x:c r="C362" s="2" t="str">
        <x:v>Paid Social</x:v>
      </x:c>
      <x:c r="D362" s="2" t="str">
        <x:v>PIN-001</x:v>
      </x:c>
      <x:c r="E362" s="2" t="str">
        <x:f>_xlfn.IFNA(VLOOKUP(D362,'Products'!$A$7:$I$22,2,FALSE),"Unmapped")</x:f>
        <x:v>Coffee enamel pin</x:v>
      </x:c>
      <x:c r="F362" s="2" t="str">
        <x:f>_xlfn.IFNA(VLOOKUP(D362,'Products'!$A$7:$I$22,3,FALSE),"Unmapped")</x:f>
        <x:v>Accessories</x:v>
      </x:c>
      <x:c r="G362" s="2" t="n">
        <x:v>1</x:v>
      </x:c>
      <x:c r="H362" s="2" t="n">
        <x:v>0</x:v>
      </x:c>
      <x:c r="I362" s="10" t="n">
        <x:v>9.95</x:v>
      </x:c>
      <x:c r="J362" s="10" t="n">
        <x:v>0</x:v>
      </x:c>
      <x:c r="K362" s="10" t="n">
        <x:v>2.5</x:v>
      </x:c>
      <x:c r="L362" s="10" t="n">
        <x:f>G362*I362</x:f>
        <x:v>9.95</x:v>
      </x:c>
      <x:c r="M362" s="10" t="n">
        <x:f>ROUND((L362-J362)*H362/G362,2)</x:f>
        <x:v>0</x:v>
      </x:c>
      <x:c r="N362" s="10" t="n">
        <x:f>L362-J362-M362</x:f>
        <x:v>9.95</x:v>
      </x:c>
      <x:c r="O362" s="10" t="n">
        <x:f>(G362-H362)*K362</x:f>
        <x:v>2.5</x:v>
      </x:c>
      <x:c r="P362" s="10" t="n">
        <x:f>N362-O362</x:f>
        <x:v>7.449999999999999</x:v>
      </x:c>
      <x:c r="Q362" s="9" t="n">
        <x:f>A362-WEEKDAY(A362,2)+1</x:f>
        <x:v>46272</x:v>
      </x:c>
      <x:c r="R362" s="2" t="str">
        <x:f>IF(AND(A362&gt;='Review'!$B$4,A362&lt;='Review'!$D$4),"Selected","Outside")</x:f>
        <x:v>Outside</x:v>
      </x:c>
    </x:row>
    <x:row r="363" ht="20" customHeight="1">
      <x:c r="A363" s="9" t="n">
        <x:v>46275</x:v>
      </x:c>
      <x:c r="B363" s="2" t="str">
        <x:v>MM-1262</x:v>
      </x:c>
      <x:c r="C363" s="2" t="str">
        <x:v>Paid Social</x:v>
      </x:c>
      <x:c r="D363" s="2" t="str">
        <x:v>HAT-001</x:v>
      </x:c>
      <x:c r="E363" s="2" t="str">
        <x:f>_xlfn.IFNA(VLOOKUP(D363,'Products'!$A$7:$I$22,2,FALSE),"Unmapped")</x:f>
        <x:v>Classic canvas cap</x:v>
      </x:c>
      <x:c r="F363" s="2" t="str">
        <x:f>_xlfn.IFNA(VLOOKUP(D363,'Products'!$A$7:$I$22,3,FALSE),"Unmapped")</x:f>
        <x:v>Accessories</x:v>
      </x:c>
      <x:c r="G363" s="2" t="n">
        <x:v>1</x:v>
      </x:c>
      <x:c r="H363" s="2" t="n">
        <x:v>0</x:v>
      </x:c>
      <x:c r="I363" s="10" t="n">
        <x:v>24.95</x:v>
      </x:c>
      <x:c r="J363" s="10" t="n">
        <x:v>0</x:v>
      </x:c>
      <x:c r="K363" s="10" t="n">
        <x:v>8.5</x:v>
      </x:c>
      <x:c r="L363" s="10" t="n">
        <x:f>G363*I363</x:f>
        <x:v>24.95</x:v>
      </x:c>
      <x:c r="M363" s="10" t="n">
        <x:f>ROUND((L363-J363)*H363/G363,2)</x:f>
        <x:v>0</x:v>
      </x:c>
      <x:c r="N363" s="10" t="n">
        <x:f>L363-J363-M363</x:f>
        <x:v>24.95</x:v>
      </x:c>
      <x:c r="O363" s="10" t="n">
        <x:f>(G363-H363)*K363</x:f>
        <x:v>8.5</x:v>
      </x:c>
      <x:c r="P363" s="10" t="n">
        <x:f>N363-O363</x:f>
        <x:v>16.45</x:v>
      </x:c>
      <x:c r="Q363" s="9" t="n">
        <x:f>A363-WEEKDAY(A363,2)+1</x:f>
        <x:v>46272</x:v>
      </x:c>
      <x:c r="R363" s="2" t="str">
        <x:f>IF(AND(A363&gt;='Review'!$B$4,A363&lt;='Review'!$D$4),"Selected","Outside")</x:f>
        <x:v>Outside</x:v>
      </x:c>
    </x:row>
    <x:row r="364" ht="20" customHeight="1">
      <x:c r="A364" s="9" t="n">
        <x:v>46275</x:v>
      </x:c>
      <x:c r="B364" s="2" t="str">
        <x:v>MM-1266</x:v>
      </x:c>
      <x:c r="C364" s="2" t="str">
        <x:v>Direct</x:v>
      </x:c>
      <x:c r="D364" s="2" t="str">
        <x:v>PIN-001</x:v>
      </x:c>
      <x:c r="E364" s="2" t="str">
        <x:f>_xlfn.IFNA(VLOOKUP(D364,'Products'!$A$7:$I$22,2,FALSE),"Unmapped")</x:f>
        <x:v>Coffee enamel pin</x:v>
      </x:c>
      <x:c r="F364" s="2" t="str">
        <x:f>_xlfn.IFNA(VLOOKUP(D364,'Products'!$A$7:$I$22,3,FALSE),"Unmapped")</x:f>
        <x:v>Accessories</x:v>
      </x:c>
      <x:c r="G364" s="2" t="n">
        <x:v>2</x:v>
      </x:c>
      <x:c r="H364" s="2" t="n">
        <x:v>0</x:v>
      </x:c>
      <x:c r="I364" s="10" t="n">
        <x:v>9.95</x:v>
      </x:c>
      <x:c r="J364" s="10" t="n">
        <x:v>0</x:v>
      </x:c>
      <x:c r="K364" s="10" t="n">
        <x:v>2.5</x:v>
      </x:c>
      <x:c r="L364" s="10" t="n">
        <x:f>G364*I364</x:f>
        <x:v>19.9</x:v>
      </x:c>
      <x:c r="M364" s="10" t="n">
        <x:f>ROUND((L364-J364)*H364/G364,2)</x:f>
        <x:v>0</x:v>
      </x:c>
      <x:c r="N364" s="10" t="n">
        <x:f>L364-J364-M364</x:f>
        <x:v>19.9</x:v>
      </x:c>
      <x:c r="O364" s="10" t="n">
        <x:f>(G364-H364)*K364</x:f>
        <x:v>5</x:v>
      </x:c>
      <x:c r="P364" s="10" t="n">
        <x:f>N364-O364</x:f>
        <x:v>14.899999999999999</x:v>
      </x:c>
      <x:c r="Q364" s="9" t="n">
        <x:f>A364-WEEKDAY(A364,2)+1</x:f>
        <x:v>46272</x:v>
      </x:c>
      <x:c r="R364" s="2" t="str">
        <x:f>IF(AND(A364&gt;='Review'!$B$4,A364&lt;='Review'!$D$4),"Selected","Outside")</x:f>
        <x:v>Outside</x:v>
      </x:c>
    </x:row>
    <x:row r="365" ht="20" customHeight="1">
      <x:c r="A365" s="9" t="n">
        <x:v>46276</x:v>
      </x:c>
      <x:c r="B365" s="2" t="str">
        <x:v>MM-1271</x:v>
      </x:c>
      <x:c r="C365" s="2" t="str">
        <x:v>Paid Social</x:v>
      </x:c>
      <x:c r="D365" s="2" t="str">
        <x:v>TUM-002</x:v>
      </x:c>
      <x:c r="E365" s="2" t="str">
        <x:f>_xlfn.IFNA(VLOOKUP(D365,'Products'!$A$7:$I$22,2,FALSE),"Unmapped")</x:f>
        <x:v>Cold brew glass cup</x:v>
      </x:c>
      <x:c r="F365" s="2" t="str">
        <x:f>_xlfn.IFNA(VLOOKUP(D365,'Products'!$A$7:$I$22,3,FALSE),"Unmapped")</x:f>
        <x:v>Drinkware</x:v>
      </x:c>
      <x:c r="G365" s="2" t="n">
        <x:v>1</x:v>
      </x:c>
      <x:c r="H365" s="2" t="n">
        <x:v>0</x:v>
      </x:c>
      <x:c r="I365" s="10" t="n">
        <x:v>24.95</x:v>
      </x:c>
      <x:c r="J365" s="10" t="n">
        <x:v>0</x:v>
      </x:c>
      <x:c r="K365" s="10" t="n">
        <x:v>9</x:v>
      </x:c>
      <x:c r="L365" s="10" t="n">
        <x:f>G365*I365</x:f>
        <x:v>24.95</x:v>
      </x:c>
      <x:c r="M365" s="10" t="n">
        <x:f>ROUND((L365-J365)*H365/G365,2)</x:f>
        <x:v>0</x:v>
      </x:c>
      <x:c r="N365" s="10" t="n">
        <x:f>L365-J365-M365</x:f>
        <x:v>24.95</x:v>
      </x:c>
      <x:c r="O365" s="10" t="n">
        <x:f>(G365-H365)*K365</x:f>
        <x:v>9</x:v>
      </x:c>
      <x:c r="P365" s="10" t="n">
        <x:f>N365-O365</x:f>
        <x:v>15.95</x:v>
      </x:c>
      <x:c r="Q365" s="9" t="n">
        <x:f>A365-WEEKDAY(A365,2)+1</x:f>
        <x:v>46272</x:v>
      </x:c>
      <x:c r="R365" s="2" t="str">
        <x:f>IF(AND(A365&gt;='Review'!$B$4,A365&lt;='Review'!$D$4),"Selected","Outside")</x:f>
        <x:v>Outside</x:v>
      </x:c>
    </x:row>
    <x:row r="366" ht="20" customHeight="1">
      <x:c r="A366" s="9" t="n">
        <x:v>46276</x:v>
      </x:c>
      <x:c r="B366" s="2" t="str">
        <x:v>MM-1271</x:v>
      </x:c>
      <x:c r="C366" s="2" t="str">
        <x:v>Paid Social</x:v>
      </x:c>
      <x:c r="D366" s="2" t="str">
        <x:v>APP-002</x:v>
      </x:c>
      <x:c r="E366" s="2" t="str">
        <x:f>_xlfn.IFNA(VLOOKUP(D366,'Products'!$A$7:$I$22,2,FALSE),"Unmapped")</x:f>
        <x:v>Weekend hoodie</x:v>
      </x:c>
      <x:c r="F366" s="2" t="str">
        <x:f>_xlfn.IFNA(VLOOKUP(D366,'Products'!$A$7:$I$22,3,FALSE),"Unmapped")</x:f>
        <x:v>Apparel</x:v>
      </x:c>
      <x:c r="G366" s="2" t="n">
        <x:v>1</x:v>
      </x:c>
      <x:c r="H366" s="2" t="n">
        <x:v>0</x:v>
      </x:c>
      <x:c r="I366" s="10" t="n">
        <x:v>69.95</x:v>
      </x:c>
      <x:c r="J366" s="10" t="n">
        <x:v>0</x:v>
      </x:c>
      <x:c r="K366" s="10" t="n">
        <x:v>28</x:v>
      </x:c>
      <x:c r="L366" s="10" t="n">
        <x:f>G366*I366</x:f>
        <x:v>69.95</x:v>
      </x:c>
      <x:c r="M366" s="10" t="n">
        <x:f>ROUND((L366-J366)*H366/G366,2)</x:f>
        <x:v>0</x:v>
      </x:c>
      <x:c r="N366" s="10" t="n">
        <x:f>L366-J366-M366</x:f>
        <x:v>69.95</x:v>
      </x:c>
      <x:c r="O366" s="10" t="n">
        <x:f>(G366-H366)*K366</x:f>
        <x:v>28</x:v>
      </x:c>
      <x:c r="P366" s="10" t="n">
        <x:f>N366-O366</x:f>
        <x:v>41.95</x:v>
      </x:c>
      <x:c r="Q366" s="9" t="n">
        <x:f>A366-WEEKDAY(A366,2)+1</x:f>
        <x:v>46272</x:v>
      </x:c>
      <x:c r="R366" s="2" t="str">
        <x:f>IF(AND(A366&gt;='Review'!$B$4,A366&lt;='Review'!$D$4),"Selected","Outside")</x:f>
        <x:v>Outside</x:v>
      </x:c>
    </x:row>
    <x:row r="367" ht="20" customHeight="1">
      <x:c r="A367" s="9" t="n">
        <x:v>46276</x:v>
      </x:c>
      <x:c r="B367" s="2" t="str">
        <x:v>MM-1271</x:v>
      </x:c>
      <x:c r="C367" s="2" t="str">
        <x:v>Paid Social</x:v>
      </x:c>
      <x:c r="D367" s="2" t="str">
        <x:v>APP-003</x:v>
      </x:c>
      <x:c r="E367" s="2" t="str">
        <x:f>_xlfn.IFNA(VLOOKUP(D367,'Products'!$A$7:$I$22,2,FALSE),"Unmapped")</x:f>
        <x:v>Coffee club tee</x:v>
      </x:c>
      <x:c r="F367" s="2" t="str">
        <x:f>_xlfn.IFNA(VLOOKUP(D367,'Products'!$A$7:$I$22,3,FALSE),"Unmapped")</x:f>
        <x:v>Apparel</x:v>
      </x:c>
      <x:c r="G367" s="2" t="n">
        <x:v>1</x:v>
      </x:c>
      <x:c r="H367" s="2" t="n">
        <x:v>0</x:v>
      </x:c>
      <x:c r="I367" s="10" t="n">
        <x:v>29.95</x:v>
      </x:c>
      <x:c r="J367" s="10" t="n">
        <x:v>0</x:v>
      </x:c>
      <x:c r="K367" s="10" t="n">
        <x:v>10</x:v>
      </x:c>
      <x:c r="L367" s="10" t="n">
        <x:f>G367*I367</x:f>
        <x:v>29.95</x:v>
      </x:c>
      <x:c r="M367" s="10" t="n">
        <x:f>ROUND((L367-J367)*H367/G367,2)</x:f>
        <x:v>0</x:v>
      </x:c>
      <x:c r="N367" s="10" t="n">
        <x:f>L367-J367-M367</x:f>
        <x:v>29.95</x:v>
      </x:c>
      <x:c r="O367" s="10" t="n">
        <x:f>(G367-H367)*K367</x:f>
        <x:v>10</x:v>
      </x:c>
      <x:c r="P367" s="10" t="n">
        <x:f>N367-O367</x:f>
        <x:v>19.95</x:v>
      </x:c>
      <x:c r="Q367" s="9" t="n">
        <x:f>A367-WEEKDAY(A367,2)+1</x:f>
        <x:v>46272</x:v>
      </x:c>
      <x:c r="R367" s="2" t="str">
        <x:f>IF(AND(A367&gt;='Review'!$B$4,A367&lt;='Review'!$D$4),"Selected","Outside")</x:f>
        <x:v>Outside</x:v>
      </x:c>
    </x:row>
    <x:row r="368" ht="20" customHeight="1">
      <x:c r="A368" s="9" t="n">
        <x:v>46276</x:v>
      </x:c>
      <x:c r="B368" s="2" t="str">
        <x:v>MM-1276</x:v>
      </x:c>
      <x:c r="C368" s="2" t="str">
        <x:v>Paid Social</x:v>
      </x:c>
      <x:c r="D368" s="2" t="str">
        <x:v>APP-002</x:v>
      </x:c>
      <x:c r="E368" s="2" t="str">
        <x:f>_xlfn.IFNA(VLOOKUP(D368,'Products'!$A$7:$I$22,2,FALSE),"Unmapped")</x:f>
        <x:v>Weekend hoodie</x:v>
      </x:c>
      <x:c r="F368" s="2" t="str">
        <x:f>_xlfn.IFNA(VLOOKUP(D368,'Products'!$A$7:$I$22,3,FALSE),"Unmapped")</x:f>
        <x:v>Apparel</x:v>
      </x:c>
      <x:c r="G368" s="2" t="n">
        <x:v>2</x:v>
      </x:c>
      <x:c r="H368" s="2" t="n">
        <x:v>0</x:v>
      </x:c>
      <x:c r="I368" s="10" t="n">
        <x:v>69.95</x:v>
      </x:c>
      <x:c r="J368" s="10" t="n">
        <x:v>0</x:v>
      </x:c>
      <x:c r="K368" s="10" t="n">
        <x:v>28</x:v>
      </x:c>
      <x:c r="L368" s="10" t="n">
        <x:f>G368*I368</x:f>
        <x:v>139.9</x:v>
      </x:c>
      <x:c r="M368" s="10" t="n">
        <x:f>ROUND((L368-J368)*H368/G368,2)</x:f>
        <x:v>0</x:v>
      </x:c>
      <x:c r="N368" s="10" t="n">
        <x:f>L368-J368-M368</x:f>
        <x:v>139.9</x:v>
      </x:c>
      <x:c r="O368" s="10" t="n">
        <x:f>(G368-H368)*K368</x:f>
        <x:v>56</x:v>
      </x:c>
      <x:c r="P368" s="10" t="n">
        <x:f>N368-O368</x:f>
        <x:v>83.9</x:v>
      </x:c>
      <x:c r="Q368" s="9" t="n">
        <x:f>A368-WEEKDAY(A368,2)+1</x:f>
        <x:v>46272</x:v>
      </x:c>
      <x:c r="R368" s="2" t="str">
        <x:f>IF(AND(A368&gt;='Review'!$B$4,A368&lt;='Review'!$D$4),"Selected","Outside")</x:f>
        <x:v>Outside</x:v>
      </x:c>
    </x:row>
    <x:row r="369" ht="20" customHeight="1">
      <x:c r="A369" s="9" t="n">
        <x:v>46276</x:v>
      </x:c>
      <x:c r="B369" s="2" t="str">
        <x:v>MM-1275</x:v>
      </x:c>
      <x:c r="C369" s="2" t="str">
        <x:v>Organic Search</x:v>
      </x:c>
      <x:c r="D369" s="2" t="str">
        <x:v>KEY-001</x:v>
      </x:c>
      <x:c r="E369" s="2" t="str">
        <x:f>_xlfn.IFNA(VLOOKUP(D369,'Products'!$A$7:$I$22,2,FALSE),"Unmapped")</x:f>
        <x:v>Maple keyring</x:v>
      </x:c>
      <x:c r="F369" s="2" t="str">
        <x:f>_xlfn.IFNA(VLOOKUP(D369,'Products'!$A$7:$I$22,3,FALSE),"Unmapped")</x:f>
        <x:v>Accessories</x:v>
      </x:c>
      <x:c r="G369" s="2" t="n">
        <x:v>1</x:v>
      </x:c>
      <x:c r="H369" s="2" t="n">
        <x:v>0</x:v>
      </x:c>
      <x:c r="I369" s="10" t="n">
        <x:v>12.95</x:v>
      </x:c>
      <x:c r="J369" s="10" t="n">
        <x:v>0</x:v>
      </x:c>
      <x:c r="K369" s="10" t="n">
        <x:v>3.5</x:v>
      </x:c>
      <x:c r="L369" s="10" t="n">
        <x:f>G369*I369</x:f>
        <x:v>12.95</x:v>
      </x:c>
      <x:c r="M369" s="10" t="n">
        <x:f>ROUND((L369-J369)*H369/G369,2)</x:f>
        <x:v>0</x:v>
      </x:c>
      <x:c r="N369" s="10" t="n">
        <x:f>L369-J369-M369</x:f>
        <x:v>12.95</x:v>
      </x:c>
      <x:c r="O369" s="10" t="n">
        <x:f>(G369-H369)*K369</x:f>
        <x:v>3.5</x:v>
      </x:c>
      <x:c r="P369" s="10" t="n">
        <x:f>N369-O369</x:f>
        <x:v>9.45</x:v>
      </x:c>
      <x:c r="Q369" s="9" t="n">
        <x:f>A369-WEEKDAY(A369,2)+1</x:f>
        <x:v>46272</x:v>
      </x:c>
      <x:c r="R369" s="2" t="str">
        <x:f>IF(AND(A369&gt;='Review'!$B$4,A369&lt;='Review'!$D$4),"Selected","Outside")</x:f>
        <x:v>Outside</x:v>
      </x:c>
    </x:row>
    <x:row r="370" ht="20" customHeight="1">
      <x:c r="A370" s="9" t="n">
        <x:v>46276</x:v>
      </x:c>
      <x:c r="B370" s="2" t="str">
        <x:v>MM-1274</x:v>
      </x:c>
      <x:c r="C370" s="2" t="str">
        <x:v>Email</x:v>
      </x:c>
      <x:c r="D370" s="2" t="str">
        <x:v>MUG-001</x:v>
      </x:c>
      <x:c r="E370" s="2" t="str">
        <x:f>_xlfn.IFNA(VLOOKUP(D370,'Products'!$A$7:$I$22,2,FALSE),"Unmapped")</x:f>
        <x:v>Everyday ceramic mug</x:v>
      </x:c>
      <x:c r="F370" s="2" t="str">
        <x:f>_xlfn.IFNA(VLOOKUP(D370,'Products'!$A$7:$I$22,3,FALSE),"Unmapped")</x:f>
        <x:v>Drinkware</x:v>
      </x:c>
      <x:c r="G370" s="2" t="n">
        <x:v>1</x:v>
      </x:c>
      <x:c r="H370" s="2" t="n">
        <x:v>0</x:v>
      </x:c>
      <x:c r="I370" s="10" t="n">
        <x:v>18.95</x:v>
      </x:c>
      <x:c r="J370" s="10" t="n">
        <x:v>1.89</x:v>
      </x:c>
      <x:c r="K370" s="10" t="n">
        <x:v>6.5</x:v>
      </x:c>
      <x:c r="L370" s="10" t="n">
        <x:f>G370*I370</x:f>
        <x:v>18.95</x:v>
      </x:c>
      <x:c r="M370" s="10" t="n">
        <x:f>ROUND((L370-J370)*H370/G370,2)</x:f>
        <x:v>0</x:v>
      </x:c>
      <x:c r="N370" s="10" t="n">
        <x:f>L370-J370-M370</x:f>
        <x:v>17.06</x:v>
      </x:c>
      <x:c r="O370" s="10" t="n">
        <x:f>(G370-H370)*K370</x:f>
        <x:v>6.5</x:v>
      </x:c>
      <x:c r="P370" s="10" t="n">
        <x:f>N370-O370</x:f>
        <x:v>10.559999999999999</x:v>
      </x:c>
      <x:c r="Q370" s="9" t="n">
        <x:f>A370-WEEKDAY(A370,2)+1</x:f>
        <x:v>46272</x:v>
      </x:c>
      <x:c r="R370" s="2" t="str">
        <x:f>IF(AND(A370&gt;='Review'!$B$4,A370&lt;='Review'!$D$4),"Selected","Outside")</x:f>
        <x:v>Outside</x:v>
      </x:c>
    </x:row>
    <x:row r="371" ht="20" customHeight="1">
      <x:c r="A371" s="9" t="n">
        <x:v>46276</x:v>
      </x:c>
      <x:c r="B371" s="2" t="str">
        <x:v>MM-1278</x:v>
      </x:c>
      <x:c r="C371" s="2" t="str">
        <x:v>Organic Search</x:v>
      </x:c>
      <x:c r="D371" s="2" t="str">
        <x:v>APP-003</x:v>
      </x:c>
      <x:c r="E371" s="2" t="str">
        <x:f>_xlfn.IFNA(VLOOKUP(D371,'Products'!$A$7:$I$22,2,FALSE),"Unmapped")</x:f>
        <x:v>Coffee club tee</x:v>
      </x:c>
      <x:c r="F371" s="2" t="str">
        <x:f>_xlfn.IFNA(VLOOKUP(D371,'Products'!$A$7:$I$22,3,FALSE),"Unmapped")</x:f>
        <x:v>Apparel</x:v>
      </x:c>
      <x:c r="G371" s="2" t="n">
        <x:v>1</x:v>
      </x:c>
      <x:c r="H371" s="2" t="n">
        <x:v>0</x:v>
      </x:c>
      <x:c r="I371" s="10" t="n">
        <x:v>29.95</x:v>
      </x:c>
      <x:c r="J371" s="10" t="n">
        <x:v>0</x:v>
      </x:c>
      <x:c r="K371" s="10" t="n">
        <x:v>10</x:v>
      </x:c>
      <x:c r="L371" s="10" t="n">
        <x:f>G371*I371</x:f>
        <x:v>29.95</x:v>
      </x:c>
      <x:c r="M371" s="10" t="n">
        <x:f>ROUND((L371-J371)*H371/G371,2)</x:f>
        <x:v>0</x:v>
      </x:c>
      <x:c r="N371" s="10" t="n">
        <x:f>L371-J371-M371</x:f>
        <x:v>29.95</x:v>
      </x:c>
      <x:c r="O371" s="10" t="n">
        <x:f>(G371-H371)*K371</x:f>
        <x:v>10</x:v>
      </x:c>
      <x:c r="P371" s="10" t="n">
        <x:f>N371-O371</x:f>
        <x:v>19.95</x:v>
      </x:c>
      <x:c r="Q371" s="9" t="n">
        <x:f>A371-WEEKDAY(A371,2)+1</x:f>
        <x:v>46272</x:v>
      </x:c>
      <x:c r="R371" s="2" t="str">
        <x:f>IF(AND(A371&gt;='Review'!$B$4,A371&lt;='Review'!$D$4),"Selected","Outside")</x:f>
        <x:v>Outside</x:v>
      </x:c>
    </x:row>
    <x:row r="372" ht="20" customHeight="1">
      <x:c r="A372" s="9" t="n">
        <x:v>46276</x:v>
      </x:c>
      <x:c r="B372" s="2" t="str">
        <x:v>MM-1269</x:v>
      </x:c>
      <x:c r="C372" s="2" t="str">
        <x:v>Direct</x:v>
      </x:c>
      <x:c r="D372" s="2" t="str">
        <x:v>GFT-002</x:v>
      </x:c>
      <x:c r="E372" s="2" t="str">
        <x:f>_xlfn.IFNA(VLOOKUP(D372,'Products'!$A$7:$I$22,2,FALSE),"Unmapped")</x:f>
        <x:v>Cozy weekend gift box</x:v>
      </x:c>
      <x:c r="F372" s="2" t="str">
        <x:f>_xlfn.IFNA(VLOOKUP(D372,'Products'!$A$7:$I$22,3,FALSE),"Unmapped")</x:f>
        <x:v>Gifts</x:v>
      </x:c>
      <x:c r="G372" s="2" t="n">
        <x:v>2</x:v>
      </x:c>
      <x:c r="H372" s="2" t="n">
        <x:v>0</x:v>
      </x:c>
      <x:c r="I372" s="10" t="n">
        <x:v>79.95</x:v>
      </x:c>
      <x:c r="J372" s="10" t="n">
        <x:v>0</x:v>
      </x:c>
      <x:c r="K372" s="10" t="n">
        <x:v>32</x:v>
      </x:c>
      <x:c r="L372" s="10" t="n">
        <x:f>G372*I372</x:f>
        <x:v>159.9</x:v>
      </x:c>
      <x:c r="M372" s="10" t="n">
        <x:f>ROUND((L372-J372)*H372/G372,2)</x:f>
        <x:v>0</x:v>
      </x:c>
      <x:c r="N372" s="10" t="n">
        <x:f>L372-J372-M372</x:f>
        <x:v>159.9</x:v>
      </x:c>
      <x:c r="O372" s="10" t="n">
        <x:f>(G372-H372)*K372</x:f>
        <x:v>64</x:v>
      </x:c>
      <x:c r="P372" s="10" t="n">
        <x:f>N372-O372</x:f>
        <x:v>95.9</x:v>
      </x:c>
      <x:c r="Q372" s="9" t="n">
        <x:f>A372-WEEKDAY(A372,2)+1</x:f>
        <x:v>46272</x:v>
      </x:c>
      <x:c r="R372" s="2" t="str">
        <x:f>IF(AND(A372&gt;='Review'!$B$4,A372&lt;='Review'!$D$4),"Selected","Outside")</x:f>
        <x:v>Outside</x:v>
      </x:c>
    </x:row>
    <x:row r="373" ht="20" customHeight="1">
      <x:c r="A373" s="9" t="n">
        <x:v>46276</x:v>
      </x:c>
      <x:c r="B373" s="2" t="str">
        <x:v>MM-1269</x:v>
      </x:c>
      <x:c r="C373" s="2" t="str">
        <x:v>Direct</x:v>
      </x:c>
      <x:c r="D373" s="2" t="str">
        <x:v>TOTE-001</x:v>
      </x:c>
      <x:c r="E373" s="2" t="str">
        <x:f>_xlfn.IFNA(VLOOKUP(D373,'Products'!$A$7:$I$22,2,FALSE),"Unmapped")</x:f>
        <x:v>Market canvas tote</x:v>
      </x:c>
      <x:c r="F373" s="2" t="str">
        <x:f>_xlfn.IFNA(VLOOKUP(D373,'Products'!$A$7:$I$22,3,FALSE),"Unmapped")</x:f>
        <x:v>Accessories</x:v>
      </x:c>
      <x:c r="G373" s="2" t="n">
        <x:v>1</x:v>
      </x:c>
      <x:c r="H373" s="2" t="n">
        <x:v>0</x:v>
      </x:c>
      <x:c r="I373" s="10" t="n">
        <x:v>19.95</x:v>
      </x:c>
      <x:c r="J373" s="10" t="n">
        <x:v>0</x:v>
      </x:c>
      <x:c r="K373" s="10" t="n">
        <x:v>6</x:v>
      </x:c>
      <x:c r="L373" s="10" t="n">
        <x:f>G373*I373</x:f>
        <x:v>19.95</x:v>
      </x:c>
      <x:c r="M373" s="10" t="n">
        <x:f>ROUND((L373-J373)*H373/G373,2)</x:f>
        <x:v>0</x:v>
      </x:c>
      <x:c r="N373" s="10" t="n">
        <x:f>L373-J373-M373</x:f>
        <x:v>19.95</x:v>
      </x:c>
      <x:c r="O373" s="10" t="n">
        <x:f>(G373-H373)*K373</x:f>
        <x:v>6</x:v>
      </x:c>
      <x:c r="P373" s="10" t="n">
        <x:f>N373-O373</x:f>
        <x:v>13.95</x:v>
      </x:c>
      <x:c r="Q373" s="9" t="n">
        <x:f>A373-WEEKDAY(A373,2)+1</x:f>
        <x:v>46272</x:v>
      </x:c>
      <x:c r="R373" s="2" t="str">
        <x:f>IF(AND(A373&gt;='Review'!$B$4,A373&lt;='Review'!$D$4),"Selected","Outside")</x:f>
        <x:v>Outside</x:v>
      </x:c>
    </x:row>
    <x:row r="374" ht="20" customHeight="1">
      <x:c r="A374" s="9" t="n">
        <x:v>46276</x:v>
      </x:c>
      <x:c r="B374" s="2" t="str">
        <x:v>MM-1269</x:v>
      </x:c>
      <x:c r="C374" s="2" t="str">
        <x:v>Direct</x:v>
      </x:c>
      <x:c r="D374" s="2" t="str">
        <x:v>KEY-001</x:v>
      </x:c>
      <x:c r="E374" s="2" t="str">
        <x:f>_xlfn.IFNA(VLOOKUP(D374,'Products'!$A$7:$I$22,2,FALSE),"Unmapped")</x:f>
        <x:v>Maple keyring</x:v>
      </x:c>
      <x:c r="F374" s="2" t="str">
        <x:f>_xlfn.IFNA(VLOOKUP(D374,'Products'!$A$7:$I$22,3,FALSE),"Unmapped")</x:f>
        <x:v>Accessories</x:v>
      </x:c>
      <x:c r="G374" s="2" t="n">
        <x:v>3</x:v>
      </x:c>
      <x:c r="H374" s="2" t="n">
        <x:v>0</x:v>
      </x:c>
      <x:c r="I374" s="10" t="n">
        <x:v>12.95</x:v>
      </x:c>
      <x:c r="J374" s="10" t="n">
        <x:v>0</x:v>
      </x:c>
      <x:c r="K374" s="10" t="n">
        <x:v>3.5</x:v>
      </x:c>
      <x:c r="L374" s="10" t="n">
        <x:f>G374*I374</x:f>
        <x:v>38.849999999999994</x:v>
      </x:c>
      <x:c r="M374" s="10" t="n">
        <x:f>ROUND((L374-J374)*H374/G374,2)</x:f>
        <x:v>0</x:v>
      </x:c>
      <x:c r="N374" s="10" t="n">
        <x:f>L374-J374-M374</x:f>
        <x:v>38.849999999999994</x:v>
      </x:c>
      <x:c r="O374" s="10" t="n">
        <x:f>(G374-H374)*K374</x:f>
        <x:v>10.5</x:v>
      </x:c>
      <x:c r="P374" s="10" t="n">
        <x:f>N374-O374</x:f>
        <x:v>28.349999999999994</x:v>
      </x:c>
      <x:c r="Q374" s="9" t="n">
        <x:f>A374-WEEKDAY(A374,2)+1</x:f>
        <x:v>46272</x:v>
      </x:c>
      <x:c r="R374" s="2" t="str">
        <x:f>IF(AND(A374&gt;='Review'!$B$4,A374&lt;='Review'!$D$4),"Selected","Outside")</x:f>
        <x:v>Outside</x:v>
      </x:c>
    </x:row>
    <x:row r="375" ht="20" customHeight="1">
      <x:c r="A375" s="9" t="n">
        <x:v>46276</x:v>
      </x:c>
      <x:c r="B375" s="2" t="str">
        <x:v>MM-1277</x:v>
      </x:c>
      <x:c r="C375" s="2" t="str">
        <x:v>Organic Search</x:v>
      </x:c>
      <x:c r="D375" s="2" t="str">
        <x:v>MUG-001</x:v>
      </x:c>
      <x:c r="E375" s="2" t="str">
        <x:f>_xlfn.IFNA(VLOOKUP(D375,'Products'!$A$7:$I$22,2,FALSE),"Unmapped")</x:f>
        <x:v>Everyday ceramic mug</x:v>
      </x:c>
      <x:c r="F375" s="2" t="str">
        <x:f>_xlfn.IFNA(VLOOKUP(D375,'Products'!$A$7:$I$22,3,FALSE),"Unmapped")</x:f>
        <x:v>Drinkware</x:v>
      </x:c>
      <x:c r="G375" s="2" t="n">
        <x:v>1</x:v>
      </x:c>
      <x:c r="H375" s="2" t="n">
        <x:v>0</x:v>
      </x:c>
      <x:c r="I375" s="10" t="n">
        <x:v>18.95</x:v>
      </x:c>
      <x:c r="J375" s="10" t="n">
        <x:v>0</x:v>
      </x:c>
      <x:c r="K375" s="10" t="n">
        <x:v>6.5</x:v>
      </x:c>
      <x:c r="L375" s="10" t="n">
        <x:f>G375*I375</x:f>
        <x:v>18.95</x:v>
      </x:c>
      <x:c r="M375" s="10" t="n">
        <x:f>ROUND((L375-J375)*H375/G375,2)</x:f>
        <x:v>0</x:v>
      </x:c>
      <x:c r="N375" s="10" t="n">
        <x:f>L375-J375-M375</x:f>
        <x:v>18.95</x:v>
      </x:c>
      <x:c r="O375" s="10" t="n">
        <x:f>(G375-H375)*K375</x:f>
        <x:v>6.5</x:v>
      </x:c>
      <x:c r="P375" s="10" t="n">
        <x:f>N375-O375</x:f>
        <x:v>12.45</x:v>
      </x:c>
      <x:c r="Q375" s="9" t="n">
        <x:f>A375-WEEKDAY(A375,2)+1</x:f>
        <x:v>46272</x:v>
      </x:c>
      <x:c r="R375" s="2" t="str">
        <x:f>IF(AND(A375&gt;='Review'!$B$4,A375&lt;='Review'!$D$4),"Selected","Outside")</x:f>
        <x:v>Outside</x:v>
      </x:c>
    </x:row>
    <x:row r="376" ht="20" customHeight="1">
      <x:c r="A376" s="9" t="n">
        <x:v>46276</x:v>
      </x:c>
      <x:c r="B376" s="2" t="str">
        <x:v>MM-1277</x:v>
      </x:c>
      <x:c r="C376" s="2" t="str">
        <x:v>Organic Search</x:v>
      </x:c>
      <x:c r="D376" s="2" t="str">
        <x:v>TUM-002</x:v>
      </x:c>
      <x:c r="E376" s="2" t="str">
        <x:f>_xlfn.IFNA(VLOOKUP(D376,'Products'!$A$7:$I$22,2,FALSE),"Unmapped")</x:f>
        <x:v>Cold brew glass cup</x:v>
      </x:c>
      <x:c r="F376" s="2" t="str">
        <x:f>_xlfn.IFNA(VLOOKUP(D376,'Products'!$A$7:$I$22,3,FALSE),"Unmapped")</x:f>
        <x:v>Drinkware</x:v>
      </x:c>
      <x:c r="G376" s="2" t="n">
        <x:v>1</x:v>
      </x:c>
      <x:c r="H376" s="2" t="n">
        <x:v>0</x:v>
      </x:c>
      <x:c r="I376" s="10" t="n">
        <x:v>24.95</x:v>
      </x:c>
      <x:c r="J376" s="10" t="n">
        <x:v>0</x:v>
      </x:c>
      <x:c r="K376" s="10" t="n">
        <x:v>9</x:v>
      </x:c>
      <x:c r="L376" s="10" t="n">
        <x:f>G376*I376</x:f>
        <x:v>24.95</x:v>
      </x:c>
      <x:c r="M376" s="10" t="n">
        <x:f>ROUND((L376-J376)*H376/G376,2)</x:f>
        <x:v>0</x:v>
      </x:c>
      <x:c r="N376" s="10" t="n">
        <x:f>L376-J376-M376</x:f>
        <x:v>24.95</x:v>
      </x:c>
      <x:c r="O376" s="10" t="n">
        <x:f>(G376-H376)*K376</x:f>
        <x:v>9</x:v>
      </x:c>
      <x:c r="P376" s="10" t="n">
        <x:f>N376-O376</x:f>
        <x:v>15.95</x:v>
      </x:c>
      <x:c r="Q376" s="9" t="n">
        <x:f>A376-WEEKDAY(A376,2)+1</x:f>
        <x:v>46272</x:v>
      </x:c>
      <x:c r="R376" s="2" t="str">
        <x:f>IF(AND(A376&gt;='Review'!$B$4,A376&lt;='Review'!$D$4),"Selected","Outside")</x:f>
        <x:v>Outside</x:v>
      </x:c>
    </x:row>
    <x:row r="377" ht="20" customHeight="1">
      <x:c r="A377" s="9" t="n">
        <x:v>46276</x:v>
      </x:c>
      <x:c r="B377" s="2" t="str">
        <x:v>MM-1280</x:v>
      </x:c>
      <x:c r="C377" s="2" t="str">
        <x:v>Paid Social</x:v>
      </x:c>
      <x:c r="D377" s="2" t="str">
        <x:v>GFT-002</x:v>
      </x:c>
      <x:c r="E377" s="2" t="str">
        <x:f>_xlfn.IFNA(VLOOKUP(D377,'Products'!$A$7:$I$22,2,FALSE),"Unmapped")</x:f>
        <x:v>Cozy weekend gift box</x:v>
      </x:c>
      <x:c r="F377" s="2" t="str">
        <x:f>_xlfn.IFNA(VLOOKUP(D377,'Products'!$A$7:$I$22,3,FALSE),"Unmapped")</x:f>
        <x:v>Gifts</x:v>
      </x:c>
      <x:c r="G377" s="2" t="n">
        <x:v>2</x:v>
      </x:c>
      <x:c r="H377" s="2" t="n">
        <x:v>0</x:v>
      </x:c>
      <x:c r="I377" s="10" t="n">
        <x:v>79.95</x:v>
      </x:c>
      <x:c r="J377" s="10" t="n">
        <x:v>0</x:v>
      </x:c>
      <x:c r="K377" s="10" t="n">
        <x:v>32</x:v>
      </x:c>
      <x:c r="L377" s="10" t="n">
        <x:f>G377*I377</x:f>
        <x:v>159.9</x:v>
      </x:c>
      <x:c r="M377" s="10" t="n">
        <x:f>ROUND((L377-J377)*H377/G377,2)</x:f>
        <x:v>0</x:v>
      </x:c>
      <x:c r="N377" s="10" t="n">
        <x:f>L377-J377-M377</x:f>
        <x:v>159.9</x:v>
      </x:c>
      <x:c r="O377" s="10" t="n">
        <x:f>(G377-H377)*K377</x:f>
        <x:v>64</x:v>
      </x:c>
      <x:c r="P377" s="10" t="n">
        <x:f>N377-O377</x:f>
        <x:v>95.9</x:v>
      </x:c>
      <x:c r="Q377" s="9" t="n">
        <x:f>A377-WEEKDAY(A377,2)+1</x:f>
        <x:v>46272</x:v>
      </x:c>
      <x:c r="R377" s="2" t="str">
        <x:f>IF(AND(A377&gt;='Review'!$B$4,A377&lt;='Review'!$D$4),"Selected","Outside")</x:f>
        <x:v>Outside</x:v>
      </x:c>
    </x:row>
    <x:row r="378" ht="20" customHeight="1">
      <x:c r="A378" s="9" t="n">
        <x:v>46276</x:v>
      </x:c>
      <x:c r="B378" s="2" t="str">
        <x:v>MM-1273</x:v>
      </x:c>
      <x:c r="C378" s="2" t="str">
        <x:v>Direct</x:v>
      </x:c>
      <x:c r="D378" s="2" t="str">
        <x:v>GFT-001</x:v>
      </x:c>
      <x:c r="E378" s="2" t="str">
        <x:f>_xlfn.IFNA(VLOOKUP(D378,'Products'!$A$7:$I$22,2,FALSE),"Unmapped")</x:f>
        <x:v>Morning ritual gift set</x:v>
      </x:c>
      <x:c r="F378" s="2" t="str">
        <x:f>_xlfn.IFNA(VLOOKUP(D378,'Products'!$A$7:$I$22,3,FALSE),"Unmapped")</x:f>
        <x:v>Gifts</x:v>
      </x:c>
      <x:c r="G378" s="2" t="n">
        <x:v>1</x:v>
      </x:c>
      <x:c r="H378" s="2" t="n">
        <x:v>0</x:v>
      </x:c>
      <x:c r="I378" s="10" t="n">
        <x:v>59.95</x:v>
      </x:c>
      <x:c r="J378" s="10" t="n">
        <x:v>0</x:v>
      </x:c>
      <x:c r="K378" s="10" t="n">
        <x:v>24</x:v>
      </x:c>
      <x:c r="L378" s="10" t="n">
        <x:f>G378*I378</x:f>
        <x:v>59.95</x:v>
      </x:c>
      <x:c r="M378" s="10" t="n">
        <x:f>ROUND((L378-J378)*H378/G378,2)</x:f>
        <x:v>0</x:v>
      </x:c>
      <x:c r="N378" s="10" t="n">
        <x:f>L378-J378-M378</x:f>
        <x:v>59.95</x:v>
      </x:c>
      <x:c r="O378" s="10" t="n">
        <x:f>(G378-H378)*K378</x:f>
        <x:v>24</x:v>
      </x:c>
      <x:c r="P378" s="10" t="n">
        <x:f>N378-O378</x:f>
        <x:v>35.95</x:v>
      </x:c>
      <x:c r="Q378" s="9" t="n">
        <x:f>A378-WEEKDAY(A378,2)+1</x:f>
        <x:v>46272</x:v>
      </x:c>
      <x:c r="R378" s="2" t="str">
        <x:f>IF(AND(A378&gt;='Review'!$B$4,A378&lt;='Review'!$D$4),"Selected","Outside")</x:f>
        <x:v>Outside</x:v>
      </x:c>
    </x:row>
    <x:row r="379" ht="20" customHeight="1">
      <x:c r="A379" s="9" t="n">
        <x:v>46276</x:v>
      </x:c>
      <x:c r="B379" s="2" t="str">
        <x:v>MM-1279</x:v>
      </x:c>
      <x:c r="C379" s="2" t="str">
        <x:v>Organic Search</x:v>
      </x:c>
      <x:c r="D379" s="2" t="str">
        <x:v>BOT-001</x:v>
      </x:c>
      <x:c r="E379" s="2" t="str">
        <x:f>_xlfn.IFNA(VLOOKUP(D379,'Products'!$A$7:$I$22,2,FALSE),"Unmapped")</x:f>
        <x:v>Trail water bottle</x:v>
      </x:c>
      <x:c r="F379" s="2" t="str">
        <x:f>_xlfn.IFNA(VLOOKUP(D379,'Products'!$A$7:$I$22,3,FALSE),"Unmapped")</x:f>
        <x:v>Drinkware</x:v>
      </x:c>
      <x:c r="G379" s="2" t="n">
        <x:v>1</x:v>
      </x:c>
      <x:c r="H379" s="2" t="n">
        <x:v>0</x:v>
      </x:c>
      <x:c r="I379" s="10" t="n">
        <x:v>34.95</x:v>
      </x:c>
      <x:c r="J379" s="10" t="n">
        <x:v>0</x:v>
      </x:c>
      <x:c r="K379" s="10" t="n">
        <x:v>13.5</x:v>
      </x:c>
      <x:c r="L379" s="10" t="n">
        <x:f>G379*I379</x:f>
        <x:v>34.95</x:v>
      </x:c>
      <x:c r="M379" s="10" t="n">
        <x:f>ROUND((L379-J379)*H379/G379,2)</x:f>
        <x:v>0</x:v>
      </x:c>
      <x:c r="N379" s="10" t="n">
        <x:f>L379-J379-M379</x:f>
        <x:v>34.95</x:v>
      </x:c>
      <x:c r="O379" s="10" t="n">
        <x:f>(G379-H379)*K379</x:f>
        <x:v>13.5</x:v>
      </x:c>
      <x:c r="P379" s="10" t="n">
        <x:f>N379-O379</x:f>
        <x:v>21.450000000000003</x:v>
      </x:c>
      <x:c r="Q379" s="9" t="n">
        <x:f>A379-WEEKDAY(A379,2)+1</x:f>
        <x:v>46272</x:v>
      </x:c>
      <x:c r="R379" s="2" t="str">
        <x:f>IF(AND(A379&gt;='Review'!$B$4,A379&lt;='Review'!$D$4),"Selected","Outside")</x:f>
        <x:v>Outside</x:v>
      </x:c>
    </x:row>
    <x:row r="380" ht="20" customHeight="1">
      <x:c r="A380" s="9" t="n">
        <x:v>46277</x:v>
      </x:c>
      <x:c r="B380" s="2" t="str">
        <x:v>MM-1286</x:v>
      </x:c>
      <x:c r="C380" s="2" t="str">
        <x:v>Organic Search</x:v>
      </x:c>
      <x:c r="D380" s="2" t="str">
        <x:v>BOT-001</x:v>
      </x:c>
      <x:c r="E380" s="2" t="str">
        <x:f>_xlfn.IFNA(VLOOKUP(D380,'Products'!$A$7:$I$22,2,FALSE),"Unmapped")</x:f>
        <x:v>Trail water bottle</x:v>
      </x:c>
      <x:c r="F380" s="2" t="str">
        <x:f>_xlfn.IFNA(VLOOKUP(D380,'Products'!$A$7:$I$22,3,FALSE),"Unmapped")</x:f>
        <x:v>Drinkware</x:v>
      </x:c>
      <x:c r="G380" s="2" t="n">
        <x:v>1</x:v>
      </x:c>
      <x:c r="H380" s="2" t="n">
        <x:v>0</x:v>
      </x:c>
      <x:c r="I380" s="10" t="n">
        <x:v>34.95</x:v>
      </x:c>
      <x:c r="J380" s="10" t="n">
        <x:v>3.49</x:v>
      </x:c>
      <x:c r="K380" s="10" t="n">
        <x:v>13.5</x:v>
      </x:c>
      <x:c r="L380" s="10" t="n">
        <x:f>G380*I380</x:f>
        <x:v>34.95</x:v>
      </x:c>
      <x:c r="M380" s="10" t="n">
        <x:f>ROUND((L380-J380)*H380/G380,2)</x:f>
        <x:v>0</x:v>
      </x:c>
      <x:c r="N380" s="10" t="n">
        <x:f>L380-J380-M380</x:f>
        <x:v>31.46</x:v>
      </x:c>
      <x:c r="O380" s="10" t="n">
        <x:f>(G380-H380)*K380</x:f>
        <x:v>13.5</x:v>
      </x:c>
      <x:c r="P380" s="10" t="n">
        <x:f>N380-O380</x:f>
        <x:v>17.96</x:v>
      </x:c>
      <x:c r="Q380" s="9" t="n">
        <x:f>A380-WEEKDAY(A380,2)+1</x:f>
        <x:v>46272</x:v>
      </x:c>
      <x:c r="R380" s="2" t="str">
        <x:f>IF(AND(A380&gt;='Review'!$B$4,A380&lt;='Review'!$D$4),"Selected","Outside")</x:f>
        <x:v>Outside</x:v>
      </x:c>
    </x:row>
    <x:row r="381" ht="20" customHeight="1">
      <x:c r="A381" s="9" t="n">
        <x:v>46277</x:v>
      </x:c>
      <x:c r="B381" s="2" t="str">
        <x:v>MM-1290</x:v>
      </x:c>
      <x:c r="C381" s="2" t="str">
        <x:v>Organic Search</x:v>
      </x:c>
      <x:c r="D381" s="2" t="str">
        <x:v>GFT-001</x:v>
      </x:c>
      <x:c r="E381" s="2" t="str">
        <x:f>_xlfn.IFNA(VLOOKUP(D381,'Products'!$A$7:$I$22,2,FALSE),"Unmapped")</x:f>
        <x:v>Morning ritual gift set</x:v>
      </x:c>
      <x:c r="F381" s="2" t="str">
        <x:f>_xlfn.IFNA(VLOOKUP(D381,'Products'!$A$7:$I$22,3,FALSE),"Unmapped")</x:f>
        <x:v>Gifts</x:v>
      </x:c>
      <x:c r="G381" s="2" t="n">
        <x:v>3</x:v>
      </x:c>
      <x:c r="H381" s="2" t="n">
        <x:v>0</x:v>
      </x:c>
      <x:c r="I381" s="10" t="n">
        <x:v>59.95</x:v>
      </x:c>
      <x:c r="J381" s="10" t="n">
        <x:v>0</x:v>
      </x:c>
      <x:c r="K381" s="10" t="n">
        <x:v>24</x:v>
      </x:c>
      <x:c r="L381" s="10" t="n">
        <x:f>G381*I381</x:f>
        <x:v>179.85000000000002</x:v>
      </x:c>
      <x:c r="M381" s="10" t="n">
        <x:f>ROUND((L381-J381)*H381/G381,2)</x:f>
        <x:v>0</x:v>
      </x:c>
      <x:c r="N381" s="10" t="n">
        <x:f>L381-J381-M381</x:f>
        <x:v>179.85000000000002</x:v>
      </x:c>
      <x:c r="O381" s="10" t="n">
        <x:f>(G381-H381)*K381</x:f>
        <x:v>72</x:v>
      </x:c>
      <x:c r="P381" s="10" t="n">
        <x:f>N381-O381</x:f>
        <x:v>107.85000000000002</x:v>
      </x:c>
      <x:c r="Q381" s="9" t="n">
        <x:f>A381-WEEKDAY(A381,2)+1</x:f>
        <x:v>46272</x:v>
      </x:c>
      <x:c r="R381" s="2" t="str">
        <x:f>IF(AND(A381&gt;='Review'!$B$4,A381&lt;='Review'!$D$4),"Selected","Outside")</x:f>
        <x:v>Outside</x:v>
      </x:c>
    </x:row>
    <x:row r="382" ht="20" customHeight="1">
      <x:c r="A382" s="9" t="n">
        <x:v>46277</x:v>
      </x:c>
      <x:c r="B382" s="2" t="str">
        <x:v>MM-1285</x:v>
      </x:c>
      <x:c r="C382" s="2" t="str">
        <x:v>Paid Social</x:v>
      </x:c>
      <x:c r="D382" s="2" t="str">
        <x:v>BOT-001</x:v>
      </x:c>
      <x:c r="E382" s="2" t="str">
        <x:f>_xlfn.IFNA(VLOOKUP(D382,'Products'!$A$7:$I$22,2,FALSE),"Unmapped")</x:f>
        <x:v>Trail water bottle</x:v>
      </x:c>
      <x:c r="F382" s="2" t="str">
        <x:f>_xlfn.IFNA(VLOOKUP(D382,'Products'!$A$7:$I$22,3,FALSE),"Unmapped")</x:f>
        <x:v>Drinkware</x:v>
      </x:c>
      <x:c r="G382" s="2" t="n">
        <x:v>3</x:v>
      </x:c>
      <x:c r="H382" s="2" t="n">
        <x:v>0</x:v>
      </x:c>
      <x:c r="I382" s="10" t="n">
        <x:v>34.95</x:v>
      </x:c>
      <x:c r="J382" s="10" t="n">
        <x:v>0</x:v>
      </x:c>
      <x:c r="K382" s="10" t="n">
        <x:v>13.5</x:v>
      </x:c>
      <x:c r="L382" s="10" t="n">
        <x:f>G382*I382</x:f>
        <x:v>104.85000000000001</x:v>
      </x:c>
      <x:c r="M382" s="10" t="n">
        <x:f>ROUND((L382-J382)*H382/G382,2)</x:f>
        <x:v>0</x:v>
      </x:c>
      <x:c r="N382" s="10" t="n">
        <x:f>L382-J382-M382</x:f>
        <x:v>104.85000000000001</x:v>
      </x:c>
      <x:c r="O382" s="10" t="n">
        <x:f>(G382-H382)*K382</x:f>
        <x:v>40.5</x:v>
      </x:c>
      <x:c r="P382" s="10" t="n">
        <x:f>N382-O382</x:f>
        <x:v>64.35000000000001</x:v>
      </x:c>
      <x:c r="Q382" s="9" t="n">
        <x:f>A382-WEEKDAY(A382,2)+1</x:f>
        <x:v>46272</x:v>
      </x:c>
      <x:c r="R382" s="2" t="str">
        <x:f>IF(AND(A382&gt;='Review'!$B$4,A382&lt;='Review'!$D$4),"Selected","Outside")</x:f>
        <x:v>Outside</x:v>
      </x:c>
    </x:row>
    <x:row r="383" ht="20" customHeight="1">
      <x:c r="A383" s="9" t="n">
        <x:v>46277</x:v>
      </x:c>
      <x:c r="B383" s="2" t="str">
        <x:v>MM-1285</x:v>
      </x:c>
      <x:c r="C383" s="2" t="str">
        <x:v>Paid Social</x:v>
      </x:c>
      <x:c r="D383" s="2" t="str">
        <x:v>GFT-001</x:v>
      </x:c>
      <x:c r="E383" s="2" t="str">
        <x:f>_xlfn.IFNA(VLOOKUP(D383,'Products'!$A$7:$I$22,2,FALSE),"Unmapped")</x:f>
        <x:v>Morning ritual gift set</x:v>
      </x:c>
      <x:c r="F383" s="2" t="str">
        <x:f>_xlfn.IFNA(VLOOKUP(D383,'Products'!$A$7:$I$22,3,FALSE),"Unmapped")</x:f>
        <x:v>Gifts</x:v>
      </x:c>
      <x:c r="G383" s="2" t="n">
        <x:v>1</x:v>
      </x:c>
      <x:c r="H383" s="2" t="n">
        <x:v>0</x:v>
      </x:c>
      <x:c r="I383" s="10" t="n">
        <x:v>59.95</x:v>
      </x:c>
      <x:c r="J383" s="10" t="n">
        <x:v>5.99</x:v>
      </x:c>
      <x:c r="K383" s="10" t="n">
        <x:v>24</x:v>
      </x:c>
      <x:c r="L383" s="10" t="n">
        <x:f>G383*I383</x:f>
        <x:v>59.95</x:v>
      </x:c>
      <x:c r="M383" s="10" t="n">
        <x:f>ROUND((L383-J383)*H383/G383,2)</x:f>
        <x:v>0</x:v>
      </x:c>
      <x:c r="N383" s="10" t="n">
        <x:f>L383-J383-M383</x:f>
        <x:v>53.96</x:v>
      </x:c>
      <x:c r="O383" s="10" t="n">
        <x:f>(G383-H383)*K383</x:f>
        <x:v>24</x:v>
      </x:c>
      <x:c r="P383" s="10" t="n">
        <x:f>N383-O383</x:f>
        <x:v>29.96</x:v>
      </x:c>
      <x:c r="Q383" s="9" t="n">
        <x:f>A383-WEEKDAY(A383,2)+1</x:f>
        <x:v>46272</x:v>
      </x:c>
      <x:c r="R383" s="2" t="str">
        <x:f>IF(AND(A383&gt;='Review'!$B$4,A383&lt;='Review'!$D$4),"Selected","Outside")</x:f>
        <x:v>Outside</x:v>
      </x:c>
    </x:row>
    <x:row r="384" ht="20" customHeight="1">
      <x:c r="A384" s="9" t="n">
        <x:v>46277</x:v>
      </x:c>
      <x:c r="B384" s="2" t="str">
        <x:v>MM-1285</x:v>
      </x:c>
      <x:c r="C384" s="2" t="str">
        <x:v>Paid Social</x:v>
      </x:c>
      <x:c r="D384" s="2" t="str">
        <x:v>APP-003</x:v>
      </x:c>
      <x:c r="E384" s="2" t="str">
        <x:f>_xlfn.IFNA(VLOOKUP(D384,'Products'!$A$7:$I$22,2,FALSE),"Unmapped")</x:f>
        <x:v>Coffee club tee</x:v>
      </x:c>
      <x:c r="F384" s="2" t="str">
        <x:f>_xlfn.IFNA(VLOOKUP(D384,'Products'!$A$7:$I$22,3,FALSE),"Unmapped")</x:f>
        <x:v>Apparel</x:v>
      </x:c>
      <x:c r="G384" s="2" t="n">
        <x:v>1</x:v>
      </x:c>
      <x:c r="H384" s="2" t="n">
        <x:v>0</x:v>
      </x:c>
      <x:c r="I384" s="10" t="n">
        <x:v>29.95</x:v>
      </x:c>
      <x:c r="J384" s="10" t="n">
        <x:v>0</x:v>
      </x:c>
      <x:c r="K384" s="10" t="n">
        <x:v>10</x:v>
      </x:c>
      <x:c r="L384" s="10" t="n">
        <x:f>G384*I384</x:f>
        <x:v>29.95</x:v>
      </x:c>
      <x:c r="M384" s="10" t="n">
        <x:f>ROUND((L384-J384)*H384/G384,2)</x:f>
        <x:v>0</x:v>
      </x:c>
      <x:c r="N384" s="10" t="n">
        <x:f>L384-J384-M384</x:f>
        <x:v>29.95</x:v>
      </x:c>
      <x:c r="O384" s="10" t="n">
        <x:f>(G384-H384)*K384</x:f>
        <x:v>10</x:v>
      </x:c>
      <x:c r="P384" s="10" t="n">
        <x:f>N384-O384</x:f>
        <x:v>19.95</x:v>
      </x:c>
      <x:c r="Q384" s="9" t="n">
        <x:f>A384-WEEKDAY(A384,2)+1</x:f>
        <x:v>46272</x:v>
      </x:c>
      <x:c r="R384" s="2" t="str">
        <x:f>IF(AND(A384&gt;='Review'!$B$4,A384&lt;='Review'!$D$4),"Selected","Outside")</x:f>
        <x:v>Outside</x:v>
      </x:c>
    </x:row>
    <x:row r="385" ht="20" customHeight="1">
      <x:c r="A385" s="9" t="n">
        <x:v>46277</x:v>
      </x:c>
      <x:c r="B385" s="2" t="str">
        <x:v>MM-1288</x:v>
      </x:c>
      <x:c r="C385" s="2" t="str">
        <x:v>Organic Search</x:v>
      </x:c>
      <x:c r="D385" s="2" t="str">
        <x:v>GFT-002</x:v>
      </x:c>
      <x:c r="E385" s="2" t="str">
        <x:f>_xlfn.IFNA(VLOOKUP(D385,'Products'!$A$7:$I$22,2,FALSE),"Unmapped")</x:f>
        <x:v>Cozy weekend gift box</x:v>
      </x:c>
      <x:c r="F385" s="2" t="str">
        <x:f>_xlfn.IFNA(VLOOKUP(D385,'Products'!$A$7:$I$22,3,FALSE),"Unmapped")</x:f>
        <x:v>Gifts</x:v>
      </x:c>
      <x:c r="G385" s="2" t="n">
        <x:v>1</x:v>
      </x:c>
      <x:c r="H385" s="2" t="n">
        <x:v>0</x:v>
      </x:c>
      <x:c r="I385" s="10" t="n">
        <x:v>79.95</x:v>
      </x:c>
      <x:c r="J385" s="10" t="n">
        <x:v>0</x:v>
      </x:c>
      <x:c r="K385" s="10" t="n">
        <x:v>32</x:v>
      </x:c>
      <x:c r="L385" s="10" t="n">
        <x:f>G385*I385</x:f>
        <x:v>79.95</x:v>
      </x:c>
      <x:c r="M385" s="10" t="n">
        <x:f>ROUND((L385-J385)*H385/G385,2)</x:f>
        <x:v>0</x:v>
      </x:c>
      <x:c r="N385" s="10" t="n">
        <x:f>L385-J385-M385</x:f>
        <x:v>79.95</x:v>
      </x:c>
      <x:c r="O385" s="10" t="n">
        <x:f>(G385-H385)*K385</x:f>
        <x:v>32</x:v>
      </x:c>
      <x:c r="P385" s="10" t="n">
        <x:f>N385-O385</x:f>
        <x:v>47.95</x:v>
      </x:c>
      <x:c r="Q385" s="9" t="n">
        <x:f>A385-WEEKDAY(A385,2)+1</x:f>
        <x:v>46272</x:v>
      </x:c>
      <x:c r="R385" s="2" t="str">
        <x:f>IF(AND(A385&gt;='Review'!$B$4,A385&lt;='Review'!$D$4),"Selected","Outside")</x:f>
        <x:v>Outside</x:v>
      </x:c>
    </x:row>
    <x:row r="386" ht="20" customHeight="1">
      <x:c r="A386" s="9" t="n">
        <x:v>46277</x:v>
      </x:c>
      <x:c r="B386" s="2" t="str">
        <x:v>MM-1288</x:v>
      </x:c>
      <x:c r="C386" s="2" t="str">
        <x:v>Organic Search</x:v>
      </x:c>
      <x:c r="D386" s="2" t="str">
        <x:v>MUG-002</x:v>
      </x:c>
      <x:c r="E386" s="2" t="str">
        <x:f>_xlfn.IFNA(VLOOKUP(D386,'Products'!$A$7:$I$22,2,FALSE),"Unmapped")</x:f>
        <x:v>Campfire enamel mug</x:v>
      </x:c>
      <x:c r="F386" s="2" t="str">
        <x:f>_xlfn.IFNA(VLOOKUP(D386,'Products'!$A$7:$I$22,3,FALSE),"Unmapped")</x:f>
        <x:v>Drinkware</x:v>
      </x:c>
      <x:c r="G386" s="2" t="n">
        <x:v>1</x:v>
      </x:c>
      <x:c r="H386" s="2" t="n">
        <x:v>0</x:v>
      </x:c>
      <x:c r="I386" s="10" t="n">
        <x:v>22.95</x:v>
      </x:c>
      <x:c r="J386" s="10" t="n">
        <x:v>2.29</x:v>
      </x:c>
      <x:c r="K386" s="10" t="n">
        <x:v>8.5</x:v>
      </x:c>
      <x:c r="L386" s="10" t="n">
        <x:f>G386*I386</x:f>
        <x:v>22.95</x:v>
      </x:c>
      <x:c r="M386" s="10" t="n">
        <x:f>ROUND((L386-J386)*H386/G386,2)</x:f>
        <x:v>0</x:v>
      </x:c>
      <x:c r="N386" s="10" t="n">
        <x:f>L386-J386-M386</x:f>
        <x:v>20.66</x:v>
      </x:c>
      <x:c r="O386" s="10" t="n">
        <x:f>(G386-H386)*K386</x:f>
        <x:v>8.5</x:v>
      </x:c>
      <x:c r="P386" s="10" t="n">
        <x:f>N386-O386</x:f>
        <x:v>12.16</x:v>
      </x:c>
      <x:c r="Q386" s="9" t="n">
        <x:f>A386-WEEKDAY(A386,2)+1</x:f>
        <x:v>46272</x:v>
      </x:c>
      <x:c r="R386" s="2" t="str">
        <x:f>IF(AND(A386&gt;='Review'!$B$4,A386&lt;='Review'!$D$4),"Selected","Outside")</x:f>
        <x:v>Outside</x:v>
      </x:c>
    </x:row>
    <x:row r="387" ht="20" customHeight="1">
      <x:c r="A387" s="9" t="n">
        <x:v>46277</x:v>
      </x:c>
      <x:c r="B387" s="2" t="str">
        <x:v>MM-1281</x:v>
      </x:c>
      <x:c r="C387" s="2" t="str">
        <x:v>Email</x:v>
      </x:c>
      <x:c r="D387" s="2" t="str">
        <x:v>TOTE-001</x:v>
      </x:c>
      <x:c r="E387" s="2" t="str">
        <x:f>_xlfn.IFNA(VLOOKUP(D387,'Products'!$A$7:$I$22,2,FALSE),"Unmapped")</x:f>
        <x:v>Market canvas tote</x:v>
      </x:c>
      <x:c r="F387" s="2" t="str">
        <x:f>_xlfn.IFNA(VLOOKUP(D387,'Products'!$A$7:$I$22,3,FALSE),"Unmapped")</x:f>
        <x:v>Accessories</x:v>
      </x:c>
      <x:c r="G387" s="2" t="n">
        <x:v>1</x:v>
      </x:c>
      <x:c r="H387" s="2" t="n">
        <x:v>0</x:v>
      </x:c>
      <x:c r="I387" s="10" t="n">
        <x:v>19.95</x:v>
      </x:c>
      <x:c r="J387" s="10" t="n">
        <x:v>1.99</x:v>
      </x:c>
      <x:c r="K387" s="10" t="n">
        <x:v>6</x:v>
      </x:c>
      <x:c r="L387" s="10" t="n">
        <x:f>G387*I387</x:f>
        <x:v>19.95</x:v>
      </x:c>
      <x:c r="M387" s="10" t="n">
        <x:f>ROUND((L387-J387)*H387/G387,2)</x:f>
        <x:v>0</x:v>
      </x:c>
      <x:c r="N387" s="10" t="n">
        <x:f>L387-J387-M387</x:f>
        <x:v>17.96</x:v>
      </x:c>
      <x:c r="O387" s="10" t="n">
        <x:f>(G387-H387)*K387</x:f>
        <x:v>6</x:v>
      </x:c>
      <x:c r="P387" s="10" t="n">
        <x:f>N387-O387</x:f>
        <x:v>11.96</x:v>
      </x:c>
      <x:c r="Q387" s="9" t="n">
        <x:f>A387-WEEKDAY(A387,2)+1</x:f>
        <x:v>46272</x:v>
      </x:c>
      <x:c r="R387" s="2" t="str">
        <x:f>IF(AND(A387&gt;='Review'!$B$4,A387&lt;='Review'!$D$4),"Selected","Outside")</x:f>
        <x:v>Outside</x:v>
      </x:c>
    </x:row>
    <x:row r="388" ht="20" customHeight="1">
      <x:c r="A388" s="9" t="n">
        <x:v>46277</x:v>
      </x:c>
      <x:c r="B388" s="2" t="str">
        <x:v>MM-1284</x:v>
      </x:c>
      <x:c r="C388" s="2" t="str">
        <x:v>Organic Search</x:v>
      </x:c>
      <x:c r="D388" s="2" t="str">
        <x:v>GFT-002</x:v>
      </x:c>
      <x:c r="E388" s="2" t="str">
        <x:f>_xlfn.IFNA(VLOOKUP(D388,'Products'!$A$7:$I$22,2,FALSE),"Unmapped")</x:f>
        <x:v>Cozy weekend gift box</x:v>
      </x:c>
      <x:c r="F388" s="2" t="str">
        <x:f>_xlfn.IFNA(VLOOKUP(D388,'Products'!$A$7:$I$22,3,FALSE),"Unmapped")</x:f>
        <x:v>Gifts</x:v>
      </x:c>
      <x:c r="G388" s="2" t="n">
        <x:v>1</x:v>
      </x:c>
      <x:c r="H388" s="2" t="n">
        <x:v>0</x:v>
      </x:c>
      <x:c r="I388" s="10" t="n">
        <x:v>79.95</x:v>
      </x:c>
      <x:c r="J388" s="10" t="n">
        <x:v>0</x:v>
      </x:c>
      <x:c r="K388" s="10" t="n">
        <x:v>32</x:v>
      </x:c>
      <x:c r="L388" s="10" t="n">
        <x:f>G388*I388</x:f>
        <x:v>79.95</x:v>
      </x:c>
      <x:c r="M388" s="10" t="n">
        <x:f>ROUND((L388-J388)*H388/G388,2)</x:f>
        <x:v>0</x:v>
      </x:c>
      <x:c r="N388" s="10" t="n">
        <x:f>L388-J388-M388</x:f>
        <x:v>79.95</x:v>
      </x:c>
      <x:c r="O388" s="10" t="n">
        <x:f>(G388-H388)*K388</x:f>
        <x:v>32</x:v>
      </x:c>
      <x:c r="P388" s="10" t="n">
        <x:f>N388-O388</x:f>
        <x:v>47.95</x:v>
      </x:c>
      <x:c r="Q388" s="9" t="n">
        <x:f>A388-WEEKDAY(A388,2)+1</x:f>
        <x:v>46272</x:v>
      </x:c>
      <x:c r="R388" s="2" t="str">
        <x:f>IF(AND(A388&gt;='Review'!$B$4,A388&lt;='Review'!$D$4),"Selected","Outside")</x:f>
        <x:v>Outside</x:v>
      </x:c>
    </x:row>
    <x:row r="389" ht="20" customHeight="1">
      <x:c r="A389" s="9" t="n">
        <x:v>46277</x:v>
      </x:c>
      <x:c r="B389" s="2" t="str">
        <x:v>MM-1284</x:v>
      </x:c>
      <x:c r="C389" s="2" t="str">
        <x:v>Organic Search</x:v>
      </x:c>
      <x:c r="D389" s="2" t="str">
        <x:v>HAT-001</x:v>
      </x:c>
      <x:c r="E389" s="2" t="str">
        <x:f>_xlfn.IFNA(VLOOKUP(D389,'Products'!$A$7:$I$22,2,FALSE),"Unmapped")</x:f>
        <x:v>Classic canvas cap</x:v>
      </x:c>
      <x:c r="F389" s="2" t="str">
        <x:f>_xlfn.IFNA(VLOOKUP(D389,'Products'!$A$7:$I$22,3,FALSE),"Unmapped")</x:f>
        <x:v>Accessories</x:v>
      </x:c>
      <x:c r="G389" s="2" t="n">
        <x:v>1</x:v>
      </x:c>
      <x:c r="H389" s="2" t="n">
        <x:v>0</x:v>
      </x:c>
      <x:c r="I389" s="10" t="n">
        <x:v>24.95</x:v>
      </x:c>
      <x:c r="J389" s="10" t="n">
        <x:v>0</x:v>
      </x:c>
      <x:c r="K389" s="10" t="n">
        <x:v>8.5</x:v>
      </x:c>
      <x:c r="L389" s="10" t="n">
        <x:f>G389*I389</x:f>
        <x:v>24.95</x:v>
      </x:c>
      <x:c r="M389" s="10" t="n">
        <x:f>ROUND((L389-J389)*H389/G389,2)</x:f>
        <x:v>0</x:v>
      </x:c>
      <x:c r="N389" s="10" t="n">
        <x:f>L389-J389-M389</x:f>
        <x:v>24.95</x:v>
      </x:c>
      <x:c r="O389" s="10" t="n">
        <x:f>(G389-H389)*K389</x:f>
        <x:v>8.5</x:v>
      </x:c>
      <x:c r="P389" s="10" t="n">
        <x:f>N389-O389</x:f>
        <x:v>16.45</x:v>
      </x:c>
      <x:c r="Q389" s="9" t="n">
        <x:f>A389-WEEKDAY(A389,2)+1</x:f>
        <x:v>46272</x:v>
      </x:c>
      <x:c r="R389" s="2" t="str">
        <x:f>IF(AND(A389&gt;='Review'!$B$4,A389&lt;='Review'!$D$4),"Selected","Outside")</x:f>
        <x:v>Outside</x:v>
      </x:c>
    </x:row>
    <x:row r="390" ht="20" customHeight="1">
      <x:c r="A390" s="9" t="n">
        <x:v>46277</x:v>
      </x:c>
      <x:c r="B390" s="2" t="str">
        <x:v>MM-1284</x:v>
      </x:c>
      <x:c r="C390" s="2" t="str">
        <x:v>Organic Search</x:v>
      </x:c>
      <x:c r="D390" s="2" t="str">
        <x:v>APP-001</x:v>
      </x:c>
      <x:c r="E390" s="2" t="str">
        <x:f>_xlfn.IFNA(VLOOKUP(D390,'Products'!$A$7:$I$22,2,FALSE),"Unmapped")</x:f>
        <x:v>Everyday crewneck</x:v>
      </x:c>
      <x:c r="F390" s="2" t="str">
        <x:f>_xlfn.IFNA(VLOOKUP(D390,'Products'!$A$7:$I$22,3,FALSE),"Unmapped")</x:f>
        <x:v>Apparel</x:v>
      </x:c>
      <x:c r="G390" s="2" t="n">
        <x:v>3</x:v>
      </x:c>
      <x:c r="H390" s="2" t="n">
        <x:v>0</x:v>
      </x:c>
      <x:c r="I390" s="10" t="n">
        <x:v>54.95</x:v>
      </x:c>
      <x:c r="J390" s="10" t="n">
        <x:v>16.48</x:v>
      </x:c>
      <x:c r="K390" s="10" t="n">
        <x:v>22</x:v>
      </x:c>
      <x:c r="L390" s="10" t="n">
        <x:f>G390*I390</x:f>
        <x:v>164.85000000000002</x:v>
      </x:c>
      <x:c r="M390" s="10" t="n">
        <x:f>ROUND((L390-J390)*H390/G390,2)</x:f>
        <x:v>0</x:v>
      </x:c>
      <x:c r="N390" s="10" t="n">
        <x:f>L390-J390-M390</x:f>
        <x:v>148.37000000000003</x:v>
      </x:c>
      <x:c r="O390" s="10" t="n">
        <x:f>(G390-H390)*K390</x:f>
        <x:v>66</x:v>
      </x:c>
      <x:c r="P390" s="10" t="n">
        <x:f>N390-O390</x:f>
        <x:v>82.37000000000003</x:v>
      </x:c>
      <x:c r="Q390" s="9" t="n">
        <x:f>A390-WEEKDAY(A390,2)+1</x:f>
        <x:v>46272</x:v>
      </x:c>
      <x:c r="R390" s="2" t="str">
        <x:f>IF(AND(A390&gt;='Review'!$B$4,A390&lt;='Review'!$D$4),"Selected","Outside")</x:f>
        <x:v>Outside</x:v>
      </x:c>
    </x:row>
    <x:row r="391" ht="20" customHeight="1">
      <x:c r="A391" s="9" t="n">
        <x:v>46277</x:v>
      </x:c>
      <x:c r="B391" s="2" t="str">
        <x:v>MM-1289</x:v>
      </x:c>
      <x:c r="C391" s="2" t="str">
        <x:v>Email</x:v>
      </x:c>
      <x:c r="D391" s="2" t="str">
        <x:v>MUG-001</x:v>
      </x:c>
      <x:c r="E391" s="2" t="str">
        <x:f>_xlfn.IFNA(VLOOKUP(D391,'Products'!$A$7:$I$22,2,FALSE),"Unmapped")</x:f>
        <x:v>Everyday ceramic mug</x:v>
      </x:c>
      <x:c r="F391" s="2" t="str">
        <x:f>_xlfn.IFNA(VLOOKUP(D391,'Products'!$A$7:$I$22,3,FALSE),"Unmapped")</x:f>
        <x:v>Drinkware</x:v>
      </x:c>
      <x:c r="G391" s="2" t="n">
        <x:v>1</x:v>
      </x:c>
      <x:c r="H391" s="2" t="n">
        <x:v>0</x:v>
      </x:c>
      <x:c r="I391" s="10" t="n">
        <x:v>18.95</x:v>
      </x:c>
      <x:c r="J391" s="10" t="n">
        <x:v>1.89</x:v>
      </x:c>
      <x:c r="K391" s="10" t="n">
        <x:v>6.5</x:v>
      </x:c>
      <x:c r="L391" s="10" t="n">
        <x:f>G391*I391</x:f>
        <x:v>18.95</x:v>
      </x:c>
      <x:c r="M391" s="10" t="n">
        <x:f>ROUND((L391-J391)*H391/G391,2)</x:f>
        <x:v>0</x:v>
      </x:c>
      <x:c r="N391" s="10" t="n">
        <x:f>L391-J391-M391</x:f>
        <x:v>17.06</x:v>
      </x:c>
      <x:c r="O391" s="10" t="n">
        <x:f>(G391-H391)*K391</x:f>
        <x:v>6.5</x:v>
      </x:c>
      <x:c r="P391" s="10" t="n">
        <x:f>N391-O391</x:f>
        <x:v>10.559999999999999</x:v>
      </x:c>
      <x:c r="Q391" s="9" t="n">
        <x:f>A391-WEEKDAY(A391,2)+1</x:f>
        <x:v>46272</x:v>
      </x:c>
      <x:c r="R391" s="2" t="str">
        <x:f>IF(AND(A391&gt;='Review'!$B$4,A391&lt;='Review'!$D$4),"Selected","Outside")</x:f>
        <x:v>Outside</x:v>
      </x:c>
    </x:row>
    <x:row r="392" ht="20" customHeight="1">
      <x:c r="A392" s="9" t="n">
        <x:v>46277</x:v>
      </x:c>
      <x:c r="B392" s="2" t="str">
        <x:v>MM-1283</x:v>
      </x:c>
      <x:c r="C392" s="2" t="str">
        <x:v>Email</x:v>
      </x:c>
      <x:c r="D392" s="2" t="str">
        <x:v>MUG-002</x:v>
      </x:c>
      <x:c r="E392" s="2" t="str">
        <x:f>_xlfn.IFNA(VLOOKUP(D392,'Products'!$A$7:$I$22,2,FALSE),"Unmapped")</x:f>
        <x:v>Campfire enamel mug</x:v>
      </x:c>
      <x:c r="F392" s="2" t="str">
        <x:f>_xlfn.IFNA(VLOOKUP(D392,'Products'!$A$7:$I$22,3,FALSE),"Unmapped")</x:f>
        <x:v>Drinkware</x:v>
      </x:c>
      <x:c r="G392" s="2" t="n">
        <x:v>1</x:v>
      </x:c>
      <x:c r="H392" s="2" t="n">
        <x:v>0</x:v>
      </x:c>
      <x:c r="I392" s="10" t="n">
        <x:v>22.95</x:v>
      </x:c>
      <x:c r="J392" s="10" t="n">
        <x:v>2.29</x:v>
      </x:c>
      <x:c r="K392" s="10" t="n">
        <x:v>8.5</x:v>
      </x:c>
      <x:c r="L392" s="10" t="n">
        <x:f>G392*I392</x:f>
        <x:v>22.95</x:v>
      </x:c>
      <x:c r="M392" s="10" t="n">
        <x:f>ROUND((L392-J392)*H392/G392,2)</x:f>
        <x:v>0</x:v>
      </x:c>
      <x:c r="N392" s="10" t="n">
        <x:f>L392-J392-M392</x:f>
        <x:v>20.66</x:v>
      </x:c>
      <x:c r="O392" s="10" t="n">
        <x:f>(G392-H392)*K392</x:f>
        <x:v>8.5</x:v>
      </x:c>
      <x:c r="P392" s="10" t="n">
        <x:f>N392-O392</x:f>
        <x:v>12.16</x:v>
      </x:c>
      <x:c r="Q392" s="9" t="n">
        <x:f>A392-WEEKDAY(A392,2)+1</x:f>
        <x:v>46272</x:v>
      </x:c>
      <x:c r="R392" s="2" t="str">
        <x:f>IF(AND(A392&gt;='Review'!$B$4,A392&lt;='Review'!$D$4),"Selected","Outside")</x:f>
        <x:v>Outside</x:v>
      </x:c>
    </x:row>
    <x:row r="393" ht="20" customHeight="1">
      <x:c r="A393" s="9" t="n">
        <x:v>46277</x:v>
      </x:c>
      <x:c r="B393" s="2" t="str">
        <x:v>MM-1283</x:v>
      </x:c>
      <x:c r="C393" s="2" t="str">
        <x:v>Email</x:v>
      </x:c>
      <x:c r="D393" s="2" t="str">
        <x:v>BOT-001</x:v>
      </x:c>
      <x:c r="E393" s="2" t="str">
        <x:f>_xlfn.IFNA(VLOOKUP(D393,'Products'!$A$7:$I$22,2,FALSE),"Unmapped")</x:f>
        <x:v>Trail water bottle</x:v>
      </x:c>
      <x:c r="F393" s="2" t="str">
        <x:f>_xlfn.IFNA(VLOOKUP(D393,'Products'!$A$7:$I$22,3,FALSE),"Unmapped")</x:f>
        <x:v>Drinkware</x:v>
      </x:c>
      <x:c r="G393" s="2" t="n">
        <x:v>1</x:v>
      </x:c>
      <x:c r="H393" s="2" t="n">
        <x:v>0</x:v>
      </x:c>
      <x:c r="I393" s="10" t="n">
        <x:v>34.95</x:v>
      </x:c>
      <x:c r="J393" s="10" t="n">
        <x:v>3.49</x:v>
      </x:c>
      <x:c r="K393" s="10" t="n">
        <x:v>13.5</x:v>
      </x:c>
      <x:c r="L393" s="10" t="n">
        <x:f>G393*I393</x:f>
        <x:v>34.95</x:v>
      </x:c>
      <x:c r="M393" s="10" t="n">
        <x:f>ROUND((L393-J393)*H393/G393,2)</x:f>
        <x:v>0</x:v>
      </x:c>
      <x:c r="N393" s="10" t="n">
        <x:f>L393-J393-M393</x:f>
        <x:v>31.46</x:v>
      </x:c>
      <x:c r="O393" s="10" t="n">
        <x:f>(G393-H393)*K393</x:f>
        <x:v>13.5</x:v>
      </x:c>
      <x:c r="P393" s="10" t="n">
        <x:f>N393-O393</x:f>
        <x:v>17.96</x:v>
      </x:c>
      <x:c r="Q393" s="9" t="n">
        <x:f>A393-WEEKDAY(A393,2)+1</x:f>
        <x:v>46272</x:v>
      </x:c>
      <x:c r="R393" s="2" t="str">
        <x:f>IF(AND(A393&gt;='Review'!$B$4,A393&lt;='Review'!$D$4),"Selected","Outside")</x:f>
        <x:v>Outside</x:v>
      </x:c>
    </x:row>
    <x:row r="394" ht="20" customHeight="1">
      <x:c r="A394" s="9" t="n">
        <x:v>46277</x:v>
      </x:c>
      <x:c r="B394" s="2" t="str">
        <x:v>MM-1283</x:v>
      </x:c>
      <x:c r="C394" s="2" t="str">
        <x:v>Email</x:v>
      </x:c>
      <x:c r="D394" s="2" t="str">
        <x:v>GFT-001</x:v>
      </x:c>
      <x:c r="E394" s="2" t="str">
        <x:f>_xlfn.IFNA(VLOOKUP(D394,'Products'!$A$7:$I$22,2,FALSE),"Unmapped")</x:f>
        <x:v>Morning ritual gift set</x:v>
      </x:c>
      <x:c r="F394" s="2" t="str">
        <x:f>_xlfn.IFNA(VLOOKUP(D394,'Products'!$A$7:$I$22,3,FALSE),"Unmapped")</x:f>
        <x:v>Gifts</x:v>
      </x:c>
      <x:c r="G394" s="2" t="n">
        <x:v>1</x:v>
      </x:c>
      <x:c r="H394" s="2" t="n">
        <x:v>0</x:v>
      </x:c>
      <x:c r="I394" s="10" t="n">
        <x:v>59.95</x:v>
      </x:c>
      <x:c r="J394" s="10" t="n">
        <x:v>5.99</x:v>
      </x:c>
      <x:c r="K394" s="10" t="n">
        <x:v>24</x:v>
      </x:c>
      <x:c r="L394" s="10" t="n">
        <x:f>G394*I394</x:f>
        <x:v>59.95</x:v>
      </x:c>
      <x:c r="M394" s="10" t="n">
        <x:f>ROUND((L394-J394)*H394/G394,2)</x:f>
        <x:v>0</x:v>
      </x:c>
      <x:c r="N394" s="10" t="n">
        <x:f>L394-J394-M394</x:f>
        <x:v>53.96</x:v>
      </x:c>
      <x:c r="O394" s="10" t="n">
        <x:f>(G394-H394)*K394</x:f>
        <x:v>24</x:v>
      </x:c>
      <x:c r="P394" s="10" t="n">
        <x:f>N394-O394</x:f>
        <x:v>29.96</x:v>
      </x:c>
      <x:c r="Q394" s="9" t="n">
        <x:f>A394-WEEKDAY(A394,2)+1</x:f>
        <x:v>46272</x:v>
      </x:c>
      <x:c r="R394" s="2" t="str">
        <x:f>IF(AND(A394&gt;='Review'!$B$4,A394&lt;='Review'!$D$4),"Selected","Outside")</x:f>
        <x:v>Outside</x:v>
      </x:c>
    </x:row>
    <x:row r="395" ht="20" customHeight="1">
      <x:c r="A395" s="9" t="n">
        <x:v>46277</x:v>
      </x:c>
      <x:c r="B395" s="2" t="str">
        <x:v>MM-1291</x:v>
      </x:c>
      <x:c r="C395" s="2" t="str">
        <x:v>Email</x:v>
      </x:c>
      <x:c r="D395" s="2" t="str">
        <x:v>PIN-001</x:v>
      </x:c>
      <x:c r="E395" s="2" t="str">
        <x:f>_xlfn.IFNA(VLOOKUP(D395,'Products'!$A$7:$I$22,2,FALSE),"Unmapped")</x:f>
        <x:v>Coffee enamel pin</x:v>
      </x:c>
      <x:c r="F395" s="2" t="str">
        <x:f>_xlfn.IFNA(VLOOKUP(D395,'Products'!$A$7:$I$22,3,FALSE),"Unmapped")</x:f>
        <x:v>Accessories</x:v>
      </x:c>
      <x:c r="G395" s="2" t="n">
        <x:v>2</x:v>
      </x:c>
      <x:c r="H395" s="2" t="n">
        <x:v>0</x:v>
      </x:c>
      <x:c r="I395" s="10" t="n">
        <x:v>9.95</x:v>
      </x:c>
      <x:c r="J395" s="10" t="n">
        <x:v>1.99</x:v>
      </x:c>
      <x:c r="K395" s="10" t="n">
        <x:v>2.5</x:v>
      </x:c>
      <x:c r="L395" s="10" t="n">
        <x:f>G395*I395</x:f>
        <x:v>19.9</x:v>
      </x:c>
      <x:c r="M395" s="10" t="n">
        <x:f>ROUND((L395-J395)*H395/G395,2)</x:f>
        <x:v>0</x:v>
      </x:c>
      <x:c r="N395" s="10" t="n">
        <x:f>L395-J395-M395</x:f>
        <x:v>17.91</x:v>
      </x:c>
      <x:c r="O395" s="10" t="n">
        <x:f>(G395-H395)*K395</x:f>
        <x:v>5</x:v>
      </x:c>
      <x:c r="P395" s="10" t="n">
        <x:f>N395-O395</x:f>
        <x:v>12.91</x:v>
      </x:c>
      <x:c r="Q395" s="9" t="n">
        <x:f>A395-WEEKDAY(A395,2)+1</x:f>
        <x:v>46272</x:v>
      </x:c>
      <x:c r="R395" s="2" t="str">
        <x:f>IF(AND(A395&gt;='Review'!$B$4,A395&lt;='Review'!$D$4),"Selected","Outside")</x:f>
        <x:v>Outside</x:v>
      </x:c>
    </x:row>
    <x:row r="396" ht="20" customHeight="1">
      <x:c r="A396" s="9" t="n">
        <x:v>46277</x:v>
      </x:c>
      <x:c r="B396" s="2" t="str">
        <x:v>MM-1291</x:v>
      </x:c>
      <x:c r="C396" s="2" t="str">
        <x:v>Email</x:v>
      </x:c>
      <x:c r="D396" s="2" t="str">
        <x:v>APP-003</x:v>
      </x:c>
      <x:c r="E396" s="2" t="str">
        <x:f>_xlfn.IFNA(VLOOKUP(D396,'Products'!$A$7:$I$22,2,FALSE),"Unmapped")</x:f>
        <x:v>Coffee club tee</x:v>
      </x:c>
      <x:c r="F396" s="2" t="str">
        <x:f>_xlfn.IFNA(VLOOKUP(D396,'Products'!$A$7:$I$22,3,FALSE),"Unmapped")</x:f>
        <x:v>Apparel</x:v>
      </x:c>
      <x:c r="G396" s="2" t="n">
        <x:v>1</x:v>
      </x:c>
      <x:c r="H396" s="2" t="n">
        <x:v>0</x:v>
      </x:c>
      <x:c r="I396" s="10" t="n">
        <x:v>29.95</x:v>
      </x:c>
      <x:c r="J396" s="10" t="n">
        <x:v>2.99</x:v>
      </x:c>
      <x:c r="K396" s="10" t="n">
        <x:v>10</x:v>
      </x:c>
      <x:c r="L396" s="10" t="n">
        <x:f>G396*I396</x:f>
        <x:v>29.95</x:v>
      </x:c>
      <x:c r="M396" s="10" t="n">
        <x:f>ROUND((L396-J396)*H396/G396,2)</x:f>
        <x:v>0</x:v>
      </x:c>
      <x:c r="N396" s="10" t="n">
        <x:f>L396-J396-M396</x:f>
        <x:v>26.96</x:v>
      </x:c>
      <x:c r="O396" s="10" t="n">
        <x:f>(G396-H396)*K396</x:f>
        <x:v>10</x:v>
      </x:c>
      <x:c r="P396" s="10" t="n">
        <x:f>N396-O396</x:f>
        <x:v>16.96</x:v>
      </x:c>
      <x:c r="Q396" s="9" t="n">
        <x:f>A396-WEEKDAY(A396,2)+1</x:f>
        <x:v>46272</x:v>
      </x:c>
      <x:c r="R396" s="2" t="str">
        <x:f>IF(AND(A396&gt;='Review'!$B$4,A396&lt;='Review'!$D$4),"Selected","Outside")</x:f>
        <x:v>Outside</x:v>
      </x:c>
    </x:row>
    <x:row r="397" ht="20" customHeight="1">
      <x:c r="A397" s="9" t="n">
        <x:v>46277</x:v>
      </x:c>
      <x:c r="B397" s="2" t="str">
        <x:v>MM-1287</x:v>
      </x:c>
      <x:c r="C397" s="2" t="str">
        <x:v>Organic Search</x:v>
      </x:c>
      <x:c r="D397" s="2" t="str">
        <x:v>TOTE-001</x:v>
      </x:c>
      <x:c r="E397" s="2" t="str">
        <x:f>_xlfn.IFNA(VLOOKUP(D397,'Products'!$A$7:$I$22,2,FALSE),"Unmapped")</x:f>
        <x:v>Market canvas tote</x:v>
      </x:c>
      <x:c r="F397" s="2" t="str">
        <x:f>_xlfn.IFNA(VLOOKUP(D397,'Products'!$A$7:$I$22,3,FALSE),"Unmapped")</x:f>
        <x:v>Accessories</x:v>
      </x:c>
      <x:c r="G397" s="2" t="n">
        <x:v>1</x:v>
      </x:c>
      <x:c r="H397" s="2" t="n">
        <x:v>0</x:v>
      </x:c>
      <x:c r="I397" s="10" t="n">
        <x:v>19.95</x:v>
      </x:c>
      <x:c r="J397" s="10" t="n">
        <x:v>0</x:v>
      </x:c>
      <x:c r="K397" s="10" t="n">
        <x:v>6</x:v>
      </x:c>
      <x:c r="L397" s="10" t="n">
        <x:f>G397*I397</x:f>
        <x:v>19.95</x:v>
      </x:c>
      <x:c r="M397" s="10" t="n">
        <x:f>ROUND((L397-J397)*H397/G397,2)</x:f>
        <x:v>0</x:v>
      </x:c>
      <x:c r="N397" s="10" t="n">
        <x:f>L397-J397-M397</x:f>
        <x:v>19.95</x:v>
      </x:c>
      <x:c r="O397" s="10" t="n">
        <x:f>(G397-H397)*K397</x:f>
        <x:v>6</x:v>
      </x:c>
      <x:c r="P397" s="10" t="n">
        <x:f>N397-O397</x:f>
        <x:v>13.95</x:v>
      </x:c>
      <x:c r="Q397" s="9" t="n">
        <x:f>A397-WEEKDAY(A397,2)+1</x:f>
        <x:v>46272</x:v>
      </x:c>
      <x:c r="R397" s="2" t="str">
        <x:f>IF(AND(A397&gt;='Review'!$B$4,A397&lt;='Review'!$D$4),"Selected","Outside")</x:f>
        <x:v>Outside</x:v>
      </x:c>
    </x:row>
    <x:row r="398" ht="20" customHeight="1">
      <x:c r="A398" s="9" t="n">
        <x:v>46278</x:v>
      </x:c>
      <x:c r="B398" s="2" t="str">
        <x:v>MM-1298</x:v>
      </x:c>
      <x:c r="C398" s="2" t="str">
        <x:v>Organic Search</x:v>
      </x:c>
      <x:c r="D398" s="2" t="str">
        <x:v>HAT-001</x:v>
      </x:c>
      <x:c r="E398" s="2" t="str">
        <x:f>_xlfn.IFNA(VLOOKUP(D398,'Products'!$A$7:$I$22,2,FALSE),"Unmapped")</x:f>
        <x:v>Classic canvas cap</x:v>
      </x:c>
      <x:c r="F398" s="2" t="str">
        <x:f>_xlfn.IFNA(VLOOKUP(D398,'Products'!$A$7:$I$22,3,FALSE),"Unmapped")</x:f>
        <x:v>Accessories</x:v>
      </x:c>
      <x:c r="G398" s="2" t="n">
        <x:v>1</x:v>
      </x:c>
      <x:c r="H398" s="2" t="n">
        <x:v>0</x:v>
      </x:c>
      <x:c r="I398" s="10" t="n">
        <x:v>24.95</x:v>
      </x:c>
      <x:c r="J398" s="10" t="n">
        <x:v>0</x:v>
      </x:c>
      <x:c r="K398" s="10" t="n">
        <x:v>8.5</x:v>
      </x:c>
      <x:c r="L398" s="10" t="n">
        <x:f>G398*I398</x:f>
        <x:v>24.95</x:v>
      </x:c>
      <x:c r="M398" s="10" t="n">
        <x:f>ROUND((L398-J398)*H398/G398,2)</x:f>
        <x:v>0</x:v>
      </x:c>
      <x:c r="N398" s="10" t="n">
        <x:f>L398-J398-M398</x:f>
        <x:v>24.95</x:v>
      </x:c>
      <x:c r="O398" s="10" t="n">
        <x:f>(G398-H398)*K398</x:f>
        <x:v>8.5</x:v>
      </x:c>
      <x:c r="P398" s="10" t="n">
        <x:f>N398-O398</x:f>
        <x:v>16.45</x:v>
      </x:c>
      <x:c r="Q398" s="9" t="n">
        <x:f>A398-WEEKDAY(A398,2)+1</x:f>
        <x:v>46272</x:v>
      </x:c>
      <x:c r="R398" s="2" t="str">
        <x:f>IF(AND(A398&gt;='Review'!$B$4,A398&lt;='Review'!$D$4),"Selected","Outside")</x:f>
        <x:v>Outside</x:v>
      </x:c>
    </x:row>
    <x:row r="399" ht="20" customHeight="1">
      <x:c r="A399" s="9" t="n">
        <x:v>46278</x:v>
      </x:c>
      <x:c r="B399" s="2" t="str">
        <x:v>MM-1293</x:v>
      </x:c>
      <x:c r="C399" s="2" t="str">
        <x:v>Organic Search</x:v>
      </x:c>
      <x:c r="D399" s="2" t="str">
        <x:v>TOTE-001</x:v>
      </x:c>
      <x:c r="E399" s="2" t="str">
        <x:f>_xlfn.IFNA(VLOOKUP(D399,'Products'!$A$7:$I$22,2,FALSE),"Unmapped")</x:f>
        <x:v>Market canvas tote</x:v>
      </x:c>
      <x:c r="F399" s="2" t="str">
        <x:f>_xlfn.IFNA(VLOOKUP(D399,'Products'!$A$7:$I$22,3,FALSE),"Unmapped")</x:f>
        <x:v>Accessories</x:v>
      </x:c>
      <x:c r="G399" s="2" t="n">
        <x:v>1</x:v>
      </x:c>
      <x:c r="H399" s="2" t="n">
        <x:v>0</x:v>
      </x:c>
      <x:c r="I399" s="10" t="n">
        <x:v>19.95</x:v>
      </x:c>
      <x:c r="J399" s="10" t="n">
        <x:v>1.99</x:v>
      </x:c>
      <x:c r="K399" s="10" t="n">
        <x:v>6</x:v>
      </x:c>
      <x:c r="L399" s="10" t="n">
        <x:f>G399*I399</x:f>
        <x:v>19.95</x:v>
      </x:c>
      <x:c r="M399" s="10" t="n">
        <x:f>ROUND((L399-J399)*H399/G399,2)</x:f>
        <x:v>0</x:v>
      </x:c>
      <x:c r="N399" s="10" t="n">
        <x:f>L399-J399-M399</x:f>
        <x:v>17.96</x:v>
      </x:c>
      <x:c r="O399" s="10" t="n">
        <x:f>(G399-H399)*K399</x:f>
        <x:v>6</x:v>
      </x:c>
      <x:c r="P399" s="10" t="n">
        <x:f>N399-O399</x:f>
        <x:v>11.96</x:v>
      </x:c>
      <x:c r="Q399" s="9" t="n">
        <x:f>A399-WEEKDAY(A399,2)+1</x:f>
        <x:v>46272</x:v>
      </x:c>
      <x:c r="R399" s="2" t="str">
        <x:f>IF(AND(A399&gt;='Review'!$B$4,A399&lt;='Review'!$D$4),"Selected","Outside")</x:f>
        <x:v>Outside</x:v>
      </x:c>
    </x:row>
    <x:row r="400" ht="20" customHeight="1">
      <x:c r="A400" s="9" t="n">
        <x:v>46278</x:v>
      </x:c>
      <x:c r="B400" s="2" t="str">
        <x:v>MM-1293</x:v>
      </x:c>
      <x:c r="C400" s="2" t="str">
        <x:v>Organic Search</x:v>
      </x:c>
      <x:c r="D400" s="2" t="str">
        <x:v>APP-003</x:v>
      </x:c>
      <x:c r="E400" s="2" t="str">
        <x:f>_xlfn.IFNA(VLOOKUP(D400,'Products'!$A$7:$I$22,2,FALSE),"Unmapped")</x:f>
        <x:v>Coffee club tee</x:v>
      </x:c>
      <x:c r="F400" s="2" t="str">
        <x:f>_xlfn.IFNA(VLOOKUP(D400,'Products'!$A$7:$I$22,3,FALSE),"Unmapped")</x:f>
        <x:v>Apparel</x:v>
      </x:c>
      <x:c r="G400" s="2" t="n">
        <x:v>1</x:v>
      </x:c>
      <x:c r="H400" s="2" t="n">
        <x:v>0</x:v>
      </x:c>
      <x:c r="I400" s="10" t="n">
        <x:v>29.95</x:v>
      </x:c>
      <x:c r="J400" s="10" t="n">
        <x:v>0</x:v>
      </x:c>
      <x:c r="K400" s="10" t="n">
        <x:v>10</x:v>
      </x:c>
      <x:c r="L400" s="10" t="n">
        <x:f>G400*I400</x:f>
        <x:v>29.95</x:v>
      </x:c>
      <x:c r="M400" s="10" t="n">
        <x:f>ROUND((L400-J400)*H400/G400,2)</x:f>
        <x:v>0</x:v>
      </x:c>
      <x:c r="N400" s="10" t="n">
        <x:f>L400-J400-M400</x:f>
        <x:v>29.95</x:v>
      </x:c>
      <x:c r="O400" s="10" t="n">
        <x:f>(G400-H400)*K400</x:f>
        <x:v>10</x:v>
      </x:c>
      <x:c r="P400" s="10" t="n">
        <x:f>N400-O400</x:f>
        <x:v>19.95</x:v>
      </x:c>
      <x:c r="Q400" s="9" t="n">
        <x:f>A400-WEEKDAY(A400,2)+1</x:f>
        <x:v>46272</x:v>
      </x:c>
      <x:c r="R400" s="2" t="str">
        <x:f>IF(AND(A400&gt;='Review'!$B$4,A400&lt;='Review'!$D$4),"Selected","Outside")</x:f>
        <x:v>Outside</x:v>
      </x:c>
    </x:row>
    <x:row r="401" ht="20" customHeight="1">
      <x:c r="A401" s="9" t="n">
        <x:v>46278</x:v>
      </x:c>
      <x:c r="B401" s="2" t="str">
        <x:v>MM-1302</x:v>
      </x:c>
      <x:c r="C401" s="2" t="str">
        <x:v>Email</x:v>
      </x:c>
      <x:c r="D401" s="2" t="str">
        <x:v>TUM-002</x:v>
      </x:c>
      <x:c r="E401" s="2" t="str">
        <x:f>_xlfn.IFNA(VLOOKUP(D401,'Products'!$A$7:$I$22,2,FALSE),"Unmapped")</x:f>
        <x:v>Cold brew glass cup</x:v>
      </x:c>
      <x:c r="F401" s="2" t="str">
        <x:f>_xlfn.IFNA(VLOOKUP(D401,'Products'!$A$7:$I$22,3,FALSE),"Unmapped")</x:f>
        <x:v>Drinkware</x:v>
      </x:c>
      <x:c r="G401" s="2" t="n">
        <x:v>1</x:v>
      </x:c>
      <x:c r="H401" s="2" t="n">
        <x:v>0</x:v>
      </x:c>
      <x:c r="I401" s="10" t="n">
        <x:v>24.95</x:v>
      </x:c>
      <x:c r="J401" s="10" t="n">
        <x:v>2.49</x:v>
      </x:c>
      <x:c r="K401" s="10" t="n">
        <x:v>9</x:v>
      </x:c>
      <x:c r="L401" s="10" t="n">
        <x:f>G401*I401</x:f>
        <x:v>24.95</x:v>
      </x:c>
      <x:c r="M401" s="10" t="n">
        <x:f>ROUND((L401-J401)*H401/G401,2)</x:f>
        <x:v>0</x:v>
      </x:c>
      <x:c r="N401" s="10" t="n">
        <x:f>L401-J401-M401</x:f>
        <x:v>22.46</x:v>
      </x:c>
      <x:c r="O401" s="10" t="n">
        <x:f>(G401-H401)*K401</x:f>
        <x:v>9</x:v>
      </x:c>
      <x:c r="P401" s="10" t="n">
        <x:f>N401-O401</x:f>
        <x:v>13.46</x:v>
      </x:c>
      <x:c r="Q401" s="9" t="n">
        <x:f>A401-WEEKDAY(A401,2)+1</x:f>
        <x:v>46272</x:v>
      </x:c>
      <x:c r="R401" s="2" t="str">
        <x:f>IF(AND(A401&gt;='Review'!$B$4,A401&lt;='Review'!$D$4),"Selected","Outside")</x:f>
        <x:v>Outside</x:v>
      </x:c>
    </x:row>
    <x:row r="402" ht="20" customHeight="1">
      <x:c r="A402" s="9" t="n">
        <x:v>46278</x:v>
      </x:c>
      <x:c r="B402" s="2" t="str">
        <x:v>MM-1305</x:v>
      </x:c>
      <x:c r="C402" s="2" t="str">
        <x:v>Organic Search</x:v>
      </x:c>
      <x:c r="D402" s="2" t="str">
        <x:v>MUG-001</x:v>
      </x:c>
      <x:c r="E402" s="2" t="str">
        <x:f>_xlfn.IFNA(VLOOKUP(D402,'Products'!$A$7:$I$22,2,FALSE),"Unmapped")</x:f>
        <x:v>Everyday ceramic mug</x:v>
      </x:c>
      <x:c r="F402" s="2" t="str">
        <x:f>_xlfn.IFNA(VLOOKUP(D402,'Products'!$A$7:$I$22,3,FALSE),"Unmapped")</x:f>
        <x:v>Drinkware</x:v>
      </x:c>
      <x:c r="G402" s="2" t="n">
        <x:v>2</x:v>
      </x:c>
      <x:c r="H402" s="2" t="n">
        <x:v>0</x:v>
      </x:c>
      <x:c r="I402" s="10" t="n">
        <x:v>18.95</x:v>
      </x:c>
      <x:c r="J402" s="10" t="n">
        <x:v>0</x:v>
      </x:c>
      <x:c r="K402" s="10" t="n">
        <x:v>6.5</x:v>
      </x:c>
      <x:c r="L402" s="10" t="n">
        <x:f>G402*I402</x:f>
        <x:v>37.9</x:v>
      </x:c>
      <x:c r="M402" s="10" t="n">
        <x:f>ROUND((L402-J402)*H402/G402,2)</x:f>
        <x:v>0</x:v>
      </x:c>
      <x:c r="N402" s="10" t="n">
        <x:f>L402-J402-M402</x:f>
        <x:v>37.9</x:v>
      </x:c>
      <x:c r="O402" s="10" t="n">
        <x:f>(G402-H402)*K402</x:f>
        <x:v>13</x:v>
      </x:c>
      <x:c r="P402" s="10" t="n">
        <x:f>N402-O402</x:f>
        <x:v>24.9</x:v>
      </x:c>
      <x:c r="Q402" s="9" t="n">
        <x:f>A402-WEEKDAY(A402,2)+1</x:f>
        <x:v>46272</x:v>
      </x:c>
      <x:c r="R402" s="2" t="str">
        <x:f>IF(AND(A402&gt;='Review'!$B$4,A402&lt;='Review'!$D$4),"Selected","Outside")</x:f>
        <x:v>Outside</x:v>
      </x:c>
    </x:row>
    <x:row r="403" ht="20" customHeight="1">
      <x:c r="A403" s="9" t="n">
        <x:v>46278</x:v>
      </x:c>
      <x:c r="B403" s="2" t="str">
        <x:v>MM-1294</x:v>
      </x:c>
      <x:c r="C403" s="2" t="str">
        <x:v>Paid Social</x:v>
      </x:c>
      <x:c r="D403" s="2" t="str">
        <x:v>TOTE-001</x:v>
      </x:c>
      <x:c r="E403" s="2" t="str">
        <x:f>_xlfn.IFNA(VLOOKUP(D403,'Products'!$A$7:$I$22,2,FALSE),"Unmapped")</x:f>
        <x:v>Market canvas tote</x:v>
      </x:c>
      <x:c r="F403" s="2" t="str">
        <x:f>_xlfn.IFNA(VLOOKUP(D403,'Products'!$A$7:$I$22,3,FALSE),"Unmapped")</x:f>
        <x:v>Accessories</x:v>
      </x:c>
      <x:c r="G403" s="2" t="n">
        <x:v>2</x:v>
      </x:c>
      <x:c r="H403" s="2" t="n">
        <x:v>0</x:v>
      </x:c>
      <x:c r="I403" s="10" t="n">
        <x:v>19.95</x:v>
      </x:c>
      <x:c r="J403" s="10" t="n">
        <x:v>0</x:v>
      </x:c>
      <x:c r="K403" s="10" t="n">
        <x:v>6</x:v>
      </x:c>
      <x:c r="L403" s="10" t="n">
        <x:f>G403*I403</x:f>
        <x:v>39.9</x:v>
      </x:c>
      <x:c r="M403" s="10" t="n">
        <x:f>ROUND((L403-J403)*H403/G403,2)</x:f>
        <x:v>0</x:v>
      </x:c>
      <x:c r="N403" s="10" t="n">
        <x:f>L403-J403-M403</x:f>
        <x:v>39.9</x:v>
      </x:c>
      <x:c r="O403" s="10" t="n">
        <x:f>(G403-H403)*K403</x:f>
        <x:v>12</x:v>
      </x:c>
      <x:c r="P403" s="10" t="n">
        <x:f>N403-O403</x:f>
        <x:v>27.9</x:v>
      </x:c>
      <x:c r="Q403" s="9" t="n">
        <x:f>A403-WEEKDAY(A403,2)+1</x:f>
        <x:v>46272</x:v>
      </x:c>
      <x:c r="R403" s="2" t="str">
        <x:f>IF(AND(A403&gt;='Review'!$B$4,A403&lt;='Review'!$D$4),"Selected","Outside")</x:f>
        <x:v>Outside</x:v>
      </x:c>
    </x:row>
    <x:row r="404" ht="20" customHeight="1">
      <x:c r="A404" s="9" t="n">
        <x:v>46278</x:v>
      </x:c>
      <x:c r="B404" s="2" t="str">
        <x:v>MM-1292</x:v>
      </x:c>
      <x:c r="C404" s="2" t="str">
        <x:v>Direct</x:v>
      </x:c>
      <x:c r="D404" s="2" t="str">
        <x:v>MUG-002</x:v>
      </x:c>
      <x:c r="E404" s="2" t="str">
        <x:f>_xlfn.IFNA(VLOOKUP(D404,'Products'!$A$7:$I$22,2,FALSE),"Unmapped")</x:f>
        <x:v>Campfire enamel mug</x:v>
      </x:c>
      <x:c r="F404" s="2" t="str">
        <x:f>_xlfn.IFNA(VLOOKUP(D404,'Products'!$A$7:$I$22,3,FALSE),"Unmapped")</x:f>
        <x:v>Drinkware</x:v>
      </x:c>
      <x:c r="G404" s="2" t="n">
        <x:v>1</x:v>
      </x:c>
      <x:c r="H404" s="2" t="n">
        <x:v>0</x:v>
      </x:c>
      <x:c r="I404" s="10" t="n">
        <x:v>22.95</x:v>
      </x:c>
      <x:c r="J404" s="10" t="n">
        <x:v>2.29</x:v>
      </x:c>
      <x:c r="K404" s="10" t="n">
        <x:v>8.5</x:v>
      </x:c>
      <x:c r="L404" s="10" t="n">
        <x:f>G404*I404</x:f>
        <x:v>22.95</x:v>
      </x:c>
      <x:c r="M404" s="10" t="n">
        <x:f>ROUND((L404-J404)*H404/G404,2)</x:f>
        <x:v>0</x:v>
      </x:c>
      <x:c r="N404" s="10" t="n">
        <x:f>L404-J404-M404</x:f>
        <x:v>20.66</x:v>
      </x:c>
      <x:c r="O404" s="10" t="n">
        <x:f>(G404-H404)*K404</x:f>
        <x:v>8.5</x:v>
      </x:c>
      <x:c r="P404" s="10" t="n">
        <x:f>N404-O404</x:f>
        <x:v>12.16</x:v>
      </x:c>
      <x:c r="Q404" s="9" t="n">
        <x:f>A404-WEEKDAY(A404,2)+1</x:f>
        <x:v>46272</x:v>
      </x:c>
      <x:c r="R404" s="2" t="str">
        <x:f>IF(AND(A404&gt;='Review'!$B$4,A404&lt;='Review'!$D$4),"Selected","Outside")</x:f>
        <x:v>Outside</x:v>
      </x:c>
    </x:row>
    <x:row r="405" ht="20" customHeight="1">
      <x:c r="A405" s="9" t="n">
        <x:v>46278</x:v>
      </x:c>
      <x:c r="B405" s="2" t="str">
        <x:v>MM-1304</x:v>
      </x:c>
      <x:c r="C405" s="2" t="str">
        <x:v>Organic Search</x:v>
      </x:c>
      <x:c r="D405" s="2" t="str">
        <x:v>TUM-001</x:v>
      </x:c>
      <x:c r="E405" s="2" t="str">
        <x:f>_xlfn.IFNA(VLOOKUP(D405,'Products'!$A$7:$I$22,2,FALSE),"Unmapped")</x:f>
        <x:v>Maple travel tumbler</x:v>
      </x:c>
      <x:c r="F405" s="2" t="str">
        <x:f>_xlfn.IFNA(VLOOKUP(D405,'Products'!$A$7:$I$22,3,FALSE),"Unmapped")</x:f>
        <x:v>Drinkware</x:v>
      </x:c>
      <x:c r="G405" s="2" t="n">
        <x:v>3</x:v>
      </x:c>
      <x:c r="H405" s="2" t="n">
        <x:v>0</x:v>
      </x:c>
      <x:c r="I405" s="10" t="n">
        <x:v>32.95</x:v>
      </x:c>
      <x:c r="J405" s="10" t="n">
        <x:v>0</x:v>
      </x:c>
      <x:c r="K405" s="10" t="n">
        <x:v>12</x:v>
      </x:c>
      <x:c r="L405" s="10" t="n">
        <x:f>G405*I405</x:f>
        <x:v>98.85000000000001</x:v>
      </x:c>
      <x:c r="M405" s="10" t="n">
        <x:f>ROUND((L405-J405)*H405/G405,2)</x:f>
        <x:v>0</x:v>
      </x:c>
      <x:c r="N405" s="10" t="n">
        <x:f>L405-J405-M405</x:f>
        <x:v>98.85000000000001</x:v>
      </x:c>
      <x:c r="O405" s="10" t="n">
        <x:f>(G405-H405)*K405</x:f>
        <x:v>36</x:v>
      </x:c>
      <x:c r="P405" s="10" t="n">
        <x:f>N405-O405</x:f>
        <x:v>62.85000000000001</x:v>
      </x:c>
      <x:c r="Q405" s="9" t="n">
        <x:f>A405-WEEKDAY(A405,2)+1</x:f>
        <x:v>46272</x:v>
      </x:c>
      <x:c r="R405" s="2" t="str">
        <x:f>IF(AND(A405&gt;='Review'!$B$4,A405&lt;='Review'!$D$4),"Selected","Outside")</x:f>
        <x:v>Outside</x:v>
      </x:c>
    </x:row>
    <x:row r="406" ht="20" customHeight="1">
      <x:c r="A406" s="9" t="n">
        <x:v>46278</x:v>
      </x:c>
      <x:c r="B406" s="2" t="str">
        <x:v>MM-1304</x:v>
      </x:c>
      <x:c r="C406" s="2" t="str">
        <x:v>Organic Search</x:v>
      </x:c>
      <x:c r="D406" s="2" t="str">
        <x:v>GFT-001</x:v>
      </x:c>
      <x:c r="E406" s="2" t="str">
        <x:f>_xlfn.IFNA(VLOOKUP(D406,'Products'!$A$7:$I$22,2,FALSE),"Unmapped")</x:f>
        <x:v>Morning ritual gift set</x:v>
      </x:c>
      <x:c r="F406" s="2" t="str">
        <x:f>_xlfn.IFNA(VLOOKUP(D406,'Products'!$A$7:$I$22,3,FALSE),"Unmapped")</x:f>
        <x:v>Gifts</x:v>
      </x:c>
      <x:c r="G406" s="2" t="n">
        <x:v>3</x:v>
      </x:c>
      <x:c r="H406" s="2" t="n">
        <x:v>1</x:v>
      </x:c>
      <x:c r="I406" s="10" t="n">
        <x:v>59.95</x:v>
      </x:c>
      <x:c r="J406" s="10" t="n">
        <x:v>0</x:v>
      </x:c>
      <x:c r="K406" s="10" t="n">
        <x:v>24</x:v>
      </x:c>
      <x:c r="L406" s="10" t="n">
        <x:f>G406*I406</x:f>
        <x:v>179.85000000000002</x:v>
      </x:c>
      <x:c r="M406" s="10" t="n">
        <x:f>ROUND((L406-J406)*H406/G406,2)</x:f>
        <x:v>59.95</x:v>
      </x:c>
      <x:c r="N406" s="10" t="n">
        <x:f>L406-J406-M406</x:f>
        <x:v>119.90000000000002</x:v>
      </x:c>
      <x:c r="O406" s="10" t="n">
        <x:f>(G406-H406)*K406</x:f>
        <x:v>48</x:v>
      </x:c>
      <x:c r="P406" s="10" t="n">
        <x:f>N406-O406</x:f>
        <x:v>71.90000000000002</x:v>
      </x:c>
      <x:c r="Q406" s="9" t="n">
        <x:f>A406-WEEKDAY(A406,2)+1</x:f>
        <x:v>46272</x:v>
      </x:c>
      <x:c r="R406" s="2" t="str">
        <x:f>IF(AND(A406&gt;='Review'!$B$4,A406&lt;='Review'!$D$4),"Selected","Outside")</x:f>
        <x:v>Outside</x:v>
      </x:c>
    </x:row>
    <x:row r="407" ht="20" customHeight="1">
      <x:c r="A407" s="9" t="n">
        <x:v>46278</x:v>
      </x:c>
      <x:c r="B407" s="2" t="str">
        <x:v>MM-1299</x:v>
      </x:c>
      <x:c r="C407" s="2" t="str">
        <x:v>Organic Search</x:v>
      </x:c>
      <x:c r="D407" s="2" t="str">
        <x:v>TUM-001</x:v>
      </x:c>
      <x:c r="E407" s="2" t="str">
        <x:f>_xlfn.IFNA(VLOOKUP(D407,'Products'!$A$7:$I$22,2,FALSE),"Unmapped")</x:f>
        <x:v>Maple travel tumbler</x:v>
      </x:c>
      <x:c r="F407" s="2" t="str">
        <x:f>_xlfn.IFNA(VLOOKUP(D407,'Products'!$A$7:$I$22,3,FALSE),"Unmapped")</x:f>
        <x:v>Drinkware</x:v>
      </x:c>
      <x:c r="G407" s="2" t="n">
        <x:v>1</x:v>
      </x:c>
      <x:c r="H407" s="2" t="n">
        <x:v>0</x:v>
      </x:c>
      <x:c r="I407" s="10" t="n">
        <x:v>32.95</x:v>
      </x:c>
      <x:c r="J407" s="10" t="n">
        <x:v>0</x:v>
      </x:c>
      <x:c r="K407" s="10" t="n">
        <x:v>12</x:v>
      </x:c>
      <x:c r="L407" s="10" t="n">
        <x:f>G407*I407</x:f>
        <x:v>32.95</x:v>
      </x:c>
      <x:c r="M407" s="10" t="n">
        <x:f>ROUND((L407-J407)*H407/G407,2)</x:f>
        <x:v>0</x:v>
      </x:c>
      <x:c r="N407" s="10" t="n">
        <x:f>L407-J407-M407</x:f>
        <x:v>32.95</x:v>
      </x:c>
      <x:c r="O407" s="10" t="n">
        <x:f>(G407-H407)*K407</x:f>
        <x:v>12</x:v>
      </x:c>
      <x:c r="P407" s="10" t="n">
        <x:f>N407-O407</x:f>
        <x:v>20.950000000000003</x:v>
      </x:c>
      <x:c r="Q407" s="9" t="n">
        <x:f>A407-WEEKDAY(A407,2)+1</x:f>
        <x:v>46272</x:v>
      </x:c>
      <x:c r="R407" s="2" t="str">
        <x:f>IF(AND(A407&gt;='Review'!$B$4,A407&lt;='Review'!$D$4),"Selected","Outside")</x:f>
        <x:v>Outside</x:v>
      </x:c>
    </x:row>
    <x:row r="408" ht="20" customHeight="1">
      <x:c r="A408" s="9" t="n">
        <x:v>46278</x:v>
      </x:c>
      <x:c r="B408" s="2" t="str">
        <x:v>MM-1299</x:v>
      </x:c>
      <x:c r="C408" s="2" t="str">
        <x:v>Organic Search</x:v>
      </x:c>
      <x:c r="D408" s="2" t="str">
        <x:v>PIN-001</x:v>
      </x:c>
      <x:c r="E408" s="2" t="str">
        <x:f>_xlfn.IFNA(VLOOKUP(D408,'Products'!$A$7:$I$22,2,FALSE),"Unmapped")</x:f>
        <x:v>Coffee enamel pin</x:v>
      </x:c>
      <x:c r="F408" s="2" t="str">
        <x:f>_xlfn.IFNA(VLOOKUP(D408,'Products'!$A$7:$I$22,3,FALSE),"Unmapped")</x:f>
        <x:v>Accessories</x:v>
      </x:c>
      <x:c r="G408" s="2" t="n">
        <x:v>1</x:v>
      </x:c>
      <x:c r="H408" s="2" t="n">
        <x:v>0</x:v>
      </x:c>
      <x:c r="I408" s="10" t="n">
        <x:v>9.95</x:v>
      </x:c>
      <x:c r="J408" s="10" t="n">
        <x:v>0.99</x:v>
      </x:c>
      <x:c r="K408" s="10" t="n">
        <x:v>2.5</x:v>
      </x:c>
      <x:c r="L408" s="10" t="n">
        <x:f>G408*I408</x:f>
        <x:v>9.95</x:v>
      </x:c>
      <x:c r="M408" s="10" t="n">
        <x:f>ROUND((L408-J408)*H408/G408,2)</x:f>
        <x:v>0</x:v>
      </x:c>
      <x:c r="N408" s="10" t="n">
        <x:f>L408-J408-M408</x:f>
        <x:v>8.959999999999999</x:v>
      </x:c>
      <x:c r="O408" s="10" t="n">
        <x:f>(G408-H408)*K408</x:f>
        <x:v>2.5</x:v>
      </x:c>
      <x:c r="P408" s="10" t="n">
        <x:f>N408-O408</x:f>
        <x:v>6.459999999999999</x:v>
      </x:c>
      <x:c r="Q408" s="9" t="n">
        <x:f>A408-WEEKDAY(A408,2)+1</x:f>
        <x:v>46272</x:v>
      </x:c>
      <x:c r="R408" s="2" t="str">
        <x:f>IF(AND(A408&gt;='Review'!$B$4,A408&lt;='Review'!$D$4),"Selected","Outside")</x:f>
        <x:v>Outside</x:v>
      </x:c>
    </x:row>
    <x:row r="409" ht="20" customHeight="1">
      <x:c r="A409" s="9" t="n">
        <x:v>46278</x:v>
      </x:c>
      <x:c r="B409" s="2" t="str">
        <x:v>MM-1300</x:v>
      </x:c>
      <x:c r="C409" s="2" t="str">
        <x:v>Organic Search</x:v>
      </x:c>
      <x:c r="D409" s="2" t="str">
        <x:v>MUG-002</x:v>
      </x:c>
      <x:c r="E409" s="2" t="str">
        <x:f>_xlfn.IFNA(VLOOKUP(D409,'Products'!$A$7:$I$22,2,FALSE),"Unmapped")</x:f>
        <x:v>Campfire enamel mug</x:v>
      </x:c>
      <x:c r="F409" s="2" t="str">
        <x:f>_xlfn.IFNA(VLOOKUP(D409,'Products'!$A$7:$I$22,3,FALSE),"Unmapped")</x:f>
        <x:v>Drinkware</x:v>
      </x:c>
      <x:c r="G409" s="2" t="n">
        <x:v>1</x:v>
      </x:c>
      <x:c r="H409" s="2" t="n">
        <x:v>0</x:v>
      </x:c>
      <x:c r="I409" s="10" t="n">
        <x:v>22.95</x:v>
      </x:c>
      <x:c r="J409" s="10" t="n">
        <x:v>0</x:v>
      </x:c>
      <x:c r="K409" s="10" t="n">
        <x:v>8.5</x:v>
      </x:c>
      <x:c r="L409" s="10" t="n">
        <x:f>G409*I409</x:f>
        <x:v>22.95</x:v>
      </x:c>
      <x:c r="M409" s="10" t="n">
        <x:f>ROUND((L409-J409)*H409/G409,2)</x:f>
        <x:v>0</x:v>
      </x:c>
      <x:c r="N409" s="10" t="n">
        <x:f>L409-J409-M409</x:f>
        <x:v>22.95</x:v>
      </x:c>
      <x:c r="O409" s="10" t="n">
        <x:f>(G409-H409)*K409</x:f>
        <x:v>8.5</x:v>
      </x:c>
      <x:c r="P409" s="10" t="n">
        <x:f>N409-O409</x:f>
        <x:v>14.45</x:v>
      </x:c>
      <x:c r="Q409" s="9" t="n">
        <x:f>A409-WEEKDAY(A409,2)+1</x:f>
        <x:v>46272</x:v>
      </x:c>
      <x:c r="R409" s="2" t="str">
        <x:f>IF(AND(A409&gt;='Review'!$B$4,A409&lt;='Review'!$D$4),"Selected","Outside")</x:f>
        <x:v>Outside</x:v>
      </x:c>
    </x:row>
    <x:row r="410" ht="20" customHeight="1">
      <x:c r="A410" s="9" t="n">
        <x:v>46278</x:v>
      </x:c>
      <x:c r="B410" s="2" t="str">
        <x:v>MM-1301</x:v>
      </x:c>
      <x:c r="C410" s="2" t="str">
        <x:v>Paid Social</x:v>
      </x:c>
      <x:c r="D410" s="2" t="str">
        <x:v>APP-001</x:v>
      </x:c>
      <x:c r="E410" s="2" t="str">
        <x:f>_xlfn.IFNA(VLOOKUP(D410,'Products'!$A$7:$I$22,2,FALSE),"Unmapped")</x:f>
        <x:v>Everyday crewneck</x:v>
      </x:c>
      <x:c r="F410" s="2" t="str">
        <x:f>_xlfn.IFNA(VLOOKUP(D410,'Products'!$A$7:$I$22,3,FALSE),"Unmapped")</x:f>
        <x:v>Apparel</x:v>
      </x:c>
      <x:c r="G410" s="2" t="n">
        <x:v>1</x:v>
      </x:c>
      <x:c r="H410" s="2" t="n">
        <x:v>0</x:v>
      </x:c>
      <x:c r="I410" s="10" t="n">
        <x:v>54.95</x:v>
      </x:c>
      <x:c r="J410" s="10" t="n">
        <x:v>0</x:v>
      </x:c>
      <x:c r="K410" s="10" t="n">
        <x:v>22</x:v>
      </x:c>
      <x:c r="L410" s="10" t="n">
        <x:f>G410*I410</x:f>
        <x:v>54.95</x:v>
      </x:c>
      <x:c r="M410" s="10" t="n">
        <x:f>ROUND((L410-J410)*H410/G410,2)</x:f>
        <x:v>0</x:v>
      </x:c>
      <x:c r="N410" s="10" t="n">
        <x:f>L410-J410-M410</x:f>
        <x:v>54.95</x:v>
      </x:c>
      <x:c r="O410" s="10" t="n">
        <x:f>(G410-H410)*K410</x:f>
        <x:v>22</x:v>
      </x:c>
      <x:c r="P410" s="10" t="n">
        <x:f>N410-O410</x:f>
        <x:v>32.95</x:v>
      </x:c>
      <x:c r="Q410" s="9" t="n">
        <x:f>A410-WEEKDAY(A410,2)+1</x:f>
        <x:v>46272</x:v>
      </x:c>
      <x:c r="R410" s="2" t="str">
        <x:f>IF(AND(A410&gt;='Review'!$B$4,A410&lt;='Review'!$D$4),"Selected","Outside")</x:f>
        <x:v>Outside</x:v>
      </x:c>
    </x:row>
    <x:row r="411" ht="20" customHeight="1">
      <x:c r="A411" s="9" t="n">
        <x:v>46278</x:v>
      </x:c>
      <x:c r="B411" s="2" t="str">
        <x:v>MM-1301</x:v>
      </x:c>
      <x:c r="C411" s="2" t="str">
        <x:v>Paid Social</x:v>
      </x:c>
      <x:c r="D411" s="2" t="str">
        <x:v>TUM-001</x:v>
      </x:c>
      <x:c r="E411" s="2" t="str">
        <x:f>_xlfn.IFNA(VLOOKUP(D411,'Products'!$A$7:$I$22,2,FALSE),"Unmapped")</x:f>
        <x:v>Maple travel tumbler</x:v>
      </x:c>
      <x:c r="F411" s="2" t="str">
        <x:f>_xlfn.IFNA(VLOOKUP(D411,'Products'!$A$7:$I$22,3,FALSE),"Unmapped")</x:f>
        <x:v>Drinkware</x:v>
      </x:c>
      <x:c r="G411" s="2" t="n">
        <x:v>1</x:v>
      </x:c>
      <x:c r="H411" s="2" t="n">
        <x:v>0</x:v>
      </x:c>
      <x:c r="I411" s="10" t="n">
        <x:v>32.95</x:v>
      </x:c>
      <x:c r="J411" s="10" t="n">
        <x:v>0</x:v>
      </x:c>
      <x:c r="K411" s="10" t="n">
        <x:v>12</x:v>
      </x:c>
      <x:c r="L411" s="10" t="n">
        <x:f>G411*I411</x:f>
        <x:v>32.95</x:v>
      </x:c>
      <x:c r="M411" s="10" t="n">
        <x:f>ROUND((L411-J411)*H411/G411,2)</x:f>
        <x:v>0</x:v>
      </x:c>
      <x:c r="N411" s="10" t="n">
        <x:f>L411-J411-M411</x:f>
        <x:v>32.95</x:v>
      </x:c>
      <x:c r="O411" s="10" t="n">
        <x:f>(G411-H411)*K411</x:f>
        <x:v>12</x:v>
      </x:c>
      <x:c r="P411" s="10" t="n">
        <x:f>N411-O411</x:f>
        <x:v>20.950000000000003</x:v>
      </x:c>
      <x:c r="Q411" s="9" t="n">
        <x:f>A411-WEEKDAY(A411,2)+1</x:f>
        <x:v>46272</x:v>
      </x:c>
      <x:c r="R411" s="2" t="str">
        <x:f>IF(AND(A411&gt;='Review'!$B$4,A411&lt;='Review'!$D$4),"Selected","Outside")</x:f>
        <x:v>Outside</x:v>
      </x:c>
    </x:row>
    <x:row r="412" ht="20" customHeight="1">
      <x:c r="A412" s="9" t="n">
        <x:v>46278</x:v>
      </x:c>
      <x:c r="B412" s="2" t="str">
        <x:v>MM-1295</x:v>
      </x:c>
      <x:c r="C412" s="2" t="str">
        <x:v>Organic Search</x:v>
      </x:c>
      <x:c r="D412" s="2" t="str">
        <x:v>PIN-001</x:v>
      </x:c>
      <x:c r="E412" s="2" t="str">
        <x:f>_xlfn.IFNA(VLOOKUP(D412,'Products'!$A$7:$I$22,2,FALSE),"Unmapped")</x:f>
        <x:v>Coffee enamel pin</x:v>
      </x:c>
      <x:c r="F412" s="2" t="str">
        <x:f>_xlfn.IFNA(VLOOKUP(D412,'Products'!$A$7:$I$22,3,FALSE),"Unmapped")</x:f>
        <x:v>Accessories</x:v>
      </x:c>
      <x:c r="G412" s="2" t="n">
        <x:v>1</x:v>
      </x:c>
      <x:c r="H412" s="2" t="n">
        <x:v>0</x:v>
      </x:c>
      <x:c r="I412" s="10" t="n">
        <x:v>9.95</x:v>
      </x:c>
      <x:c r="J412" s="10" t="n">
        <x:v>0</x:v>
      </x:c>
      <x:c r="K412" s="10" t="n">
        <x:v>2.5</x:v>
      </x:c>
      <x:c r="L412" s="10" t="n">
        <x:f>G412*I412</x:f>
        <x:v>9.95</x:v>
      </x:c>
      <x:c r="M412" s="10" t="n">
        <x:f>ROUND((L412-J412)*H412/G412,2)</x:f>
        <x:v>0</x:v>
      </x:c>
      <x:c r="N412" s="10" t="n">
        <x:f>L412-J412-M412</x:f>
        <x:v>9.95</x:v>
      </x:c>
      <x:c r="O412" s="10" t="n">
        <x:f>(G412-H412)*K412</x:f>
        <x:v>2.5</x:v>
      </x:c>
      <x:c r="P412" s="10" t="n">
        <x:f>N412-O412</x:f>
        <x:v>7.449999999999999</x:v>
      </x:c>
      <x:c r="Q412" s="9" t="n">
        <x:f>A412-WEEKDAY(A412,2)+1</x:f>
        <x:v>46272</x:v>
      </x:c>
      <x:c r="R412" s="2" t="str">
        <x:f>IF(AND(A412&gt;='Review'!$B$4,A412&lt;='Review'!$D$4),"Selected","Outside")</x:f>
        <x:v>Outside</x:v>
      </x:c>
    </x:row>
    <x:row r="413" ht="20" customHeight="1">
      <x:c r="A413" s="9" t="n">
        <x:v>46278</x:v>
      </x:c>
      <x:c r="B413" s="2" t="str">
        <x:v>MM-1303</x:v>
      </x:c>
      <x:c r="C413" s="2" t="str">
        <x:v>Email</x:v>
      </x:c>
      <x:c r="D413" s="2" t="str">
        <x:v>TUM-001</x:v>
      </x:c>
      <x:c r="E413" s="2" t="str">
        <x:f>_xlfn.IFNA(VLOOKUP(D413,'Products'!$A$7:$I$22,2,FALSE),"Unmapped")</x:f>
        <x:v>Maple travel tumbler</x:v>
      </x:c>
      <x:c r="F413" s="2" t="str">
        <x:f>_xlfn.IFNA(VLOOKUP(D413,'Products'!$A$7:$I$22,3,FALSE),"Unmapped")</x:f>
        <x:v>Drinkware</x:v>
      </x:c>
      <x:c r="G413" s="2" t="n">
        <x:v>1</x:v>
      </x:c>
      <x:c r="H413" s="2" t="n">
        <x:v>0</x:v>
      </x:c>
      <x:c r="I413" s="10" t="n">
        <x:v>32.95</x:v>
      </x:c>
      <x:c r="J413" s="10" t="n">
        <x:v>3.29</x:v>
      </x:c>
      <x:c r="K413" s="10" t="n">
        <x:v>12</x:v>
      </x:c>
      <x:c r="L413" s="10" t="n">
        <x:f>G413*I413</x:f>
        <x:v>32.95</x:v>
      </x:c>
      <x:c r="M413" s="10" t="n">
        <x:f>ROUND((L413-J413)*H413/G413,2)</x:f>
        <x:v>0</x:v>
      </x:c>
      <x:c r="N413" s="10" t="n">
        <x:f>L413-J413-M413</x:f>
        <x:v>29.660000000000004</x:v>
      </x:c>
      <x:c r="O413" s="10" t="n">
        <x:f>(G413-H413)*K413</x:f>
        <x:v>12</x:v>
      </x:c>
      <x:c r="P413" s="10" t="n">
        <x:f>N413-O413</x:f>
        <x:v>17.660000000000004</x:v>
      </x:c>
      <x:c r="Q413" s="9" t="n">
        <x:f>A413-WEEKDAY(A413,2)+1</x:f>
        <x:v>46272</x:v>
      </x:c>
      <x:c r="R413" s="2" t="str">
        <x:f>IF(AND(A413&gt;='Review'!$B$4,A413&lt;='Review'!$D$4),"Selected","Outside")</x:f>
        <x:v>Outside</x:v>
      </x:c>
    </x:row>
    <x:row r="414" ht="20" customHeight="1">
      <x:c r="A414" s="9" t="n">
        <x:v>46278</x:v>
      </x:c>
      <x:c r="B414" s="2" t="str">
        <x:v>MM-1296</x:v>
      </x:c>
      <x:c r="C414" s="2" t="str">
        <x:v>Organic Search</x:v>
      </x:c>
      <x:c r="D414" s="2" t="str">
        <x:v>GFT-001</x:v>
      </x:c>
      <x:c r="E414" s="2" t="str">
        <x:f>_xlfn.IFNA(VLOOKUP(D414,'Products'!$A$7:$I$22,2,FALSE),"Unmapped")</x:f>
        <x:v>Morning ritual gift set</x:v>
      </x:c>
      <x:c r="F414" s="2" t="str">
        <x:f>_xlfn.IFNA(VLOOKUP(D414,'Products'!$A$7:$I$22,3,FALSE),"Unmapped")</x:f>
        <x:v>Gifts</x:v>
      </x:c>
      <x:c r="G414" s="2" t="n">
        <x:v>1</x:v>
      </x:c>
      <x:c r="H414" s="2" t="n">
        <x:v>0</x:v>
      </x:c>
      <x:c r="I414" s="10" t="n">
        <x:v>59.95</x:v>
      </x:c>
      <x:c r="J414" s="10" t="n">
        <x:v>0</x:v>
      </x:c>
      <x:c r="K414" s="10" t="n">
        <x:v>24</x:v>
      </x:c>
      <x:c r="L414" s="10" t="n">
        <x:f>G414*I414</x:f>
        <x:v>59.95</x:v>
      </x:c>
      <x:c r="M414" s="10" t="n">
        <x:f>ROUND((L414-J414)*H414/G414,2)</x:f>
        <x:v>0</x:v>
      </x:c>
      <x:c r="N414" s="10" t="n">
        <x:f>L414-J414-M414</x:f>
        <x:v>59.95</x:v>
      </x:c>
      <x:c r="O414" s="10" t="n">
        <x:f>(G414-H414)*K414</x:f>
        <x:v>24</x:v>
      </x:c>
      <x:c r="P414" s="10" t="n">
        <x:f>N414-O414</x:f>
        <x:v>35.95</x:v>
      </x:c>
      <x:c r="Q414" s="9" t="n">
        <x:f>A414-WEEKDAY(A414,2)+1</x:f>
        <x:v>46272</x:v>
      </x:c>
      <x:c r="R414" s="2" t="str">
        <x:f>IF(AND(A414&gt;='Review'!$B$4,A414&lt;='Review'!$D$4),"Selected","Outside")</x:f>
        <x:v>Outside</x:v>
      </x:c>
    </x:row>
    <x:row r="415" ht="20" customHeight="1">
      <x:c r="A415" s="9" t="n">
        <x:v>46278</x:v>
      </x:c>
      <x:c r="B415" s="2" t="str">
        <x:v>MM-1297</x:v>
      </x:c>
      <x:c r="C415" s="2" t="str">
        <x:v>Organic Search</x:v>
      </x:c>
      <x:c r="D415" s="2" t="str">
        <x:v>PIN-001</x:v>
      </x:c>
      <x:c r="E415" s="2" t="str">
        <x:f>_xlfn.IFNA(VLOOKUP(D415,'Products'!$A$7:$I$22,2,FALSE),"Unmapped")</x:f>
        <x:v>Coffee enamel pin</x:v>
      </x:c>
      <x:c r="F415" s="2" t="str">
        <x:f>_xlfn.IFNA(VLOOKUP(D415,'Products'!$A$7:$I$22,3,FALSE),"Unmapped")</x:f>
        <x:v>Accessories</x:v>
      </x:c>
      <x:c r="G415" s="2" t="n">
        <x:v>2</x:v>
      </x:c>
      <x:c r="H415" s="2" t="n">
        <x:v>0</x:v>
      </x:c>
      <x:c r="I415" s="10" t="n">
        <x:v>9.95</x:v>
      </x:c>
      <x:c r="J415" s="10" t="n">
        <x:v>0</x:v>
      </x:c>
      <x:c r="K415" s="10" t="n">
        <x:v>2.5</x:v>
      </x:c>
      <x:c r="L415" s="10" t="n">
        <x:f>G415*I415</x:f>
        <x:v>19.9</x:v>
      </x:c>
      <x:c r="M415" s="10" t="n">
        <x:f>ROUND((L415-J415)*H415/G415,2)</x:f>
        <x:v>0</x:v>
      </x:c>
      <x:c r="N415" s="10" t="n">
        <x:f>L415-J415-M415</x:f>
        <x:v>19.9</x:v>
      </x:c>
      <x:c r="O415" s="10" t="n">
        <x:f>(G415-H415)*K415</x:f>
        <x:v>5</x:v>
      </x:c>
      <x:c r="P415" s="10" t="n">
        <x:f>N415-O415</x:f>
        <x:v>14.899999999999999</x:v>
      </x:c>
      <x:c r="Q415" s="9" t="n">
        <x:f>A415-WEEKDAY(A415,2)+1</x:f>
        <x:v>46272</x:v>
      </x:c>
      <x:c r="R415" s="2" t="str">
        <x:f>IF(AND(A415&gt;='Review'!$B$4,A415&lt;='Review'!$D$4),"Selected","Outside")</x:f>
        <x:v>Outside</x:v>
      </x:c>
    </x:row>
    <x:row r="416" ht="20" customHeight="1">
      <x:c r="A416" s="9" t="n">
        <x:v>46278</x:v>
      </x:c>
      <x:c r="B416" s="2" t="str">
        <x:v>MM-1306</x:v>
      </x:c>
      <x:c r="C416" s="2" t="str">
        <x:v>Email</x:v>
      </x:c>
      <x:c r="D416" s="2" t="str">
        <x:v>APP-002</x:v>
      </x:c>
      <x:c r="E416" s="2" t="str">
        <x:f>_xlfn.IFNA(VLOOKUP(D416,'Products'!$A$7:$I$22,2,FALSE),"Unmapped")</x:f>
        <x:v>Weekend hoodie</x:v>
      </x:c>
      <x:c r="F416" s="2" t="str">
        <x:f>_xlfn.IFNA(VLOOKUP(D416,'Products'!$A$7:$I$22,3,FALSE),"Unmapped")</x:f>
        <x:v>Apparel</x:v>
      </x:c>
      <x:c r="G416" s="2" t="n">
        <x:v>1</x:v>
      </x:c>
      <x:c r="H416" s="2" t="n">
        <x:v>0</x:v>
      </x:c>
      <x:c r="I416" s="10" t="n">
        <x:v>69.95</x:v>
      </x:c>
      <x:c r="J416" s="10" t="n">
        <x:v>6.99</x:v>
      </x:c>
      <x:c r="K416" s="10" t="n">
        <x:v>28</x:v>
      </x:c>
      <x:c r="L416" s="10" t="n">
        <x:f>G416*I416</x:f>
        <x:v>69.95</x:v>
      </x:c>
      <x:c r="M416" s="10" t="n">
        <x:f>ROUND((L416-J416)*H416/G416,2)</x:f>
        <x:v>0</x:v>
      </x:c>
      <x:c r="N416" s="10" t="n">
        <x:f>L416-J416-M416</x:f>
        <x:v>62.96</x:v>
      </x:c>
      <x:c r="O416" s="10" t="n">
        <x:f>(G416-H416)*K416</x:f>
        <x:v>28</x:v>
      </x:c>
      <x:c r="P416" s="10" t="n">
        <x:f>N416-O416</x:f>
        <x:v>34.96</x:v>
      </x:c>
      <x:c r="Q416" s="9" t="n">
        <x:f>A416-WEEKDAY(A416,2)+1</x:f>
        <x:v>46272</x:v>
      </x:c>
      <x:c r="R416" s="2" t="str">
        <x:f>IF(AND(A416&gt;='Review'!$B$4,A416&lt;='Review'!$D$4),"Selected","Outside")</x:f>
        <x:v>Outside</x:v>
      </x:c>
    </x:row>
    <x:row r="417" ht="20" customHeight="1">
      <x:c r="A417" s="9" t="n">
        <x:v>46279</x:v>
      </x:c>
      <x:c r="B417" s="2" t="str">
        <x:v>MM-1315</x:v>
      </x:c>
      <x:c r="C417" s="2" t="str">
        <x:v>Paid Social</x:v>
      </x:c>
      <x:c r="D417" s="2" t="str">
        <x:v>HAT-001</x:v>
      </x:c>
      <x:c r="E417" s="2" t="str">
        <x:f>_xlfn.IFNA(VLOOKUP(D417,'Products'!$A$7:$I$22,2,FALSE),"Unmapped")</x:f>
        <x:v>Classic canvas cap</x:v>
      </x:c>
      <x:c r="F417" s="2" t="str">
        <x:f>_xlfn.IFNA(VLOOKUP(D417,'Products'!$A$7:$I$22,3,FALSE),"Unmapped")</x:f>
        <x:v>Accessories</x:v>
      </x:c>
      <x:c r="G417" s="2" t="n">
        <x:v>1</x:v>
      </x:c>
      <x:c r="H417" s="2" t="n">
        <x:v>1</x:v>
      </x:c>
      <x:c r="I417" s="10" t="n">
        <x:v>24.95</x:v>
      </x:c>
      <x:c r="J417" s="10" t="n">
        <x:v>0</x:v>
      </x:c>
      <x:c r="K417" s="10" t="n">
        <x:v>8.5</x:v>
      </x:c>
      <x:c r="L417" s="10" t="n">
        <x:f>G417*I417</x:f>
        <x:v>24.95</x:v>
      </x:c>
      <x:c r="M417" s="10" t="n">
        <x:f>ROUND((L417-J417)*H417/G417,2)</x:f>
        <x:v>24.95</x:v>
      </x:c>
      <x:c r="N417" s="10" t="n">
        <x:f>L417-J417-M417</x:f>
        <x:v>0</x:v>
      </x:c>
      <x:c r="O417" s="10" t="n">
        <x:f>(G417-H417)*K417</x:f>
        <x:v>0</x:v>
      </x:c>
      <x:c r="P417" s="10" t="n">
        <x:f>N417-O417</x:f>
        <x:v>0</x:v>
      </x:c>
      <x:c r="Q417" s="9" t="n">
        <x:f>A417-WEEKDAY(A417,2)+1</x:f>
        <x:v>46279</x:v>
      </x:c>
      <x:c r="R417" s="2" t="str">
        <x:f>IF(AND(A417&gt;='Review'!$B$4,A417&lt;='Review'!$D$4),"Selected","Outside")</x:f>
        <x:v>Outside</x:v>
      </x:c>
    </x:row>
    <x:row r="418" ht="20" customHeight="1">
      <x:c r="A418" s="9" t="n">
        <x:v>46279</x:v>
      </x:c>
      <x:c r="B418" s="2" t="str">
        <x:v>MM-1317</x:v>
      </x:c>
      <x:c r="C418" s="2" t="str">
        <x:v>Organic Search</x:v>
      </x:c>
      <x:c r="D418" s="2" t="str">
        <x:v>GFT-002</x:v>
      </x:c>
      <x:c r="E418" s="2" t="str">
        <x:f>_xlfn.IFNA(VLOOKUP(D418,'Products'!$A$7:$I$22,2,FALSE),"Unmapped")</x:f>
        <x:v>Cozy weekend gift box</x:v>
      </x:c>
      <x:c r="F418" s="2" t="str">
        <x:f>_xlfn.IFNA(VLOOKUP(D418,'Products'!$A$7:$I$22,3,FALSE),"Unmapped")</x:f>
        <x:v>Gifts</x:v>
      </x:c>
      <x:c r="G418" s="2" t="n">
        <x:v>2</x:v>
      </x:c>
      <x:c r="H418" s="2" t="n">
        <x:v>0</x:v>
      </x:c>
      <x:c r="I418" s="10" t="n">
        <x:v>79.95</x:v>
      </x:c>
      <x:c r="J418" s="10" t="n">
        <x:v>0</x:v>
      </x:c>
      <x:c r="K418" s="10" t="n">
        <x:v>32</x:v>
      </x:c>
      <x:c r="L418" s="10" t="n">
        <x:f>G418*I418</x:f>
        <x:v>159.9</x:v>
      </x:c>
      <x:c r="M418" s="10" t="n">
        <x:f>ROUND((L418-J418)*H418/G418,2)</x:f>
        <x:v>0</x:v>
      </x:c>
      <x:c r="N418" s="10" t="n">
        <x:f>L418-J418-M418</x:f>
        <x:v>159.9</x:v>
      </x:c>
      <x:c r="O418" s="10" t="n">
        <x:f>(G418-H418)*K418</x:f>
        <x:v>64</x:v>
      </x:c>
      <x:c r="P418" s="10" t="n">
        <x:f>N418-O418</x:f>
        <x:v>95.9</x:v>
      </x:c>
      <x:c r="Q418" s="9" t="n">
        <x:f>A418-WEEKDAY(A418,2)+1</x:f>
        <x:v>46279</x:v>
      </x:c>
      <x:c r="R418" s="2" t="str">
        <x:f>IF(AND(A418&gt;='Review'!$B$4,A418&lt;='Review'!$D$4),"Selected","Outside")</x:f>
        <x:v>Outside</x:v>
      </x:c>
    </x:row>
    <x:row r="419" ht="20" customHeight="1">
      <x:c r="A419" s="9" t="n">
        <x:v>46279</x:v>
      </x:c>
      <x:c r="B419" s="2" t="str">
        <x:v>MM-1317</x:v>
      </x:c>
      <x:c r="C419" s="2" t="str">
        <x:v>Organic Search</x:v>
      </x:c>
      <x:c r="D419" s="2" t="str">
        <x:v>KEY-001</x:v>
      </x:c>
      <x:c r="E419" s="2" t="str">
        <x:f>_xlfn.IFNA(VLOOKUP(D419,'Products'!$A$7:$I$22,2,FALSE),"Unmapped")</x:f>
        <x:v>Maple keyring</x:v>
      </x:c>
      <x:c r="F419" s="2" t="str">
        <x:f>_xlfn.IFNA(VLOOKUP(D419,'Products'!$A$7:$I$22,3,FALSE),"Unmapped")</x:f>
        <x:v>Accessories</x:v>
      </x:c>
      <x:c r="G419" s="2" t="n">
        <x:v>1</x:v>
      </x:c>
      <x:c r="H419" s="2" t="n">
        <x:v>0</x:v>
      </x:c>
      <x:c r="I419" s="10" t="n">
        <x:v>12.95</x:v>
      </x:c>
      <x:c r="J419" s="10" t="n">
        <x:v>0</x:v>
      </x:c>
      <x:c r="K419" s="10" t="n">
        <x:v>3.5</x:v>
      </x:c>
      <x:c r="L419" s="10" t="n">
        <x:f>G419*I419</x:f>
        <x:v>12.95</x:v>
      </x:c>
      <x:c r="M419" s="10" t="n">
        <x:f>ROUND((L419-J419)*H419/G419,2)</x:f>
        <x:v>0</x:v>
      </x:c>
      <x:c r="N419" s="10" t="n">
        <x:f>L419-J419-M419</x:f>
        <x:v>12.95</x:v>
      </x:c>
      <x:c r="O419" s="10" t="n">
        <x:f>(G419-H419)*K419</x:f>
        <x:v>3.5</x:v>
      </x:c>
      <x:c r="P419" s="10" t="n">
        <x:f>N419-O419</x:f>
        <x:v>9.45</x:v>
      </x:c>
      <x:c r="Q419" s="9" t="n">
        <x:f>A419-WEEKDAY(A419,2)+1</x:f>
        <x:v>46279</x:v>
      </x:c>
      <x:c r="R419" s="2" t="str">
        <x:f>IF(AND(A419&gt;='Review'!$B$4,A419&lt;='Review'!$D$4),"Selected","Outside")</x:f>
        <x:v>Outside</x:v>
      </x:c>
    </x:row>
    <x:row r="420" ht="20" customHeight="1">
      <x:c r="A420" s="9" t="n">
        <x:v>46279</x:v>
      </x:c>
      <x:c r="B420" s="2" t="str">
        <x:v>MM-1316</x:v>
      </x:c>
      <x:c r="C420" s="2" t="str">
        <x:v>Email</x:v>
      </x:c>
      <x:c r="D420" s="2" t="str">
        <x:v>MUG-001</x:v>
      </x:c>
      <x:c r="E420" s="2" t="str">
        <x:f>_xlfn.IFNA(VLOOKUP(D420,'Products'!$A$7:$I$22,2,FALSE),"Unmapped")</x:f>
        <x:v>Everyday ceramic mug</x:v>
      </x:c>
      <x:c r="F420" s="2" t="str">
        <x:f>_xlfn.IFNA(VLOOKUP(D420,'Products'!$A$7:$I$22,3,FALSE),"Unmapped")</x:f>
        <x:v>Drinkware</x:v>
      </x:c>
      <x:c r="G420" s="2" t="n">
        <x:v>1</x:v>
      </x:c>
      <x:c r="H420" s="2" t="n">
        <x:v>0</x:v>
      </x:c>
      <x:c r="I420" s="10" t="n">
        <x:v>18.95</x:v>
      </x:c>
      <x:c r="J420" s="10" t="n">
        <x:v>1.89</x:v>
      </x:c>
      <x:c r="K420" s="10" t="n">
        <x:v>6.5</x:v>
      </x:c>
      <x:c r="L420" s="10" t="n">
        <x:f>G420*I420</x:f>
        <x:v>18.95</x:v>
      </x:c>
      <x:c r="M420" s="10" t="n">
        <x:f>ROUND((L420-J420)*H420/G420,2)</x:f>
        <x:v>0</x:v>
      </x:c>
      <x:c r="N420" s="10" t="n">
        <x:f>L420-J420-M420</x:f>
        <x:v>17.06</x:v>
      </x:c>
      <x:c r="O420" s="10" t="n">
        <x:f>(G420-H420)*K420</x:f>
        <x:v>6.5</x:v>
      </x:c>
      <x:c r="P420" s="10" t="n">
        <x:f>N420-O420</x:f>
        <x:v>10.559999999999999</x:v>
      </x:c>
      <x:c r="Q420" s="9" t="n">
        <x:f>A420-WEEKDAY(A420,2)+1</x:f>
        <x:v>46279</x:v>
      </x:c>
      <x:c r="R420" s="2" t="str">
        <x:f>IF(AND(A420&gt;='Review'!$B$4,A420&lt;='Review'!$D$4),"Selected","Outside")</x:f>
        <x:v>Outside</x:v>
      </x:c>
    </x:row>
    <x:row r="421" ht="20" customHeight="1">
      <x:c r="A421" s="9" t="n">
        <x:v>46279</x:v>
      </x:c>
      <x:c r="B421" s="2" t="str">
        <x:v>MM-1308</x:v>
      </x:c>
      <x:c r="C421" s="2" t="str">
        <x:v>Organic Search</x:v>
      </x:c>
      <x:c r="D421" s="2" t="str">
        <x:v>MUG-001</x:v>
      </x:c>
      <x:c r="E421" s="2" t="str">
        <x:f>_xlfn.IFNA(VLOOKUP(D421,'Products'!$A$7:$I$22,2,FALSE),"Unmapped")</x:f>
        <x:v>Everyday ceramic mug</x:v>
      </x:c>
      <x:c r="F421" s="2" t="str">
        <x:f>_xlfn.IFNA(VLOOKUP(D421,'Products'!$A$7:$I$22,3,FALSE),"Unmapped")</x:f>
        <x:v>Drinkware</x:v>
      </x:c>
      <x:c r="G421" s="2" t="n">
        <x:v>1</x:v>
      </x:c>
      <x:c r="H421" s="2" t="n">
        <x:v>0</x:v>
      </x:c>
      <x:c r="I421" s="10" t="n">
        <x:v>18.95</x:v>
      </x:c>
      <x:c r="J421" s="10" t="n">
        <x:v>0</x:v>
      </x:c>
      <x:c r="K421" s="10" t="n">
        <x:v>6.5</x:v>
      </x:c>
      <x:c r="L421" s="10" t="n">
        <x:f>G421*I421</x:f>
        <x:v>18.95</x:v>
      </x:c>
      <x:c r="M421" s="10" t="n">
        <x:f>ROUND((L421-J421)*H421/G421,2)</x:f>
        <x:v>0</x:v>
      </x:c>
      <x:c r="N421" s="10" t="n">
        <x:f>L421-J421-M421</x:f>
        <x:v>18.95</x:v>
      </x:c>
      <x:c r="O421" s="10" t="n">
        <x:f>(G421-H421)*K421</x:f>
        <x:v>6.5</x:v>
      </x:c>
      <x:c r="P421" s="10" t="n">
        <x:f>N421-O421</x:f>
        <x:v>12.45</x:v>
      </x:c>
      <x:c r="Q421" s="9" t="n">
        <x:f>A421-WEEKDAY(A421,2)+1</x:f>
        <x:v>46279</x:v>
      </x:c>
      <x:c r="R421" s="2" t="str">
        <x:f>IF(AND(A421&gt;='Review'!$B$4,A421&lt;='Review'!$D$4),"Selected","Outside")</x:f>
        <x:v>Outside</x:v>
      </x:c>
    </x:row>
    <x:row r="422" ht="20" customHeight="1">
      <x:c r="A422" s="9" t="n">
        <x:v>46279</x:v>
      </x:c>
      <x:c r="B422" s="2" t="str">
        <x:v>MM-1308</x:v>
      </x:c>
      <x:c r="C422" s="2" t="str">
        <x:v>Organic Search</x:v>
      </x:c>
      <x:c r="D422" s="2" t="str">
        <x:v>GFT-002</x:v>
      </x:c>
      <x:c r="E422" s="2" t="str">
        <x:f>_xlfn.IFNA(VLOOKUP(D422,'Products'!$A$7:$I$22,2,FALSE),"Unmapped")</x:f>
        <x:v>Cozy weekend gift box</x:v>
      </x:c>
      <x:c r="F422" s="2" t="str">
        <x:f>_xlfn.IFNA(VLOOKUP(D422,'Products'!$A$7:$I$22,3,FALSE),"Unmapped")</x:f>
        <x:v>Gifts</x:v>
      </x:c>
      <x:c r="G422" s="2" t="n">
        <x:v>1</x:v>
      </x:c>
      <x:c r="H422" s="2" t="n">
        <x:v>0</x:v>
      </x:c>
      <x:c r="I422" s="10" t="n">
        <x:v>79.95</x:v>
      </x:c>
      <x:c r="J422" s="10" t="n">
        <x:v>0</x:v>
      </x:c>
      <x:c r="K422" s="10" t="n">
        <x:v>32</x:v>
      </x:c>
      <x:c r="L422" s="10" t="n">
        <x:f>G422*I422</x:f>
        <x:v>79.95</x:v>
      </x:c>
      <x:c r="M422" s="10" t="n">
        <x:f>ROUND((L422-J422)*H422/G422,2)</x:f>
        <x:v>0</x:v>
      </x:c>
      <x:c r="N422" s="10" t="n">
        <x:f>L422-J422-M422</x:f>
        <x:v>79.95</x:v>
      </x:c>
      <x:c r="O422" s="10" t="n">
        <x:f>(G422-H422)*K422</x:f>
        <x:v>32</x:v>
      </x:c>
      <x:c r="P422" s="10" t="n">
        <x:f>N422-O422</x:f>
        <x:v>47.95</x:v>
      </x:c>
      <x:c r="Q422" s="9" t="n">
        <x:f>A422-WEEKDAY(A422,2)+1</x:f>
        <x:v>46279</x:v>
      </x:c>
      <x:c r="R422" s="2" t="str">
        <x:f>IF(AND(A422&gt;='Review'!$B$4,A422&lt;='Review'!$D$4),"Selected","Outside")</x:f>
        <x:v>Outside</x:v>
      </x:c>
    </x:row>
    <x:row r="423" ht="20" customHeight="1">
      <x:c r="A423" s="9" t="n">
        <x:v>46279</x:v>
      </x:c>
      <x:c r="B423" s="2" t="str">
        <x:v>MM-1308</x:v>
      </x:c>
      <x:c r="C423" s="2" t="str">
        <x:v>Organic Search</x:v>
      </x:c>
      <x:c r="D423" s="2" t="str">
        <x:v>APP-002</x:v>
      </x:c>
      <x:c r="E423" s="2" t="str">
        <x:f>_xlfn.IFNA(VLOOKUP(D423,'Products'!$A$7:$I$22,2,FALSE),"Unmapped")</x:f>
        <x:v>Weekend hoodie</x:v>
      </x:c>
      <x:c r="F423" s="2" t="str">
        <x:f>_xlfn.IFNA(VLOOKUP(D423,'Products'!$A$7:$I$22,3,FALSE),"Unmapped")</x:f>
        <x:v>Apparel</x:v>
      </x:c>
      <x:c r="G423" s="2" t="n">
        <x:v>1</x:v>
      </x:c>
      <x:c r="H423" s="2" t="n">
        <x:v>0</x:v>
      </x:c>
      <x:c r="I423" s="10" t="n">
        <x:v>69.95</x:v>
      </x:c>
      <x:c r="J423" s="10" t="n">
        <x:v>6.99</x:v>
      </x:c>
      <x:c r="K423" s="10" t="n">
        <x:v>28</x:v>
      </x:c>
      <x:c r="L423" s="10" t="n">
        <x:f>G423*I423</x:f>
        <x:v>69.95</x:v>
      </x:c>
      <x:c r="M423" s="10" t="n">
        <x:f>ROUND((L423-J423)*H423/G423,2)</x:f>
        <x:v>0</x:v>
      </x:c>
      <x:c r="N423" s="10" t="n">
        <x:f>L423-J423-M423</x:f>
        <x:v>62.96</x:v>
      </x:c>
      <x:c r="O423" s="10" t="n">
        <x:f>(G423-H423)*K423</x:f>
        <x:v>28</x:v>
      </x:c>
      <x:c r="P423" s="10" t="n">
        <x:f>N423-O423</x:f>
        <x:v>34.96</x:v>
      </x:c>
      <x:c r="Q423" s="9" t="n">
        <x:f>A423-WEEKDAY(A423,2)+1</x:f>
        <x:v>46279</x:v>
      </x:c>
      <x:c r="R423" s="2" t="str">
        <x:f>IF(AND(A423&gt;='Review'!$B$4,A423&lt;='Review'!$D$4),"Selected","Outside")</x:f>
        <x:v>Outside</x:v>
      </x:c>
    </x:row>
    <x:row r="424" ht="20" customHeight="1">
      <x:c r="A424" s="9" t="n">
        <x:v>46279</x:v>
      </x:c>
      <x:c r="B424" s="2" t="str">
        <x:v>MM-1309</x:v>
      </x:c>
      <x:c r="C424" s="2" t="str">
        <x:v>Email</x:v>
      </x:c>
      <x:c r="D424" s="2" t="str">
        <x:v>TOTE-001</x:v>
      </x:c>
      <x:c r="E424" s="2" t="str">
        <x:f>_xlfn.IFNA(VLOOKUP(D424,'Products'!$A$7:$I$22,2,FALSE),"Unmapped")</x:f>
        <x:v>Market canvas tote</x:v>
      </x:c>
      <x:c r="F424" s="2" t="str">
        <x:f>_xlfn.IFNA(VLOOKUP(D424,'Products'!$A$7:$I$22,3,FALSE),"Unmapped")</x:f>
        <x:v>Accessories</x:v>
      </x:c>
      <x:c r="G424" s="2" t="n">
        <x:v>1</x:v>
      </x:c>
      <x:c r="H424" s="2" t="n">
        <x:v>0</x:v>
      </x:c>
      <x:c r="I424" s="10" t="n">
        <x:v>19.95</x:v>
      </x:c>
      <x:c r="J424" s="10" t="n">
        <x:v>1.99</x:v>
      </x:c>
      <x:c r="K424" s="10" t="n">
        <x:v>6</x:v>
      </x:c>
      <x:c r="L424" s="10" t="n">
        <x:f>G424*I424</x:f>
        <x:v>19.95</x:v>
      </x:c>
      <x:c r="M424" s="10" t="n">
        <x:f>ROUND((L424-J424)*H424/G424,2)</x:f>
        <x:v>0</x:v>
      </x:c>
      <x:c r="N424" s="10" t="n">
        <x:f>L424-J424-M424</x:f>
        <x:v>17.96</x:v>
      </x:c>
      <x:c r="O424" s="10" t="n">
        <x:f>(G424-H424)*K424</x:f>
        <x:v>6</x:v>
      </x:c>
      <x:c r="P424" s="10" t="n">
        <x:f>N424-O424</x:f>
        <x:v>11.96</x:v>
      </x:c>
      <x:c r="Q424" s="9" t="n">
        <x:f>A424-WEEKDAY(A424,2)+1</x:f>
        <x:v>46279</x:v>
      </x:c>
      <x:c r="R424" s="2" t="str">
        <x:f>IF(AND(A424&gt;='Review'!$B$4,A424&lt;='Review'!$D$4),"Selected","Outside")</x:f>
        <x:v>Outside</x:v>
      </x:c>
    </x:row>
    <x:row r="425" ht="20" customHeight="1">
      <x:c r="A425" s="9" t="n">
        <x:v>46279</x:v>
      </x:c>
      <x:c r="B425" s="2" t="str">
        <x:v>MM-1312</x:v>
      </x:c>
      <x:c r="C425" s="2" t="str">
        <x:v>Email</x:v>
      </x:c>
      <x:c r="D425" s="2" t="str">
        <x:v>KEY-001</x:v>
      </x:c>
      <x:c r="E425" s="2" t="str">
        <x:f>_xlfn.IFNA(VLOOKUP(D425,'Products'!$A$7:$I$22,2,FALSE),"Unmapped")</x:f>
        <x:v>Maple keyring</x:v>
      </x:c>
      <x:c r="F425" s="2" t="str">
        <x:f>_xlfn.IFNA(VLOOKUP(D425,'Products'!$A$7:$I$22,3,FALSE),"Unmapped")</x:f>
        <x:v>Accessories</x:v>
      </x:c>
      <x:c r="G425" s="2" t="n">
        <x:v>2</x:v>
      </x:c>
      <x:c r="H425" s="2" t="n">
        <x:v>0</x:v>
      </x:c>
      <x:c r="I425" s="10" t="n">
        <x:v>12.95</x:v>
      </x:c>
      <x:c r="J425" s="10" t="n">
        <x:v>2.59</x:v>
      </x:c>
      <x:c r="K425" s="10" t="n">
        <x:v>3.5</x:v>
      </x:c>
      <x:c r="L425" s="10" t="n">
        <x:f>G425*I425</x:f>
        <x:v>25.9</x:v>
      </x:c>
      <x:c r="M425" s="10" t="n">
        <x:f>ROUND((L425-J425)*H425/G425,2)</x:f>
        <x:v>0</x:v>
      </x:c>
      <x:c r="N425" s="10" t="n">
        <x:f>L425-J425-M425</x:f>
        <x:v>23.31</x:v>
      </x:c>
      <x:c r="O425" s="10" t="n">
        <x:f>(G425-H425)*K425</x:f>
        <x:v>7</x:v>
      </x:c>
      <x:c r="P425" s="10" t="n">
        <x:f>N425-O425</x:f>
        <x:v>16.31</x:v>
      </x:c>
      <x:c r="Q425" s="9" t="n">
        <x:f>A425-WEEKDAY(A425,2)+1</x:f>
        <x:v>46279</x:v>
      </x:c>
      <x:c r="R425" s="2" t="str">
        <x:f>IF(AND(A425&gt;='Review'!$B$4,A425&lt;='Review'!$D$4),"Selected","Outside")</x:f>
        <x:v>Outside</x:v>
      </x:c>
    </x:row>
    <x:row r="426" ht="20" customHeight="1">
      <x:c r="A426" s="9" t="n">
        <x:v>46279</x:v>
      </x:c>
      <x:c r="B426" s="2" t="str">
        <x:v>MM-1320</x:v>
      </x:c>
      <x:c r="C426" s="2" t="str">
        <x:v>Email</x:v>
      </x:c>
      <x:c r="D426" s="2" t="str">
        <x:v>TOTE-001</x:v>
      </x:c>
      <x:c r="E426" s="2" t="str">
        <x:f>_xlfn.IFNA(VLOOKUP(D426,'Products'!$A$7:$I$22,2,FALSE),"Unmapped")</x:f>
        <x:v>Market canvas tote</x:v>
      </x:c>
      <x:c r="F426" s="2" t="str">
        <x:f>_xlfn.IFNA(VLOOKUP(D426,'Products'!$A$7:$I$22,3,FALSE),"Unmapped")</x:f>
        <x:v>Accessories</x:v>
      </x:c>
      <x:c r="G426" s="2" t="n">
        <x:v>1</x:v>
      </x:c>
      <x:c r="H426" s="2" t="n">
        <x:v>0</x:v>
      </x:c>
      <x:c r="I426" s="10" t="n">
        <x:v>19.95</x:v>
      </x:c>
      <x:c r="J426" s="10" t="n">
        <x:v>1.99</x:v>
      </x:c>
      <x:c r="K426" s="10" t="n">
        <x:v>6</x:v>
      </x:c>
      <x:c r="L426" s="10" t="n">
        <x:f>G426*I426</x:f>
        <x:v>19.95</x:v>
      </x:c>
      <x:c r="M426" s="10" t="n">
        <x:f>ROUND((L426-J426)*H426/G426,2)</x:f>
        <x:v>0</x:v>
      </x:c>
      <x:c r="N426" s="10" t="n">
        <x:f>L426-J426-M426</x:f>
        <x:v>17.96</x:v>
      </x:c>
      <x:c r="O426" s="10" t="n">
        <x:f>(G426-H426)*K426</x:f>
        <x:v>6</x:v>
      </x:c>
      <x:c r="P426" s="10" t="n">
        <x:f>N426-O426</x:f>
        <x:v>11.96</x:v>
      </x:c>
      <x:c r="Q426" s="9" t="n">
        <x:f>A426-WEEKDAY(A426,2)+1</x:f>
        <x:v>46279</x:v>
      </x:c>
      <x:c r="R426" s="2" t="str">
        <x:f>IF(AND(A426&gt;='Review'!$B$4,A426&lt;='Review'!$D$4),"Selected","Outside")</x:f>
        <x:v>Outside</x:v>
      </x:c>
    </x:row>
    <x:row r="427" ht="20" customHeight="1">
      <x:c r="A427" s="9" t="n">
        <x:v>46279</x:v>
      </x:c>
      <x:c r="B427" s="2" t="str">
        <x:v>MM-1311</x:v>
      </x:c>
      <x:c r="C427" s="2" t="str">
        <x:v>Organic Search</x:v>
      </x:c>
      <x:c r="D427" s="2" t="str">
        <x:v>PIN-001</x:v>
      </x:c>
      <x:c r="E427" s="2" t="str">
        <x:f>_xlfn.IFNA(VLOOKUP(D427,'Products'!$A$7:$I$22,2,FALSE),"Unmapped")</x:f>
        <x:v>Coffee enamel pin</x:v>
      </x:c>
      <x:c r="F427" s="2" t="str">
        <x:f>_xlfn.IFNA(VLOOKUP(D427,'Products'!$A$7:$I$22,3,FALSE),"Unmapped")</x:f>
        <x:v>Accessories</x:v>
      </x:c>
      <x:c r="G427" s="2" t="n">
        <x:v>1</x:v>
      </x:c>
      <x:c r="H427" s="2" t="n">
        <x:v>0</x:v>
      </x:c>
      <x:c r="I427" s="10" t="n">
        <x:v>9.95</x:v>
      </x:c>
      <x:c r="J427" s="10" t="n">
        <x:v>0</x:v>
      </x:c>
      <x:c r="K427" s="10" t="n">
        <x:v>2.5</x:v>
      </x:c>
      <x:c r="L427" s="10" t="n">
        <x:f>G427*I427</x:f>
        <x:v>9.95</x:v>
      </x:c>
      <x:c r="M427" s="10" t="n">
        <x:f>ROUND((L427-J427)*H427/G427,2)</x:f>
        <x:v>0</x:v>
      </x:c>
      <x:c r="N427" s="10" t="n">
        <x:f>L427-J427-M427</x:f>
        <x:v>9.95</x:v>
      </x:c>
      <x:c r="O427" s="10" t="n">
        <x:f>(G427-H427)*K427</x:f>
        <x:v>2.5</x:v>
      </x:c>
      <x:c r="P427" s="10" t="n">
        <x:f>N427-O427</x:f>
        <x:v>7.449999999999999</x:v>
      </x:c>
      <x:c r="Q427" s="9" t="n">
        <x:f>A427-WEEKDAY(A427,2)+1</x:f>
        <x:v>46279</x:v>
      </x:c>
      <x:c r="R427" s="2" t="str">
        <x:f>IF(AND(A427&gt;='Review'!$B$4,A427&lt;='Review'!$D$4),"Selected","Outside")</x:f>
        <x:v>Outside</x:v>
      </x:c>
    </x:row>
    <x:row r="428" ht="20" customHeight="1">
      <x:c r="A428" s="9" t="n">
        <x:v>46279</x:v>
      </x:c>
      <x:c r="B428" s="2" t="str">
        <x:v>MM-1322</x:v>
      </x:c>
      <x:c r="C428" s="2" t="str">
        <x:v>Email</x:v>
      </x:c>
      <x:c r="D428" s="2" t="str">
        <x:v>BOT-001</x:v>
      </x:c>
      <x:c r="E428" s="2" t="str">
        <x:f>_xlfn.IFNA(VLOOKUP(D428,'Products'!$A$7:$I$22,2,FALSE),"Unmapped")</x:f>
        <x:v>Trail water bottle</x:v>
      </x:c>
      <x:c r="F428" s="2" t="str">
        <x:f>_xlfn.IFNA(VLOOKUP(D428,'Products'!$A$7:$I$22,3,FALSE),"Unmapped")</x:f>
        <x:v>Drinkware</x:v>
      </x:c>
      <x:c r="G428" s="2" t="n">
        <x:v>1</x:v>
      </x:c>
      <x:c r="H428" s="2" t="n">
        <x:v>0</x:v>
      </x:c>
      <x:c r="I428" s="10" t="n">
        <x:v>34.95</x:v>
      </x:c>
      <x:c r="J428" s="10" t="n">
        <x:v>3.49</x:v>
      </x:c>
      <x:c r="K428" s="10" t="n">
        <x:v>13.5</x:v>
      </x:c>
      <x:c r="L428" s="10" t="n">
        <x:f>G428*I428</x:f>
        <x:v>34.95</x:v>
      </x:c>
      <x:c r="M428" s="10" t="n">
        <x:f>ROUND((L428-J428)*H428/G428,2)</x:f>
        <x:v>0</x:v>
      </x:c>
      <x:c r="N428" s="10" t="n">
        <x:f>L428-J428-M428</x:f>
        <x:v>31.46</x:v>
      </x:c>
      <x:c r="O428" s="10" t="n">
        <x:f>(G428-H428)*K428</x:f>
        <x:v>13.5</x:v>
      </x:c>
      <x:c r="P428" s="10" t="n">
        <x:f>N428-O428</x:f>
        <x:v>17.96</x:v>
      </x:c>
      <x:c r="Q428" s="9" t="n">
        <x:f>A428-WEEKDAY(A428,2)+1</x:f>
        <x:v>46279</x:v>
      </x:c>
      <x:c r="R428" s="2" t="str">
        <x:f>IF(AND(A428&gt;='Review'!$B$4,A428&lt;='Review'!$D$4),"Selected","Outside")</x:f>
        <x:v>Outside</x:v>
      </x:c>
    </x:row>
    <x:row r="429" ht="20" customHeight="1">
      <x:c r="A429" s="9" t="n">
        <x:v>46279</x:v>
      </x:c>
      <x:c r="B429" s="2" t="str">
        <x:v>MM-1307</x:v>
      </x:c>
      <x:c r="C429" s="2" t="str">
        <x:v>Organic Search</x:v>
      </x:c>
      <x:c r="D429" s="2" t="str">
        <x:v>APP-003</x:v>
      </x:c>
      <x:c r="E429" s="2" t="str">
        <x:f>_xlfn.IFNA(VLOOKUP(D429,'Products'!$A$7:$I$22,2,FALSE),"Unmapped")</x:f>
        <x:v>Coffee club tee</x:v>
      </x:c>
      <x:c r="F429" s="2" t="str">
        <x:f>_xlfn.IFNA(VLOOKUP(D429,'Products'!$A$7:$I$22,3,FALSE),"Unmapped")</x:f>
        <x:v>Apparel</x:v>
      </x:c>
      <x:c r="G429" s="2" t="n">
        <x:v>1</x:v>
      </x:c>
      <x:c r="H429" s="2" t="n">
        <x:v>0</x:v>
      </x:c>
      <x:c r="I429" s="10" t="n">
        <x:v>29.95</x:v>
      </x:c>
      <x:c r="J429" s="10" t="n">
        <x:v>0</x:v>
      </x:c>
      <x:c r="K429" s="10" t="n">
        <x:v>10</x:v>
      </x:c>
      <x:c r="L429" s="10" t="n">
        <x:f>G429*I429</x:f>
        <x:v>29.95</x:v>
      </x:c>
      <x:c r="M429" s="10" t="n">
        <x:f>ROUND((L429-J429)*H429/G429,2)</x:f>
        <x:v>0</x:v>
      </x:c>
      <x:c r="N429" s="10" t="n">
        <x:f>L429-J429-M429</x:f>
        <x:v>29.95</x:v>
      </x:c>
      <x:c r="O429" s="10" t="n">
        <x:f>(G429-H429)*K429</x:f>
        <x:v>10</x:v>
      </x:c>
      <x:c r="P429" s="10" t="n">
        <x:f>N429-O429</x:f>
        <x:v>19.95</x:v>
      </x:c>
      <x:c r="Q429" s="9" t="n">
        <x:f>A429-WEEKDAY(A429,2)+1</x:f>
        <x:v>46279</x:v>
      </x:c>
      <x:c r="R429" s="2" t="str">
        <x:f>IF(AND(A429&gt;='Review'!$B$4,A429&lt;='Review'!$D$4),"Selected","Outside")</x:f>
        <x:v>Outside</x:v>
      </x:c>
    </x:row>
    <x:row r="430" ht="20" customHeight="1">
      <x:c r="A430" s="9" t="n">
        <x:v>46279</x:v>
      </x:c>
      <x:c r="B430" s="2" t="str">
        <x:v>MM-1319</x:v>
      </x:c>
      <x:c r="C430" s="2" t="str">
        <x:v>Paid Social</x:v>
      </x:c>
      <x:c r="D430" s="2" t="str">
        <x:v>APP-002</x:v>
      </x:c>
      <x:c r="E430" s="2" t="str">
        <x:f>_xlfn.IFNA(VLOOKUP(D430,'Products'!$A$7:$I$22,2,FALSE),"Unmapped")</x:f>
        <x:v>Weekend hoodie</x:v>
      </x:c>
      <x:c r="F430" s="2" t="str">
        <x:f>_xlfn.IFNA(VLOOKUP(D430,'Products'!$A$7:$I$22,3,FALSE),"Unmapped")</x:f>
        <x:v>Apparel</x:v>
      </x:c>
      <x:c r="G430" s="2" t="n">
        <x:v>3</x:v>
      </x:c>
      <x:c r="H430" s="2" t="n">
        <x:v>0</x:v>
      </x:c>
      <x:c r="I430" s="10" t="n">
        <x:v>69.95</x:v>
      </x:c>
      <x:c r="J430" s="10" t="n">
        <x:v>0</x:v>
      </x:c>
      <x:c r="K430" s="10" t="n">
        <x:v>28</x:v>
      </x:c>
      <x:c r="L430" s="10" t="n">
        <x:f>G430*I430</x:f>
        <x:v>209.85000000000002</x:v>
      </x:c>
      <x:c r="M430" s="10" t="n">
        <x:f>ROUND((L430-J430)*H430/G430,2)</x:f>
        <x:v>0</x:v>
      </x:c>
      <x:c r="N430" s="10" t="n">
        <x:f>L430-J430-M430</x:f>
        <x:v>209.85000000000002</x:v>
      </x:c>
      <x:c r="O430" s="10" t="n">
        <x:f>(G430-H430)*K430</x:f>
        <x:v>84</x:v>
      </x:c>
      <x:c r="P430" s="10" t="n">
        <x:f>N430-O430</x:f>
        <x:v>125.85000000000002</x:v>
      </x:c>
      <x:c r="Q430" s="9" t="n">
        <x:f>A430-WEEKDAY(A430,2)+1</x:f>
        <x:v>46279</x:v>
      </x:c>
      <x:c r="R430" s="2" t="str">
        <x:f>IF(AND(A430&gt;='Review'!$B$4,A430&lt;='Review'!$D$4),"Selected","Outside")</x:f>
        <x:v>Outside</x:v>
      </x:c>
    </x:row>
    <x:row r="431" ht="20" customHeight="1">
      <x:c r="A431" s="9" t="n">
        <x:v>46279</x:v>
      </x:c>
      <x:c r="B431" s="2" t="str">
        <x:v>MM-1319</x:v>
      </x:c>
      <x:c r="C431" s="2" t="str">
        <x:v>Paid Social</x:v>
      </x:c>
      <x:c r="D431" s="2" t="str">
        <x:v>GFT-002</x:v>
      </x:c>
      <x:c r="E431" s="2" t="str">
        <x:f>_xlfn.IFNA(VLOOKUP(D431,'Products'!$A$7:$I$22,2,FALSE),"Unmapped")</x:f>
        <x:v>Cozy weekend gift box</x:v>
      </x:c>
      <x:c r="F431" s="2" t="str">
        <x:f>_xlfn.IFNA(VLOOKUP(D431,'Products'!$A$7:$I$22,3,FALSE),"Unmapped")</x:f>
        <x:v>Gifts</x:v>
      </x:c>
      <x:c r="G431" s="2" t="n">
        <x:v>2</x:v>
      </x:c>
      <x:c r="H431" s="2" t="n">
        <x:v>0</x:v>
      </x:c>
      <x:c r="I431" s="10" t="n">
        <x:v>79.95</x:v>
      </x:c>
      <x:c r="J431" s="10" t="n">
        <x:v>0</x:v>
      </x:c>
      <x:c r="K431" s="10" t="n">
        <x:v>32</x:v>
      </x:c>
      <x:c r="L431" s="10" t="n">
        <x:f>G431*I431</x:f>
        <x:v>159.9</x:v>
      </x:c>
      <x:c r="M431" s="10" t="n">
        <x:f>ROUND((L431-J431)*H431/G431,2)</x:f>
        <x:v>0</x:v>
      </x:c>
      <x:c r="N431" s="10" t="n">
        <x:f>L431-J431-M431</x:f>
        <x:v>159.9</x:v>
      </x:c>
      <x:c r="O431" s="10" t="n">
        <x:f>(G431-H431)*K431</x:f>
        <x:v>64</x:v>
      </x:c>
      <x:c r="P431" s="10" t="n">
        <x:f>N431-O431</x:f>
        <x:v>95.9</x:v>
      </x:c>
      <x:c r="Q431" s="9" t="n">
        <x:f>A431-WEEKDAY(A431,2)+1</x:f>
        <x:v>46279</x:v>
      </x:c>
      <x:c r="R431" s="2" t="str">
        <x:f>IF(AND(A431&gt;='Review'!$B$4,A431&lt;='Review'!$D$4),"Selected","Outside")</x:f>
        <x:v>Outside</x:v>
      </x:c>
    </x:row>
    <x:row r="432" ht="20" customHeight="1">
      <x:c r="A432" s="9" t="n">
        <x:v>46279</x:v>
      </x:c>
      <x:c r="B432" s="2" t="str">
        <x:v>MM-1319</x:v>
      </x:c>
      <x:c r="C432" s="2" t="str">
        <x:v>Paid Social</x:v>
      </x:c>
      <x:c r="D432" s="2" t="str">
        <x:v>BOT-001</x:v>
      </x:c>
      <x:c r="E432" s="2" t="str">
        <x:f>_xlfn.IFNA(VLOOKUP(D432,'Products'!$A$7:$I$22,2,FALSE),"Unmapped")</x:f>
        <x:v>Trail water bottle</x:v>
      </x:c>
      <x:c r="F432" s="2" t="str">
        <x:f>_xlfn.IFNA(VLOOKUP(D432,'Products'!$A$7:$I$22,3,FALSE),"Unmapped")</x:f>
        <x:v>Drinkware</x:v>
      </x:c>
      <x:c r="G432" s="2" t="n">
        <x:v>1</x:v>
      </x:c>
      <x:c r="H432" s="2" t="n">
        <x:v>0</x:v>
      </x:c>
      <x:c r="I432" s="10" t="n">
        <x:v>34.95</x:v>
      </x:c>
      <x:c r="J432" s="10" t="n">
        <x:v>0</x:v>
      </x:c>
      <x:c r="K432" s="10" t="n">
        <x:v>13.5</x:v>
      </x:c>
      <x:c r="L432" s="10" t="n">
        <x:f>G432*I432</x:f>
        <x:v>34.95</x:v>
      </x:c>
      <x:c r="M432" s="10" t="n">
        <x:f>ROUND((L432-J432)*H432/G432,2)</x:f>
        <x:v>0</x:v>
      </x:c>
      <x:c r="N432" s="10" t="n">
        <x:f>L432-J432-M432</x:f>
        <x:v>34.95</x:v>
      </x:c>
      <x:c r="O432" s="10" t="n">
        <x:f>(G432-H432)*K432</x:f>
        <x:v>13.5</x:v>
      </x:c>
      <x:c r="P432" s="10" t="n">
        <x:f>N432-O432</x:f>
        <x:v>21.450000000000003</x:v>
      </x:c>
      <x:c r="Q432" s="9" t="n">
        <x:f>A432-WEEKDAY(A432,2)+1</x:f>
        <x:v>46279</x:v>
      </x:c>
      <x:c r="R432" s="2" t="str">
        <x:f>IF(AND(A432&gt;='Review'!$B$4,A432&lt;='Review'!$D$4),"Selected","Outside")</x:f>
        <x:v>Outside</x:v>
      </x:c>
    </x:row>
    <x:row r="433" ht="20" customHeight="1">
      <x:c r="A433" s="9" t="n">
        <x:v>46279</x:v>
      </x:c>
      <x:c r="B433" s="2" t="str">
        <x:v>MM-1313</x:v>
      </x:c>
      <x:c r="C433" s="2" t="str">
        <x:v>Direct</x:v>
      </x:c>
      <x:c r="D433" s="2" t="str">
        <x:v>MUG-002</x:v>
      </x:c>
      <x:c r="E433" s="2" t="str">
        <x:f>_xlfn.IFNA(VLOOKUP(D433,'Products'!$A$7:$I$22,2,FALSE),"Unmapped")</x:f>
        <x:v>Campfire enamel mug</x:v>
      </x:c>
      <x:c r="F433" s="2" t="str">
        <x:f>_xlfn.IFNA(VLOOKUP(D433,'Products'!$A$7:$I$22,3,FALSE),"Unmapped")</x:f>
        <x:v>Drinkware</x:v>
      </x:c>
      <x:c r="G433" s="2" t="n">
        <x:v>1</x:v>
      </x:c>
      <x:c r="H433" s="2" t="n">
        <x:v>0</x:v>
      </x:c>
      <x:c r="I433" s="10" t="n">
        <x:v>22.95</x:v>
      </x:c>
      <x:c r="J433" s="10" t="n">
        <x:v>0</x:v>
      </x:c>
      <x:c r="K433" s="10" t="n">
        <x:v>8.5</x:v>
      </x:c>
      <x:c r="L433" s="10" t="n">
        <x:f>G433*I433</x:f>
        <x:v>22.95</x:v>
      </x:c>
      <x:c r="M433" s="10" t="n">
        <x:f>ROUND((L433-J433)*H433/G433,2)</x:f>
        <x:v>0</x:v>
      </x:c>
      <x:c r="N433" s="10" t="n">
        <x:f>L433-J433-M433</x:f>
        <x:v>22.95</x:v>
      </x:c>
      <x:c r="O433" s="10" t="n">
        <x:f>(G433-H433)*K433</x:f>
        <x:v>8.5</x:v>
      </x:c>
      <x:c r="P433" s="10" t="n">
        <x:f>N433-O433</x:f>
        <x:v>14.45</x:v>
      </x:c>
      <x:c r="Q433" s="9" t="n">
        <x:f>A433-WEEKDAY(A433,2)+1</x:f>
        <x:v>46279</x:v>
      </x:c>
      <x:c r="R433" s="2" t="str">
        <x:f>IF(AND(A433&gt;='Review'!$B$4,A433&lt;='Review'!$D$4),"Selected","Outside")</x:f>
        <x:v>Outside</x:v>
      </x:c>
    </x:row>
    <x:row r="434" ht="20" customHeight="1">
      <x:c r="A434" s="9" t="n">
        <x:v>46279</x:v>
      </x:c>
      <x:c r="B434" s="2" t="str">
        <x:v>MM-1313</x:v>
      </x:c>
      <x:c r="C434" s="2" t="str">
        <x:v>Direct</x:v>
      </x:c>
      <x:c r="D434" s="2" t="str">
        <x:v>GFT-001</x:v>
      </x:c>
      <x:c r="E434" s="2" t="str">
        <x:f>_xlfn.IFNA(VLOOKUP(D434,'Products'!$A$7:$I$22,2,FALSE),"Unmapped")</x:f>
        <x:v>Morning ritual gift set</x:v>
      </x:c>
      <x:c r="F434" s="2" t="str">
        <x:f>_xlfn.IFNA(VLOOKUP(D434,'Products'!$A$7:$I$22,3,FALSE),"Unmapped")</x:f>
        <x:v>Gifts</x:v>
      </x:c>
      <x:c r="G434" s="2" t="n">
        <x:v>1</x:v>
      </x:c>
      <x:c r="H434" s="2" t="n">
        <x:v>0</x:v>
      </x:c>
      <x:c r="I434" s="10" t="n">
        <x:v>59.95</x:v>
      </x:c>
      <x:c r="J434" s="10" t="n">
        <x:v>0</x:v>
      </x:c>
      <x:c r="K434" s="10" t="n">
        <x:v>24</x:v>
      </x:c>
      <x:c r="L434" s="10" t="n">
        <x:f>G434*I434</x:f>
        <x:v>59.95</x:v>
      </x:c>
      <x:c r="M434" s="10" t="n">
        <x:f>ROUND((L434-J434)*H434/G434,2)</x:f>
        <x:v>0</x:v>
      </x:c>
      <x:c r="N434" s="10" t="n">
        <x:f>L434-J434-M434</x:f>
        <x:v>59.95</x:v>
      </x:c>
      <x:c r="O434" s="10" t="n">
        <x:f>(G434-H434)*K434</x:f>
        <x:v>24</x:v>
      </x:c>
      <x:c r="P434" s="10" t="n">
        <x:f>N434-O434</x:f>
        <x:v>35.95</x:v>
      </x:c>
      <x:c r="Q434" s="9" t="n">
        <x:f>A434-WEEKDAY(A434,2)+1</x:f>
        <x:v>46279</x:v>
      </x:c>
      <x:c r="R434" s="2" t="str">
        <x:f>IF(AND(A434&gt;='Review'!$B$4,A434&lt;='Review'!$D$4),"Selected","Outside")</x:f>
        <x:v>Outside</x:v>
      </x:c>
    </x:row>
    <x:row r="435" ht="20" customHeight="1">
      <x:c r="A435" s="9" t="n">
        <x:v>46279</x:v>
      </x:c>
      <x:c r="B435" s="2" t="str">
        <x:v>MM-1313</x:v>
      </x:c>
      <x:c r="C435" s="2" t="str">
        <x:v>Direct</x:v>
      </x:c>
      <x:c r="D435" s="2" t="str">
        <x:v>MUG-001</x:v>
      </x:c>
      <x:c r="E435" s="2" t="str">
        <x:f>_xlfn.IFNA(VLOOKUP(D435,'Products'!$A$7:$I$22,2,FALSE),"Unmapped")</x:f>
        <x:v>Everyday ceramic mug</x:v>
      </x:c>
      <x:c r="F435" s="2" t="str">
        <x:f>_xlfn.IFNA(VLOOKUP(D435,'Products'!$A$7:$I$22,3,FALSE),"Unmapped")</x:f>
        <x:v>Drinkware</x:v>
      </x:c>
      <x:c r="G435" s="2" t="n">
        <x:v>2</x:v>
      </x:c>
      <x:c r="H435" s="2" t="n">
        <x:v>1</x:v>
      </x:c>
      <x:c r="I435" s="10" t="n">
        <x:v>18.95</x:v>
      </x:c>
      <x:c r="J435" s="10" t="n">
        <x:v>0</x:v>
      </x:c>
      <x:c r="K435" s="10" t="n">
        <x:v>6.5</x:v>
      </x:c>
      <x:c r="L435" s="10" t="n">
        <x:f>G435*I435</x:f>
        <x:v>37.9</x:v>
      </x:c>
      <x:c r="M435" s="10" t="n">
        <x:f>ROUND((L435-J435)*H435/G435,2)</x:f>
        <x:v>18.95</x:v>
      </x:c>
      <x:c r="N435" s="10" t="n">
        <x:f>L435-J435-M435</x:f>
        <x:v>18.95</x:v>
      </x:c>
      <x:c r="O435" s="10" t="n">
        <x:f>(G435-H435)*K435</x:f>
        <x:v>6.5</x:v>
      </x:c>
      <x:c r="P435" s="10" t="n">
        <x:f>N435-O435</x:f>
        <x:v>12.45</x:v>
      </x:c>
      <x:c r="Q435" s="9" t="n">
        <x:f>A435-WEEKDAY(A435,2)+1</x:f>
        <x:v>46279</x:v>
      </x:c>
      <x:c r="R435" s="2" t="str">
        <x:f>IF(AND(A435&gt;='Review'!$B$4,A435&lt;='Review'!$D$4),"Selected","Outside")</x:f>
        <x:v>Outside</x:v>
      </x:c>
    </x:row>
    <x:row r="436" ht="20" customHeight="1">
      <x:c r="A436" s="9" t="n">
        <x:v>46279</x:v>
      </x:c>
      <x:c r="B436" s="2" t="str">
        <x:v>MM-1318</x:v>
      </x:c>
      <x:c r="C436" s="2" t="str">
        <x:v>Organic Search</x:v>
      </x:c>
      <x:c r="D436" s="2" t="str">
        <x:v>HAT-001</x:v>
      </x:c>
      <x:c r="E436" s="2" t="str">
        <x:f>_xlfn.IFNA(VLOOKUP(D436,'Products'!$A$7:$I$22,2,FALSE),"Unmapped")</x:f>
        <x:v>Classic canvas cap</x:v>
      </x:c>
      <x:c r="F436" s="2" t="str">
        <x:f>_xlfn.IFNA(VLOOKUP(D436,'Products'!$A$7:$I$22,3,FALSE),"Unmapped")</x:f>
        <x:v>Accessories</x:v>
      </x:c>
      <x:c r="G436" s="2" t="n">
        <x:v>1</x:v>
      </x:c>
      <x:c r="H436" s="2" t="n">
        <x:v>0</x:v>
      </x:c>
      <x:c r="I436" s="10" t="n">
        <x:v>24.95</x:v>
      </x:c>
      <x:c r="J436" s="10" t="n">
        <x:v>0</x:v>
      </x:c>
      <x:c r="K436" s="10" t="n">
        <x:v>8.5</x:v>
      </x:c>
      <x:c r="L436" s="10" t="n">
        <x:f>G436*I436</x:f>
        <x:v>24.95</x:v>
      </x:c>
      <x:c r="M436" s="10" t="n">
        <x:f>ROUND((L436-J436)*H436/G436,2)</x:f>
        <x:v>0</x:v>
      </x:c>
      <x:c r="N436" s="10" t="n">
        <x:f>L436-J436-M436</x:f>
        <x:v>24.95</x:v>
      </x:c>
      <x:c r="O436" s="10" t="n">
        <x:f>(G436-H436)*K436</x:f>
        <x:v>8.5</x:v>
      </x:c>
      <x:c r="P436" s="10" t="n">
        <x:f>N436-O436</x:f>
        <x:v>16.45</x:v>
      </x:c>
      <x:c r="Q436" s="9" t="n">
        <x:f>A436-WEEKDAY(A436,2)+1</x:f>
        <x:v>46279</x:v>
      </x:c>
      <x:c r="R436" s="2" t="str">
        <x:f>IF(AND(A436&gt;='Review'!$B$4,A436&lt;='Review'!$D$4),"Selected","Outside")</x:f>
        <x:v>Outside</x:v>
      </x:c>
    </x:row>
    <x:row r="437" ht="20" customHeight="1">
      <x:c r="A437" s="9" t="n">
        <x:v>46279</x:v>
      </x:c>
      <x:c r="B437" s="2" t="str">
        <x:v>MM-1314</x:v>
      </x:c>
      <x:c r="C437" s="2" t="str">
        <x:v>Paid Social</x:v>
      </x:c>
      <x:c r="D437" s="2" t="str">
        <x:v>GFT-002</x:v>
      </x:c>
      <x:c r="E437" s="2" t="str">
        <x:f>_xlfn.IFNA(VLOOKUP(D437,'Products'!$A$7:$I$22,2,FALSE),"Unmapped")</x:f>
        <x:v>Cozy weekend gift box</x:v>
      </x:c>
      <x:c r="F437" s="2" t="str">
        <x:f>_xlfn.IFNA(VLOOKUP(D437,'Products'!$A$7:$I$22,3,FALSE),"Unmapped")</x:f>
        <x:v>Gifts</x:v>
      </x:c>
      <x:c r="G437" s="2" t="n">
        <x:v>1</x:v>
      </x:c>
      <x:c r="H437" s="2" t="n">
        <x:v>1</x:v>
      </x:c>
      <x:c r="I437" s="10" t="n">
        <x:v>79.95</x:v>
      </x:c>
      <x:c r="J437" s="10" t="n">
        <x:v>0</x:v>
      </x:c>
      <x:c r="K437" s="10" t="n">
        <x:v>32</x:v>
      </x:c>
      <x:c r="L437" s="10" t="n">
        <x:f>G437*I437</x:f>
        <x:v>79.95</x:v>
      </x:c>
      <x:c r="M437" s="10" t="n">
        <x:f>ROUND((L437-J437)*H437/G437,2)</x:f>
        <x:v>79.95</x:v>
      </x:c>
      <x:c r="N437" s="10" t="n">
        <x:f>L437-J437-M437</x:f>
        <x:v>0</x:v>
      </x:c>
      <x:c r="O437" s="10" t="n">
        <x:f>(G437-H437)*K437</x:f>
        <x:v>0</x:v>
      </x:c>
      <x:c r="P437" s="10" t="n">
        <x:f>N437-O437</x:f>
        <x:v>0</x:v>
      </x:c>
      <x:c r="Q437" s="9" t="n">
        <x:f>A437-WEEKDAY(A437,2)+1</x:f>
        <x:v>46279</x:v>
      </x:c>
      <x:c r="R437" s="2" t="str">
        <x:f>IF(AND(A437&gt;='Review'!$B$4,A437&lt;='Review'!$D$4),"Selected","Outside")</x:f>
        <x:v>Outside</x:v>
      </x:c>
    </x:row>
    <x:row r="438" ht="20" customHeight="1">
      <x:c r="A438" s="9" t="n">
        <x:v>46279</x:v>
      </x:c>
      <x:c r="B438" s="2" t="str">
        <x:v>MM-1310</x:v>
      </x:c>
      <x:c r="C438" s="2" t="str">
        <x:v>Paid Social</x:v>
      </x:c>
      <x:c r="D438" s="2" t="str">
        <x:v>GFT-002</x:v>
      </x:c>
      <x:c r="E438" s="2" t="str">
        <x:f>_xlfn.IFNA(VLOOKUP(D438,'Products'!$A$7:$I$22,2,FALSE),"Unmapped")</x:f>
        <x:v>Cozy weekend gift box</x:v>
      </x:c>
      <x:c r="F438" s="2" t="str">
        <x:f>_xlfn.IFNA(VLOOKUP(D438,'Products'!$A$7:$I$22,3,FALSE),"Unmapped")</x:f>
        <x:v>Gifts</x:v>
      </x:c>
      <x:c r="G438" s="2" t="n">
        <x:v>2</x:v>
      </x:c>
      <x:c r="H438" s="2" t="n">
        <x:v>0</x:v>
      </x:c>
      <x:c r="I438" s="10" t="n">
        <x:v>79.95</x:v>
      </x:c>
      <x:c r="J438" s="10" t="n">
        <x:v>0</x:v>
      </x:c>
      <x:c r="K438" s="10" t="n">
        <x:v>32</x:v>
      </x:c>
      <x:c r="L438" s="10" t="n">
        <x:f>G438*I438</x:f>
        <x:v>159.9</x:v>
      </x:c>
      <x:c r="M438" s="10" t="n">
        <x:f>ROUND((L438-J438)*H438/G438,2)</x:f>
        <x:v>0</x:v>
      </x:c>
      <x:c r="N438" s="10" t="n">
        <x:f>L438-J438-M438</x:f>
        <x:v>159.9</x:v>
      </x:c>
      <x:c r="O438" s="10" t="n">
        <x:f>(G438-H438)*K438</x:f>
        <x:v>64</x:v>
      </x:c>
      <x:c r="P438" s="10" t="n">
        <x:f>N438-O438</x:f>
        <x:v>95.9</x:v>
      </x:c>
      <x:c r="Q438" s="9" t="n">
        <x:f>A438-WEEKDAY(A438,2)+1</x:f>
        <x:v>46279</x:v>
      </x:c>
      <x:c r="R438" s="2" t="str">
        <x:f>IF(AND(A438&gt;='Review'!$B$4,A438&lt;='Review'!$D$4),"Selected","Outside")</x:f>
        <x:v>Outside</x:v>
      </x:c>
    </x:row>
    <x:row r="439" ht="20" customHeight="1">
      <x:c r="A439" s="9" t="n">
        <x:v>46279</x:v>
      </x:c>
      <x:c r="B439" s="2" t="str">
        <x:v>MM-1321</x:v>
      </x:c>
      <x:c r="C439" s="2" t="str">
        <x:v>Organic Search</x:v>
      </x:c>
      <x:c r="D439" s="2" t="str">
        <x:v>MUG-001</x:v>
      </x:c>
      <x:c r="E439" s="2" t="str">
        <x:f>_xlfn.IFNA(VLOOKUP(D439,'Products'!$A$7:$I$22,2,FALSE),"Unmapped")</x:f>
        <x:v>Everyday ceramic mug</x:v>
      </x:c>
      <x:c r="F439" s="2" t="str">
        <x:f>_xlfn.IFNA(VLOOKUP(D439,'Products'!$A$7:$I$22,3,FALSE),"Unmapped")</x:f>
        <x:v>Drinkware</x:v>
      </x:c>
      <x:c r="G439" s="2" t="n">
        <x:v>1</x:v>
      </x:c>
      <x:c r="H439" s="2" t="n">
        <x:v>0</x:v>
      </x:c>
      <x:c r="I439" s="10" t="n">
        <x:v>18.95</x:v>
      </x:c>
      <x:c r="J439" s="10" t="n">
        <x:v>0</x:v>
      </x:c>
      <x:c r="K439" s="10" t="n">
        <x:v>6.5</x:v>
      </x:c>
      <x:c r="L439" s="10" t="n">
        <x:f>G439*I439</x:f>
        <x:v>18.95</x:v>
      </x:c>
      <x:c r="M439" s="10" t="n">
        <x:f>ROUND((L439-J439)*H439/G439,2)</x:f>
        <x:v>0</x:v>
      </x:c>
      <x:c r="N439" s="10" t="n">
        <x:f>L439-J439-M439</x:f>
        <x:v>18.95</x:v>
      </x:c>
      <x:c r="O439" s="10" t="n">
        <x:f>(G439-H439)*K439</x:f>
        <x:v>6.5</x:v>
      </x:c>
      <x:c r="P439" s="10" t="n">
        <x:f>N439-O439</x:f>
        <x:v>12.45</x:v>
      </x:c>
      <x:c r="Q439" s="9" t="n">
        <x:f>A439-WEEKDAY(A439,2)+1</x:f>
        <x:v>46279</x:v>
      </x:c>
      <x:c r="R439" s="2" t="str">
        <x:f>IF(AND(A439&gt;='Review'!$B$4,A439&lt;='Review'!$D$4),"Selected","Outside")</x:f>
        <x:v>Outside</x:v>
      </x:c>
    </x:row>
    <x:row r="440" ht="20" customHeight="1">
      <x:c r="A440" s="9" t="n">
        <x:v>46280</x:v>
      </x:c>
      <x:c r="B440" s="2" t="str">
        <x:v>MM-1323</x:v>
      </x:c>
      <x:c r="C440" s="2" t="str">
        <x:v>Paid Social</x:v>
      </x:c>
      <x:c r="D440" s="2" t="str">
        <x:v>KEY-001</x:v>
      </x:c>
      <x:c r="E440" s="2" t="str">
        <x:f>_xlfn.IFNA(VLOOKUP(D440,'Products'!$A$7:$I$22,2,FALSE),"Unmapped")</x:f>
        <x:v>Maple keyring</x:v>
      </x:c>
      <x:c r="F440" s="2" t="str">
        <x:f>_xlfn.IFNA(VLOOKUP(D440,'Products'!$A$7:$I$22,3,FALSE),"Unmapped")</x:f>
        <x:v>Accessories</x:v>
      </x:c>
      <x:c r="G440" s="2" t="n">
        <x:v>1</x:v>
      </x:c>
      <x:c r="H440" s="2" t="n">
        <x:v>0</x:v>
      </x:c>
      <x:c r="I440" s="10" t="n">
        <x:v>12.95</x:v>
      </x:c>
      <x:c r="J440" s="10" t="n">
        <x:v>0</x:v>
      </x:c>
      <x:c r="K440" s="10" t="n">
        <x:v>3.5</x:v>
      </x:c>
      <x:c r="L440" s="10" t="n">
        <x:f>G440*I440</x:f>
        <x:v>12.95</x:v>
      </x:c>
      <x:c r="M440" s="10" t="n">
        <x:f>ROUND((L440-J440)*H440/G440,2)</x:f>
        <x:v>0</x:v>
      </x:c>
      <x:c r="N440" s="10" t="n">
        <x:f>L440-J440-M440</x:f>
        <x:v>12.95</x:v>
      </x:c>
      <x:c r="O440" s="10" t="n">
        <x:f>(G440-H440)*K440</x:f>
        <x:v>3.5</x:v>
      </x:c>
      <x:c r="P440" s="10" t="n">
        <x:f>N440-O440</x:f>
        <x:v>9.45</x:v>
      </x:c>
      <x:c r="Q440" s="9" t="n">
        <x:f>A440-WEEKDAY(A440,2)+1</x:f>
        <x:v>46279</x:v>
      </x:c>
      <x:c r="R440" s="2" t="str">
        <x:f>IF(AND(A440&gt;='Review'!$B$4,A440&lt;='Review'!$D$4),"Selected","Outside")</x:f>
        <x:v>Outside</x:v>
      </x:c>
    </x:row>
    <x:row r="441" ht="20" customHeight="1">
      <x:c r="A441" s="9" t="n">
        <x:v>46280</x:v>
      </x:c>
      <x:c r="B441" s="2" t="str">
        <x:v>MM-1338</x:v>
      </x:c>
      <x:c r="C441" s="2" t="str">
        <x:v>Organic Search</x:v>
      </x:c>
      <x:c r="D441" s="2" t="str">
        <x:v>BOT-001</x:v>
      </x:c>
      <x:c r="E441" s="2" t="str">
        <x:f>_xlfn.IFNA(VLOOKUP(D441,'Products'!$A$7:$I$22,2,FALSE),"Unmapped")</x:f>
        <x:v>Trail water bottle</x:v>
      </x:c>
      <x:c r="F441" s="2" t="str">
        <x:f>_xlfn.IFNA(VLOOKUP(D441,'Products'!$A$7:$I$22,3,FALSE),"Unmapped")</x:f>
        <x:v>Drinkware</x:v>
      </x:c>
      <x:c r="G441" s="2" t="n">
        <x:v>1</x:v>
      </x:c>
      <x:c r="H441" s="2" t="n">
        <x:v>0</x:v>
      </x:c>
      <x:c r="I441" s="10" t="n">
        <x:v>34.95</x:v>
      </x:c>
      <x:c r="J441" s="10" t="n">
        <x:v>0</x:v>
      </x:c>
      <x:c r="K441" s="10" t="n">
        <x:v>13.5</x:v>
      </x:c>
      <x:c r="L441" s="10" t="n">
        <x:f>G441*I441</x:f>
        <x:v>34.95</x:v>
      </x:c>
      <x:c r="M441" s="10" t="n">
        <x:f>ROUND((L441-J441)*H441/G441,2)</x:f>
        <x:v>0</x:v>
      </x:c>
      <x:c r="N441" s="10" t="n">
        <x:f>L441-J441-M441</x:f>
        <x:v>34.95</x:v>
      </x:c>
      <x:c r="O441" s="10" t="n">
        <x:f>(G441-H441)*K441</x:f>
        <x:v>13.5</x:v>
      </x:c>
      <x:c r="P441" s="10" t="n">
        <x:f>N441-O441</x:f>
        <x:v>21.450000000000003</x:v>
      </x:c>
      <x:c r="Q441" s="9" t="n">
        <x:f>A441-WEEKDAY(A441,2)+1</x:f>
        <x:v>46279</x:v>
      </x:c>
      <x:c r="R441" s="2" t="str">
        <x:f>IF(AND(A441&gt;='Review'!$B$4,A441&lt;='Review'!$D$4),"Selected","Outside")</x:f>
        <x:v>Outside</x:v>
      </x:c>
    </x:row>
    <x:row r="442" ht="20" customHeight="1">
      <x:c r="A442" s="9" t="n">
        <x:v>46280</x:v>
      </x:c>
      <x:c r="B442" s="2" t="str">
        <x:v>MM-1325</x:v>
      </x:c>
      <x:c r="C442" s="2" t="str">
        <x:v>Email</x:v>
      </x:c>
      <x:c r="D442" s="2" t="str">
        <x:v>HAT-001</x:v>
      </x:c>
      <x:c r="E442" s="2" t="str">
        <x:f>_xlfn.IFNA(VLOOKUP(D442,'Products'!$A$7:$I$22,2,FALSE),"Unmapped")</x:f>
        <x:v>Classic canvas cap</x:v>
      </x:c>
      <x:c r="F442" s="2" t="str">
        <x:f>_xlfn.IFNA(VLOOKUP(D442,'Products'!$A$7:$I$22,3,FALSE),"Unmapped")</x:f>
        <x:v>Accessories</x:v>
      </x:c>
      <x:c r="G442" s="2" t="n">
        <x:v>2</x:v>
      </x:c>
      <x:c r="H442" s="2" t="n">
        <x:v>0</x:v>
      </x:c>
      <x:c r="I442" s="10" t="n">
        <x:v>24.95</x:v>
      </x:c>
      <x:c r="J442" s="10" t="n">
        <x:v>4.99</x:v>
      </x:c>
      <x:c r="K442" s="10" t="n">
        <x:v>8.5</x:v>
      </x:c>
      <x:c r="L442" s="10" t="n">
        <x:f>G442*I442</x:f>
        <x:v>49.9</x:v>
      </x:c>
      <x:c r="M442" s="10" t="n">
        <x:f>ROUND((L442-J442)*H442/G442,2)</x:f>
        <x:v>0</x:v>
      </x:c>
      <x:c r="N442" s="10" t="n">
        <x:f>L442-J442-M442</x:f>
        <x:v>44.91</x:v>
      </x:c>
      <x:c r="O442" s="10" t="n">
        <x:f>(G442-H442)*K442</x:f>
        <x:v>17</x:v>
      </x:c>
      <x:c r="P442" s="10" t="n">
        <x:f>N442-O442</x:f>
        <x:v>27.909999999999997</x:v>
      </x:c>
      <x:c r="Q442" s="9" t="n">
        <x:f>A442-WEEKDAY(A442,2)+1</x:f>
        <x:v>46279</x:v>
      </x:c>
      <x:c r="R442" s="2" t="str">
        <x:f>IF(AND(A442&gt;='Review'!$B$4,A442&lt;='Review'!$D$4),"Selected","Outside")</x:f>
        <x:v>Outside</x:v>
      </x:c>
    </x:row>
    <x:row r="443" ht="20" customHeight="1">
      <x:c r="A443" s="9" t="n">
        <x:v>46280</x:v>
      </x:c>
      <x:c r="B443" s="2" t="str">
        <x:v>MM-1325</x:v>
      </x:c>
      <x:c r="C443" s="2" t="str">
        <x:v>Email</x:v>
      </x:c>
      <x:c r="D443" s="2" t="str">
        <x:v>TUM-002</x:v>
      </x:c>
      <x:c r="E443" s="2" t="str">
        <x:f>_xlfn.IFNA(VLOOKUP(D443,'Products'!$A$7:$I$22,2,FALSE),"Unmapped")</x:f>
        <x:v>Cold brew glass cup</x:v>
      </x:c>
      <x:c r="F443" s="2" t="str">
        <x:f>_xlfn.IFNA(VLOOKUP(D443,'Products'!$A$7:$I$22,3,FALSE),"Unmapped")</x:f>
        <x:v>Drinkware</x:v>
      </x:c>
      <x:c r="G443" s="2" t="n">
        <x:v>3</x:v>
      </x:c>
      <x:c r="H443" s="2" t="n">
        <x:v>0</x:v>
      </x:c>
      <x:c r="I443" s="10" t="n">
        <x:v>24.95</x:v>
      </x:c>
      <x:c r="J443" s="10" t="n">
        <x:v>7.48</x:v>
      </x:c>
      <x:c r="K443" s="10" t="n">
        <x:v>9</x:v>
      </x:c>
      <x:c r="L443" s="10" t="n">
        <x:f>G443*I443</x:f>
        <x:v>74.85</x:v>
      </x:c>
      <x:c r="M443" s="10" t="n">
        <x:f>ROUND((L443-J443)*H443/G443,2)</x:f>
        <x:v>0</x:v>
      </x:c>
      <x:c r="N443" s="10" t="n">
        <x:f>L443-J443-M443</x:f>
        <x:v>67.36999999999999</x:v>
      </x:c>
      <x:c r="O443" s="10" t="n">
        <x:f>(G443-H443)*K443</x:f>
        <x:v>27</x:v>
      </x:c>
      <x:c r="P443" s="10" t="n">
        <x:f>N443-O443</x:f>
        <x:v>40.36999999999999</x:v>
      </x:c>
      <x:c r="Q443" s="9" t="n">
        <x:f>A443-WEEKDAY(A443,2)+1</x:f>
        <x:v>46279</x:v>
      </x:c>
      <x:c r="R443" s="2" t="str">
        <x:f>IF(AND(A443&gt;='Review'!$B$4,A443&lt;='Review'!$D$4),"Selected","Outside")</x:f>
        <x:v>Outside</x:v>
      </x:c>
    </x:row>
    <x:row r="444" ht="20" customHeight="1">
      <x:c r="A444" s="9" t="n">
        <x:v>46280</x:v>
      </x:c>
      <x:c r="B444" s="2" t="str">
        <x:v>MM-1325</x:v>
      </x:c>
      <x:c r="C444" s="2" t="str">
        <x:v>Email</x:v>
      </x:c>
      <x:c r="D444" s="2" t="str">
        <x:v>APP-003</x:v>
      </x:c>
      <x:c r="E444" s="2" t="str">
        <x:f>_xlfn.IFNA(VLOOKUP(D444,'Products'!$A$7:$I$22,2,FALSE),"Unmapped")</x:f>
        <x:v>Coffee club tee</x:v>
      </x:c>
      <x:c r="F444" s="2" t="str">
        <x:f>_xlfn.IFNA(VLOOKUP(D444,'Products'!$A$7:$I$22,3,FALSE),"Unmapped")</x:f>
        <x:v>Apparel</x:v>
      </x:c>
      <x:c r="G444" s="2" t="n">
        <x:v>2</x:v>
      </x:c>
      <x:c r="H444" s="2" t="n">
        <x:v>0</x:v>
      </x:c>
      <x:c r="I444" s="10" t="n">
        <x:v>29.95</x:v>
      </x:c>
      <x:c r="J444" s="10" t="n">
        <x:v>5.99</x:v>
      </x:c>
      <x:c r="K444" s="10" t="n">
        <x:v>10</x:v>
      </x:c>
      <x:c r="L444" s="10" t="n">
        <x:f>G444*I444</x:f>
        <x:v>59.9</x:v>
      </x:c>
      <x:c r="M444" s="10" t="n">
        <x:f>ROUND((L444-J444)*H444/G444,2)</x:f>
        <x:v>0</x:v>
      </x:c>
      <x:c r="N444" s="10" t="n">
        <x:f>L444-J444-M444</x:f>
        <x:v>53.91</x:v>
      </x:c>
      <x:c r="O444" s="10" t="n">
        <x:f>(G444-H444)*K444</x:f>
        <x:v>20</x:v>
      </x:c>
      <x:c r="P444" s="10" t="n">
        <x:f>N444-O444</x:f>
        <x:v>33.91</x:v>
      </x:c>
      <x:c r="Q444" s="9" t="n">
        <x:f>A444-WEEKDAY(A444,2)+1</x:f>
        <x:v>46279</x:v>
      </x:c>
      <x:c r="R444" s="2" t="str">
        <x:f>IF(AND(A444&gt;='Review'!$B$4,A444&lt;='Review'!$D$4),"Selected","Outside")</x:f>
        <x:v>Outside</x:v>
      </x:c>
    </x:row>
    <x:row r="445" ht="20" customHeight="1">
      <x:c r="A445" s="9" t="n">
        <x:v>46280</x:v>
      </x:c>
      <x:c r="B445" s="2" t="str">
        <x:v>MM-1328</x:v>
      </x:c>
      <x:c r="C445" s="2" t="str">
        <x:v>Paid Social</x:v>
      </x:c>
      <x:c r="D445" s="2" t="str">
        <x:v>GFT-002</x:v>
      </x:c>
      <x:c r="E445" s="2" t="str">
        <x:f>_xlfn.IFNA(VLOOKUP(D445,'Products'!$A$7:$I$22,2,FALSE),"Unmapped")</x:f>
        <x:v>Cozy weekend gift box</x:v>
      </x:c>
      <x:c r="F445" s="2" t="str">
        <x:f>_xlfn.IFNA(VLOOKUP(D445,'Products'!$A$7:$I$22,3,FALSE),"Unmapped")</x:f>
        <x:v>Gifts</x:v>
      </x:c>
      <x:c r="G445" s="2" t="n">
        <x:v>2</x:v>
      </x:c>
      <x:c r="H445" s="2" t="n">
        <x:v>0</x:v>
      </x:c>
      <x:c r="I445" s="10" t="n">
        <x:v>79.95</x:v>
      </x:c>
      <x:c r="J445" s="10" t="n">
        <x:v>0</x:v>
      </x:c>
      <x:c r="K445" s="10" t="n">
        <x:v>32</x:v>
      </x:c>
      <x:c r="L445" s="10" t="n">
        <x:f>G445*I445</x:f>
        <x:v>159.9</x:v>
      </x:c>
      <x:c r="M445" s="10" t="n">
        <x:f>ROUND((L445-J445)*H445/G445,2)</x:f>
        <x:v>0</x:v>
      </x:c>
      <x:c r="N445" s="10" t="n">
        <x:f>L445-J445-M445</x:f>
        <x:v>159.9</x:v>
      </x:c>
      <x:c r="O445" s="10" t="n">
        <x:f>(G445-H445)*K445</x:f>
        <x:v>64</x:v>
      </x:c>
      <x:c r="P445" s="10" t="n">
        <x:f>N445-O445</x:f>
        <x:v>95.9</x:v>
      </x:c>
      <x:c r="Q445" s="9" t="n">
        <x:f>A445-WEEKDAY(A445,2)+1</x:f>
        <x:v>46279</x:v>
      </x:c>
      <x:c r="R445" s="2" t="str">
        <x:f>IF(AND(A445&gt;='Review'!$B$4,A445&lt;='Review'!$D$4),"Selected","Outside")</x:f>
        <x:v>Outside</x:v>
      </x:c>
    </x:row>
    <x:row r="446" ht="20" customHeight="1">
      <x:c r="A446" s="9" t="n">
        <x:v>46280</x:v>
      </x:c>
      <x:c r="B446" s="2" t="str">
        <x:v>MM-1335</x:v>
      </x:c>
      <x:c r="C446" s="2" t="str">
        <x:v>Email</x:v>
      </x:c>
      <x:c r="D446" s="2" t="str">
        <x:v>TUM-002</x:v>
      </x:c>
      <x:c r="E446" s="2" t="str">
        <x:f>_xlfn.IFNA(VLOOKUP(D446,'Products'!$A$7:$I$22,2,FALSE),"Unmapped")</x:f>
        <x:v>Cold brew glass cup</x:v>
      </x:c>
      <x:c r="F446" s="2" t="str">
        <x:f>_xlfn.IFNA(VLOOKUP(D446,'Products'!$A$7:$I$22,3,FALSE),"Unmapped")</x:f>
        <x:v>Drinkware</x:v>
      </x:c>
      <x:c r="G446" s="2" t="n">
        <x:v>1</x:v>
      </x:c>
      <x:c r="H446" s="2" t="n">
        <x:v>0</x:v>
      </x:c>
      <x:c r="I446" s="10" t="n">
        <x:v>24.95</x:v>
      </x:c>
      <x:c r="J446" s="10" t="n">
        <x:v>2.49</x:v>
      </x:c>
      <x:c r="K446" s="10" t="n">
        <x:v>9</x:v>
      </x:c>
      <x:c r="L446" s="10" t="n">
        <x:f>G446*I446</x:f>
        <x:v>24.95</x:v>
      </x:c>
      <x:c r="M446" s="10" t="n">
        <x:f>ROUND((L446-J446)*H446/G446,2)</x:f>
        <x:v>0</x:v>
      </x:c>
      <x:c r="N446" s="10" t="n">
        <x:f>L446-J446-M446</x:f>
        <x:v>22.46</x:v>
      </x:c>
      <x:c r="O446" s="10" t="n">
        <x:f>(G446-H446)*K446</x:f>
        <x:v>9</x:v>
      </x:c>
      <x:c r="P446" s="10" t="n">
        <x:f>N446-O446</x:f>
        <x:v>13.46</x:v>
      </x:c>
      <x:c r="Q446" s="9" t="n">
        <x:f>A446-WEEKDAY(A446,2)+1</x:f>
        <x:v>46279</x:v>
      </x:c>
      <x:c r="R446" s="2" t="str">
        <x:f>IF(AND(A446&gt;='Review'!$B$4,A446&lt;='Review'!$D$4),"Selected","Outside")</x:f>
        <x:v>Outside</x:v>
      </x:c>
    </x:row>
    <x:row r="447" ht="20" customHeight="1">
      <x:c r="A447" s="9" t="n">
        <x:v>46280</x:v>
      </x:c>
      <x:c r="B447" s="2" t="str">
        <x:v>MM-1335</x:v>
      </x:c>
      <x:c r="C447" s="2" t="str">
        <x:v>Email</x:v>
      </x:c>
      <x:c r="D447" s="2" t="str">
        <x:v>GFT-002</x:v>
      </x:c>
      <x:c r="E447" s="2" t="str">
        <x:f>_xlfn.IFNA(VLOOKUP(D447,'Products'!$A$7:$I$22,2,FALSE),"Unmapped")</x:f>
        <x:v>Cozy weekend gift box</x:v>
      </x:c>
      <x:c r="F447" s="2" t="str">
        <x:f>_xlfn.IFNA(VLOOKUP(D447,'Products'!$A$7:$I$22,3,FALSE),"Unmapped")</x:f>
        <x:v>Gifts</x:v>
      </x:c>
      <x:c r="G447" s="2" t="n">
        <x:v>1</x:v>
      </x:c>
      <x:c r="H447" s="2" t="n">
        <x:v>0</x:v>
      </x:c>
      <x:c r="I447" s="10" t="n">
        <x:v>79.95</x:v>
      </x:c>
      <x:c r="J447" s="10" t="n">
        <x:v>7.99</x:v>
      </x:c>
      <x:c r="K447" s="10" t="n">
        <x:v>32</x:v>
      </x:c>
      <x:c r="L447" s="10" t="n">
        <x:f>G447*I447</x:f>
        <x:v>79.95</x:v>
      </x:c>
      <x:c r="M447" s="10" t="n">
        <x:f>ROUND((L447-J447)*H447/G447,2)</x:f>
        <x:v>0</x:v>
      </x:c>
      <x:c r="N447" s="10" t="n">
        <x:f>L447-J447-M447</x:f>
        <x:v>71.96000000000001</x:v>
      </x:c>
      <x:c r="O447" s="10" t="n">
        <x:f>(G447-H447)*K447</x:f>
        <x:v>32</x:v>
      </x:c>
      <x:c r="P447" s="10" t="n">
        <x:f>N447-O447</x:f>
        <x:v>39.96000000000001</x:v>
      </x:c>
      <x:c r="Q447" s="9" t="n">
        <x:f>A447-WEEKDAY(A447,2)+1</x:f>
        <x:v>46279</x:v>
      </x:c>
      <x:c r="R447" s="2" t="str">
        <x:f>IF(AND(A447&gt;='Review'!$B$4,A447&lt;='Review'!$D$4),"Selected","Outside")</x:f>
        <x:v>Outside</x:v>
      </x:c>
    </x:row>
    <x:row r="448" ht="20" customHeight="1">
      <x:c r="A448" s="9" t="n">
        <x:v>46280</x:v>
      </x:c>
      <x:c r="B448" s="2" t="str">
        <x:v>MM-1342</x:v>
      </x:c>
      <x:c r="C448" s="2" t="str">
        <x:v>Organic Search</x:v>
      </x:c>
      <x:c r="D448" s="2" t="str">
        <x:v>PIN-001</x:v>
      </x:c>
      <x:c r="E448" s="2" t="str">
        <x:f>_xlfn.IFNA(VLOOKUP(D448,'Products'!$A$7:$I$22,2,FALSE),"Unmapped")</x:f>
        <x:v>Coffee enamel pin</x:v>
      </x:c>
      <x:c r="F448" s="2" t="str">
        <x:f>_xlfn.IFNA(VLOOKUP(D448,'Products'!$A$7:$I$22,3,FALSE),"Unmapped")</x:f>
        <x:v>Accessories</x:v>
      </x:c>
      <x:c r="G448" s="2" t="n">
        <x:v>1</x:v>
      </x:c>
      <x:c r="H448" s="2" t="n">
        <x:v>0</x:v>
      </x:c>
      <x:c r="I448" s="10" t="n">
        <x:v>9.95</x:v>
      </x:c>
      <x:c r="J448" s="10" t="n">
        <x:v>0</x:v>
      </x:c>
      <x:c r="K448" s="10" t="n">
        <x:v>2.5</x:v>
      </x:c>
      <x:c r="L448" s="10" t="n">
        <x:f>G448*I448</x:f>
        <x:v>9.95</x:v>
      </x:c>
      <x:c r="M448" s="10" t="n">
        <x:f>ROUND((L448-J448)*H448/G448,2)</x:f>
        <x:v>0</x:v>
      </x:c>
      <x:c r="N448" s="10" t="n">
        <x:f>L448-J448-M448</x:f>
        <x:v>9.95</x:v>
      </x:c>
      <x:c r="O448" s="10" t="n">
        <x:f>(G448-H448)*K448</x:f>
        <x:v>2.5</x:v>
      </x:c>
      <x:c r="P448" s="10" t="n">
        <x:f>N448-O448</x:f>
        <x:v>7.449999999999999</x:v>
      </x:c>
      <x:c r="Q448" s="9" t="n">
        <x:f>A448-WEEKDAY(A448,2)+1</x:f>
        <x:v>46279</x:v>
      </x:c>
      <x:c r="R448" s="2" t="str">
        <x:f>IF(AND(A448&gt;='Review'!$B$4,A448&lt;='Review'!$D$4),"Selected","Outside")</x:f>
        <x:v>Outside</x:v>
      </x:c>
    </x:row>
    <x:row r="449" ht="20" customHeight="1">
      <x:c r="A449" s="9" t="n">
        <x:v>46280</x:v>
      </x:c>
      <x:c r="B449" s="2" t="str">
        <x:v>MM-1342</x:v>
      </x:c>
      <x:c r="C449" s="2" t="str">
        <x:v>Organic Search</x:v>
      </x:c>
      <x:c r="D449" s="2" t="str">
        <x:v>MUG-001</x:v>
      </x:c>
      <x:c r="E449" s="2" t="str">
        <x:f>_xlfn.IFNA(VLOOKUP(D449,'Products'!$A$7:$I$22,2,FALSE),"Unmapped")</x:f>
        <x:v>Everyday ceramic mug</x:v>
      </x:c>
      <x:c r="F449" s="2" t="str">
        <x:f>_xlfn.IFNA(VLOOKUP(D449,'Products'!$A$7:$I$22,3,FALSE),"Unmapped")</x:f>
        <x:v>Drinkware</x:v>
      </x:c>
      <x:c r="G449" s="2" t="n">
        <x:v>1</x:v>
      </x:c>
      <x:c r="H449" s="2" t="n">
        <x:v>0</x:v>
      </x:c>
      <x:c r="I449" s="10" t="n">
        <x:v>18.95</x:v>
      </x:c>
      <x:c r="J449" s="10" t="n">
        <x:v>0</x:v>
      </x:c>
      <x:c r="K449" s="10" t="n">
        <x:v>6.5</x:v>
      </x:c>
      <x:c r="L449" s="10" t="n">
        <x:f>G449*I449</x:f>
        <x:v>18.95</x:v>
      </x:c>
      <x:c r="M449" s="10" t="n">
        <x:f>ROUND((L449-J449)*H449/G449,2)</x:f>
        <x:v>0</x:v>
      </x:c>
      <x:c r="N449" s="10" t="n">
        <x:f>L449-J449-M449</x:f>
        <x:v>18.95</x:v>
      </x:c>
      <x:c r="O449" s="10" t="n">
        <x:f>(G449-H449)*K449</x:f>
        <x:v>6.5</x:v>
      </x:c>
      <x:c r="P449" s="10" t="n">
        <x:f>N449-O449</x:f>
        <x:v>12.45</x:v>
      </x:c>
      <x:c r="Q449" s="9" t="n">
        <x:f>A449-WEEKDAY(A449,2)+1</x:f>
        <x:v>46279</x:v>
      </x:c>
      <x:c r="R449" s="2" t="str">
        <x:f>IF(AND(A449&gt;='Review'!$B$4,A449&lt;='Review'!$D$4),"Selected","Outside")</x:f>
        <x:v>Outside</x:v>
      </x:c>
    </x:row>
    <x:row r="450" ht="20" customHeight="1">
      <x:c r="A450" s="9" t="n">
        <x:v>46280</x:v>
      </x:c>
      <x:c r="B450" s="2" t="str">
        <x:v>MM-1342</x:v>
      </x:c>
      <x:c r="C450" s="2" t="str">
        <x:v>Organic Search</x:v>
      </x:c>
      <x:c r="D450" s="2" t="str">
        <x:v>BOT-001</x:v>
      </x:c>
      <x:c r="E450" s="2" t="str">
        <x:f>_xlfn.IFNA(VLOOKUP(D450,'Products'!$A$7:$I$22,2,FALSE),"Unmapped")</x:f>
        <x:v>Trail water bottle</x:v>
      </x:c>
      <x:c r="F450" s="2" t="str">
        <x:f>_xlfn.IFNA(VLOOKUP(D450,'Products'!$A$7:$I$22,3,FALSE),"Unmapped")</x:f>
        <x:v>Drinkware</x:v>
      </x:c>
      <x:c r="G450" s="2" t="n">
        <x:v>1</x:v>
      </x:c>
      <x:c r="H450" s="2" t="n">
        <x:v>0</x:v>
      </x:c>
      <x:c r="I450" s="10" t="n">
        <x:v>34.95</x:v>
      </x:c>
      <x:c r="J450" s="10" t="n">
        <x:v>0</x:v>
      </x:c>
      <x:c r="K450" s="10" t="n">
        <x:v>13.5</x:v>
      </x:c>
      <x:c r="L450" s="10" t="n">
        <x:f>G450*I450</x:f>
        <x:v>34.95</x:v>
      </x:c>
      <x:c r="M450" s="10" t="n">
        <x:f>ROUND((L450-J450)*H450/G450,2)</x:f>
        <x:v>0</x:v>
      </x:c>
      <x:c r="N450" s="10" t="n">
        <x:f>L450-J450-M450</x:f>
        <x:v>34.95</x:v>
      </x:c>
      <x:c r="O450" s="10" t="n">
        <x:f>(G450-H450)*K450</x:f>
        <x:v>13.5</x:v>
      </x:c>
      <x:c r="P450" s="10" t="n">
        <x:f>N450-O450</x:f>
        <x:v>21.450000000000003</x:v>
      </x:c>
      <x:c r="Q450" s="9" t="n">
        <x:f>A450-WEEKDAY(A450,2)+1</x:f>
        <x:v>46279</x:v>
      </x:c>
      <x:c r="R450" s="2" t="str">
        <x:f>IF(AND(A450&gt;='Review'!$B$4,A450&lt;='Review'!$D$4),"Selected","Outside")</x:f>
        <x:v>Outside</x:v>
      </x:c>
    </x:row>
    <x:row r="451" ht="20" customHeight="1">
      <x:c r="A451" s="9" t="n">
        <x:v>46280</x:v>
      </x:c>
      <x:c r="B451" s="2" t="str">
        <x:v>MM-1330</x:v>
      </x:c>
      <x:c r="C451" s="2" t="str">
        <x:v>Organic Search</x:v>
      </x:c>
      <x:c r="D451" s="2" t="str">
        <x:v>APP-003</x:v>
      </x:c>
      <x:c r="E451" s="2" t="str">
        <x:f>_xlfn.IFNA(VLOOKUP(D451,'Products'!$A$7:$I$22,2,FALSE),"Unmapped")</x:f>
        <x:v>Coffee club tee</x:v>
      </x:c>
      <x:c r="F451" s="2" t="str">
        <x:f>_xlfn.IFNA(VLOOKUP(D451,'Products'!$A$7:$I$22,3,FALSE),"Unmapped")</x:f>
        <x:v>Apparel</x:v>
      </x:c>
      <x:c r="G451" s="2" t="n">
        <x:v>1</x:v>
      </x:c>
      <x:c r="H451" s="2" t="n">
        <x:v>0</x:v>
      </x:c>
      <x:c r="I451" s="10" t="n">
        <x:v>29.95</x:v>
      </x:c>
      <x:c r="J451" s="10" t="n">
        <x:v>0</x:v>
      </x:c>
      <x:c r="K451" s="10" t="n">
        <x:v>10</x:v>
      </x:c>
      <x:c r="L451" s="10" t="n">
        <x:f>G451*I451</x:f>
        <x:v>29.95</x:v>
      </x:c>
      <x:c r="M451" s="10" t="n">
        <x:f>ROUND((L451-J451)*H451/G451,2)</x:f>
        <x:v>0</x:v>
      </x:c>
      <x:c r="N451" s="10" t="n">
        <x:f>L451-J451-M451</x:f>
        <x:v>29.95</x:v>
      </x:c>
      <x:c r="O451" s="10" t="n">
        <x:f>(G451-H451)*K451</x:f>
        <x:v>10</x:v>
      </x:c>
      <x:c r="P451" s="10" t="n">
        <x:f>N451-O451</x:f>
        <x:v>19.95</x:v>
      </x:c>
      <x:c r="Q451" s="9" t="n">
        <x:f>A451-WEEKDAY(A451,2)+1</x:f>
        <x:v>46279</x:v>
      </x:c>
      <x:c r="R451" s="2" t="str">
        <x:f>IF(AND(A451&gt;='Review'!$B$4,A451&lt;='Review'!$D$4),"Selected","Outside")</x:f>
        <x:v>Outside</x:v>
      </x:c>
    </x:row>
    <x:row r="452" ht="20" customHeight="1">
      <x:c r="A452" s="9" t="n">
        <x:v>46280</x:v>
      </x:c>
      <x:c r="B452" s="2" t="str">
        <x:v>MM-1344</x:v>
      </x:c>
      <x:c r="C452" s="2" t="str">
        <x:v>Email</x:v>
      </x:c>
      <x:c r="D452" s="2" t="str">
        <x:v>MUG-002</x:v>
      </x:c>
      <x:c r="E452" s="2" t="str">
        <x:f>_xlfn.IFNA(VLOOKUP(D452,'Products'!$A$7:$I$22,2,FALSE),"Unmapped")</x:f>
        <x:v>Campfire enamel mug</x:v>
      </x:c>
      <x:c r="F452" s="2" t="str">
        <x:f>_xlfn.IFNA(VLOOKUP(D452,'Products'!$A$7:$I$22,3,FALSE),"Unmapped")</x:f>
        <x:v>Drinkware</x:v>
      </x:c>
      <x:c r="G452" s="2" t="n">
        <x:v>2</x:v>
      </x:c>
      <x:c r="H452" s="2" t="n">
        <x:v>0</x:v>
      </x:c>
      <x:c r="I452" s="10" t="n">
        <x:v>22.95</x:v>
      </x:c>
      <x:c r="J452" s="10" t="n">
        <x:v>4.59</x:v>
      </x:c>
      <x:c r="K452" s="10" t="n">
        <x:v>8.5</x:v>
      </x:c>
      <x:c r="L452" s="10" t="n">
        <x:f>G452*I452</x:f>
        <x:v>45.9</x:v>
      </x:c>
      <x:c r="M452" s="10" t="n">
        <x:f>ROUND((L452-J452)*H452/G452,2)</x:f>
        <x:v>0</x:v>
      </x:c>
      <x:c r="N452" s="10" t="n">
        <x:f>L452-J452-M452</x:f>
        <x:v>41.31</x:v>
      </x:c>
      <x:c r="O452" s="10" t="n">
        <x:f>(G452-H452)*K452</x:f>
        <x:v>17</x:v>
      </x:c>
      <x:c r="P452" s="10" t="n">
        <x:f>N452-O452</x:f>
        <x:v>24.310000000000002</x:v>
      </x:c>
      <x:c r="Q452" s="9" t="n">
        <x:f>A452-WEEKDAY(A452,2)+1</x:f>
        <x:v>46279</x:v>
      </x:c>
      <x:c r="R452" s="2" t="str">
        <x:f>IF(AND(A452&gt;='Review'!$B$4,A452&lt;='Review'!$D$4),"Selected","Outside")</x:f>
        <x:v>Outside</x:v>
      </x:c>
    </x:row>
    <x:row r="453" ht="20" customHeight="1">
      <x:c r="A453" s="9" t="n">
        <x:v>46280</x:v>
      </x:c>
      <x:c r="B453" s="2" t="str">
        <x:v>MM-1327</x:v>
      </x:c>
      <x:c r="C453" s="2" t="str">
        <x:v>Organic Search</x:v>
      </x:c>
      <x:c r="D453" s="2" t="str">
        <x:v>TUM-002</x:v>
      </x:c>
      <x:c r="E453" s="2" t="str">
        <x:f>_xlfn.IFNA(VLOOKUP(D453,'Products'!$A$7:$I$22,2,FALSE),"Unmapped")</x:f>
        <x:v>Cold brew glass cup</x:v>
      </x:c>
      <x:c r="F453" s="2" t="str">
        <x:f>_xlfn.IFNA(VLOOKUP(D453,'Products'!$A$7:$I$22,3,FALSE),"Unmapped")</x:f>
        <x:v>Drinkware</x:v>
      </x:c>
      <x:c r="G453" s="2" t="n">
        <x:v>1</x:v>
      </x:c>
      <x:c r="H453" s="2" t="n">
        <x:v>1</x:v>
      </x:c>
      <x:c r="I453" s="10" t="n">
        <x:v>24.95</x:v>
      </x:c>
      <x:c r="J453" s="10" t="n">
        <x:v>0</x:v>
      </x:c>
      <x:c r="K453" s="10" t="n">
        <x:v>9</x:v>
      </x:c>
      <x:c r="L453" s="10" t="n">
        <x:f>G453*I453</x:f>
        <x:v>24.95</x:v>
      </x:c>
      <x:c r="M453" s="10" t="n">
        <x:f>ROUND((L453-J453)*H453/G453,2)</x:f>
        <x:v>24.95</x:v>
      </x:c>
      <x:c r="N453" s="10" t="n">
        <x:f>L453-J453-M453</x:f>
        <x:v>0</x:v>
      </x:c>
      <x:c r="O453" s="10" t="n">
        <x:f>(G453-H453)*K453</x:f>
        <x:v>0</x:v>
      </x:c>
      <x:c r="P453" s="10" t="n">
        <x:f>N453-O453</x:f>
        <x:v>0</x:v>
      </x:c>
      <x:c r="Q453" s="9" t="n">
        <x:f>A453-WEEKDAY(A453,2)+1</x:f>
        <x:v>46279</x:v>
      </x:c>
      <x:c r="R453" s="2" t="str">
        <x:f>IF(AND(A453&gt;='Review'!$B$4,A453&lt;='Review'!$D$4),"Selected","Outside")</x:f>
        <x:v>Outside</x:v>
      </x:c>
    </x:row>
    <x:row r="454" ht="20" customHeight="1">
      <x:c r="A454" s="9" t="n">
        <x:v>46280</x:v>
      </x:c>
      <x:c r="B454" s="2" t="str">
        <x:v>MM-1332</x:v>
      </x:c>
      <x:c r="C454" s="2" t="str">
        <x:v>Organic Search</x:v>
      </x:c>
      <x:c r="D454" s="2" t="str">
        <x:v>APP-001</x:v>
      </x:c>
      <x:c r="E454" s="2" t="str">
        <x:f>_xlfn.IFNA(VLOOKUP(D454,'Products'!$A$7:$I$22,2,FALSE),"Unmapped")</x:f>
        <x:v>Everyday crewneck</x:v>
      </x:c>
      <x:c r="F454" s="2" t="str">
        <x:f>_xlfn.IFNA(VLOOKUP(D454,'Products'!$A$7:$I$22,3,FALSE),"Unmapped")</x:f>
        <x:v>Apparel</x:v>
      </x:c>
      <x:c r="G454" s="2" t="n">
        <x:v>1</x:v>
      </x:c>
      <x:c r="H454" s="2" t="n">
        <x:v>0</x:v>
      </x:c>
      <x:c r="I454" s="10" t="n">
        <x:v>54.95</x:v>
      </x:c>
      <x:c r="J454" s="10" t="n">
        <x:v>0</x:v>
      </x:c>
      <x:c r="K454" s="10" t="n">
        <x:v>22</x:v>
      </x:c>
      <x:c r="L454" s="10" t="n">
        <x:f>G454*I454</x:f>
        <x:v>54.95</x:v>
      </x:c>
      <x:c r="M454" s="10" t="n">
        <x:f>ROUND((L454-J454)*H454/G454,2)</x:f>
        <x:v>0</x:v>
      </x:c>
      <x:c r="N454" s="10" t="n">
        <x:f>L454-J454-M454</x:f>
        <x:v>54.95</x:v>
      </x:c>
      <x:c r="O454" s="10" t="n">
        <x:f>(G454-H454)*K454</x:f>
        <x:v>22</x:v>
      </x:c>
      <x:c r="P454" s="10" t="n">
        <x:f>N454-O454</x:f>
        <x:v>32.95</x:v>
      </x:c>
      <x:c r="Q454" s="9" t="n">
        <x:f>A454-WEEKDAY(A454,2)+1</x:f>
        <x:v>46279</x:v>
      </x:c>
      <x:c r="R454" s="2" t="str">
        <x:f>IF(AND(A454&gt;='Review'!$B$4,A454&lt;='Review'!$D$4),"Selected","Outside")</x:f>
        <x:v>Outside</x:v>
      </x:c>
    </x:row>
    <x:row r="455" ht="20" customHeight="1">
      <x:c r="A455" s="9" t="n">
        <x:v>46280</x:v>
      </x:c>
      <x:c r="B455" s="2" t="str">
        <x:v>MM-1343</x:v>
      </x:c>
      <x:c r="C455" s="2" t="str">
        <x:v>Paid Social</x:v>
      </x:c>
      <x:c r="D455" s="2" t="str">
        <x:v>APP-001</x:v>
      </x:c>
      <x:c r="E455" s="2" t="str">
        <x:f>_xlfn.IFNA(VLOOKUP(D455,'Products'!$A$7:$I$22,2,FALSE),"Unmapped")</x:f>
        <x:v>Everyday crewneck</x:v>
      </x:c>
      <x:c r="F455" s="2" t="str">
        <x:f>_xlfn.IFNA(VLOOKUP(D455,'Products'!$A$7:$I$22,3,FALSE),"Unmapped")</x:f>
        <x:v>Apparel</x:v>
      </x:c>
      <x:c r="G455" s="2" t="n">
        <x:v>1</x:v>
      </x:c>
      <x:c r="H455" s="2" t="n">
        <x:v>0</x:v>
      </x:c>
      <x:c r="I455" s="10" t="n">
        <x:v>54.95</x:v>
      </x:c>
      <x:c r="J455" s="10" t="n">
        <x:v>0</x:v>
      </x:c>
      <x:c r="K455" s="10" t="n">
        <x:v>22</x:v>
      </x:c>
      <x:c r="L455" s="10" t="n">
        <x:f>G455*I455</x:f>
        <x:v>54.95</x:v>
      </x:c>
      <x:c r="M455" s="10" t="n">
        <x:f>ROUND((L455-J455)*H455/G455,2)</x:f>
        <x:v>0</x:v>
      </x:c>
      <x:c r="N455" s="10" t="n">
        <x:f>L455-J455-M455</x:f>
        <x:v>54.95</x:v>
      </x:c>
      <x:c r="O455" s="10" t="n">
        <x:f>(G455-H455)*K455</x:f>
        <x:v>22</x:v>
      </x:c>
      <x:c r="P455" s="10" t="n">
        <x:f>N455-O455</x:f>
        <x:v>32.95</x:v>
      </x:c>
      <x:c r="Q455" s="9" t="n">
        <x:f>A455-WEEKDAY(A455,2)+1</x:f>
        <x:v>46279</x:v>
      </x:c>
      <x:c r="R455" s="2" t="str">
        <x:f>IF(AND(A455&gt;='Review'!$B$4,A455&lt;='Review'!$D$4),"Selected","Outside")</x:f>
        <x:v>Outside</x:v>
      </x:c>
    </x:row>
    <x:row r="456" ht="20" customHeight="1">
      <x:c r="A456" s="9" t="n">
        <x:v>46280</x:v>
      </x:c>
      <x:c r="B456" s="2" t="str">
        <x:v>MM-1326</x:v>
      </x:c>
      <x:c r="C456" s="2" t="str">
        <x:v>Organic Search</x:v>
      </x:c>
      <x:c r="D456" s="2" t="str">
        <x:v>GFT-002</x:v>
      </x:c>
      <x:c r="E456" s="2" t="str">
        <x:f>_xlfn.IFNA(VLOOKUP(D456,'Products'!$A$7:$I$22,2,FALSE),"Unmapped")</x:f>
        <x:v>Cozy weekend gift box</x:v>
      </x:c>
      <x:c r="F456" s="2" t="str">
        <x:f>_xlfn.IFNA(VLOOKUP(D456,'Products'!$A$7:$I$22,3,FALSE),"Unmapped")</x:f>
        <x:v>Gifts</x:v>
      </x:c>
      <x:c r="G456" s="2" t="n">
        <x:v>1</x:v>
      </x:c>
      <x:c r="H456" s="2" t="n">
        <x:v>0</x:v>
      </x:c>
      <x:c r="I456" s="10" t="n">
        <x:v>79.95</x:v>
      </x:c>
      <x:c r="J456" s="10" t="n">
        <x:v>0</x:v>
      </x:c>
      <x:c r="K456" s="10" t="n">
        <x:v>32</x:v>
      </x:c>
      <x:c r="L456" s="10" t="n">
        <x:f>G456*I456</x:f>
        <x:v>79.95</x:v>
      </x:c>
      <x:c r="M456" s="10" t="n">
        <x:f>ROUND((L456-J456)*H456/G456,2)</x:f>
        <x:v>0</x:v>
      </x:c>
      <x:c r="N456" s="10" t="n">
        <x:f>L456-J456-M456</x:f>
        <x:v>79.95</x:v>
      </x:c>
      <x:c r="O456" s="10" t="n">
        <x:f>(G456-H456)*K456</x:f>
        <x:v>32</x:v>
      </x:c>
      <x:c r="P456" s="10" t="n">
        <x:f>N456-O456</x:f>
        <x:v>47.95</x:v>
      </x:c>
      <x:c r="Q456" s="9" t="n">
        <x:f>A456-WEEKDAY(A456,2)+1</x:f>
        <x:v>46279</x:v>
      </x:c>
      <x:c r="R456" s="2" t="str">
        <x:f>IF(AND(A456&gt;='Review'!$B$4,A456&lt;='Review'!$D$4),"Selected","Outside")</x:f>
        <x:v>Outside</x:v>
      </x:c>
    </x:row>
    <x:row r="457" ht="20" customHeight="1">
      <x:c r="A457" s="9" t="n">
        <x:v>46280</x:v>
      </x:c>
      <x:c r="B457" s="2" t="str">
        <x:v>MM-1329</x:v>
      </x:c>
      <x:c r="C457" s="2" t="str">
        <x:v>Direct</x:v>
      </x:c>
      <x:c r="D457" s="2" t="str">
        <x:v>APP-002</x:v>
      </x:c>
      <x:c r="E457" s="2" t="str">
        <x:f>_xlfn.IFNA(VLOOKUP(D457,'Products'!$A$7:$I$22,2,FALSE),"Unmapped")</x:f>
        <x:v>Weekend hoodie</x:v>
      </x:c>
      <x:c r="F457" s="2" t="str">
        <x:f>_xlfn.IFNA(VLOOKUP(D457,'Products'!$A$7:$I$22,3,FALSE),"Unmapped")</x:f>
        <x:v>Apparel</x:v>
      </x:c>
      <x:c r="G457" s="2" t="n">
        <x:v>1</x:v>
      </x:c>
      <x:c r="H457" s="2" t="n">
        <x:v>0</x:v>
      </x:c>
      <x:c r="I457" s="10" t="n">
        <x:v>69.95</x:v>
      </x:c>
      <x:c r="J457" s="10" t="n">
        <x:v>0</x:v>
      </x:c>
      <x:c r="K457" s="10" t="n">
        <x:v>28</x:v>
      </x:c>
      <x:c r="L457" s="10" t="n">
        <x:f>G457*I457</x:f>
        <x:v>69.95</x:v>
      </x:c>
      <x:c r="M457" s="10" t="n">
        <x:f>ROUND((L457-J457)*H457/G457,2)</x:f>
        <x:v>0</x:v>
      </x:c>
      <x:c r="N457" s="10" t="n">
        <x:f>L457-J457-M457</x:f>
        <x:v>69.95</x:v>
      </x:c>
      <x:c r="O457" s="10" t="n">
        <x:f>(G457-H457)*K457</x:f>
        <x:v>28</x:v>
      </x:c>
      <x:c r="P457" s="10" t="n">
        <x:f>N457-O457</x:f>
        <x:v>41.95</x:v>
      </x:c>
      <x:c r="Q457" s="9" t="n">
        <x:f>A457-WEEKDAY(A457,2)+1</x:f>
        <x:v>46279</x:v>
      </x:c>
      <x:c r="R457" s="2" t="str">
        <x:f>IF(AND(A457&gt;='Review'!$B$4,A457&lt;='Review'!$D$4),"Selected","Outside")</x:f>
        <x:v>Outside</x:v>
      </x:c>
    </x:row>
    <x:row r="458" ht="20" customHeight="1">
      <x:c r="A458" s="9" t="n">
        <x:v>46280</x:v>
      </x:c>
      <x:c r="B458" s="2" t="str">
        <x:v>MM-1329</x:v>
      </x:c>
      <x:c r="C458" s="2" t="str">
        <x:v>Direct</x:v>
      </x:c>
      <x:c r="D458" s="2" t="str">
        <x:v>TOTE-001</x:v>
      </x:c>
      <x:c r="E458" s="2" t="str">
        <x:f>_xlfn.IFNA(VLOOKUP(D458,'Products'!$A$7:$I$22,2,FALSE),"Unmapped")</x:f>
        <x:v>Market canvas tote</x:v>
      </x:c>
      <x:c r="F458" s="2" t="str">
        <x:f>_xlfn.IFNA(VLOOKUP(D458,'Products'!$A$7:$I$22,3,FALSE),"Unmapped")</x:f>
        <x:v>Accessories</x:v>
      </x:c>
      <x:c r="G458" s="2" t="n">
        <x:v>3</x:v>
      </x:c>
      <x:c r="H458" s="2" t="n">
        <x:v>1</x:v>
      </x:c>
      <x:c r="I458" s="10" t="n">
        <x:v>19.95</x:v>
      </x:c>
      <x:c r="J458" s="10" t="n">
        <x:v>0</x:v>
      </x:c>
      <x:c r="K458" s="10" t="n">
        <x:v>6</x:v>
      </x:c>
      <x:c r="L458" s="10" t="n">
        <x:f>G458*I458</x:f>
        <x:v>59.849999999999994</x:v>
      </x:c>
      <x:c r="M458" s="10" t="n">
        <x:f>ROUND((L458-J458)*H458/G458,2)</x:f>
        <x:v>19.95</x:v>
      </x:c>
      <x:c r="N458" s="10" t="n">
        <x:f>L458-J458-M458</x:f>
        <x:v>39.89999999999999</x:v>
      </x:c>
      <x:c r="O458" s="10" t="n">
        <x:f>(G458-H458)*K458</x:f>
        <x:v>12</x:v>
      </x:c>
      <x:c r="P458" s="10" t="n">
        <x:f>N458-O458</x:f>
        <x:v>27.89999999999999</x:v>
      </x:c>
      <x:c r="Q458" s="9" t="n">
        <x:f>A458-WEEKDAY(A458,2)+1</x:f>
        <x:v>46279</x:v>
      </x:c>
      <x:c r="R458" s="2" t="str">
        <x:f>IF(AND(A458&gt;='Review'!$B$4,A458&lt;='Review'!$D$4),"Selected","Outside")</x:f>
        <x:v>Outside</x:v>
      </x:c>
    </x:row>
    <x:row r="459" ht="20" customHeight="1">
      <x:c r="A459" s="9" t="n">
        <x:v>46280</x:v>
      </x:c>
      <x:c r="B459" s="2" t="str">
        <x:v>MM-1336</x:v>
      </x:c>
      <x:c r="C459" s="2" t="str">
        <x:v>Organic Search</x:v>
      </x:c>
      <x:c r="D459" s="2" t="str">
        <x:v>HAT-001</x:v>
      </x:c>
      <x:c r="E459" s="2" t="str">
        <x:f>_xlfn.IFNA(VLOOKUP(D459,'Products'!$A$7:$I$22,2,FALSE),"Unmapped")</x:f>
        <x:v>Classic canvas cap</x:v>
      </x:c>
      <x:c r="F459" s="2" t="str">
        <x:f>_xlfn.IFNA(VLOOKUP(D459,'Products'!$A$7:$I$22,3,FALSE),"Unmapped")</x:f>
        <x:v>Accessories</x:v>
      </x:c>
      <x:c r="G459" s="2" t="n">
        <x:v>1</x:v>
      </x:c>
      <x:c r="H459" s="2" t="n">
        <x:v>0</x:v>
      </x:c>
      <x:c r="I459" s="10" t="n">
        <x:v>24.95</x:v>
      </x:c>
      <x:c r="J459" s="10" t="n">
        <x:v>0</x:v>
      </x:c>
      <x:c r="K459" s="10" t="n">
        <x:v>8.5</x:v>
      </x:c>
      <x:c r="L459" s="10" t="n">
        <x:f>G459*I459</x:f>
        <x:v>24.95</x:v>
      </x:c>
      <x:c r="M459" s="10" t="n">
        <x:f>ROUND((L459-J459)*H459/G459,2)</x:f>
        <x:v>0</x:v>
      </x:c>
      <x:c r="N459" s="10" t="n">
        <x:f>L459-J459-M459</x:f>
        <x:v>24.95</x:v>
      </x:c>
      <x:c r="O459" s="10" t="n">
        <x:f>(G459-H459)*K459</x:f>
        <x:v>8.5</x:v>
      </x:c>
      <x:c r="P459" s="10" t="n">
        <x:f>N459-O459</x:f>
        <x:v>16.45</x:v>
      </x:c>
      <x:c r="Q459" s="9" t="n">
        <x:f>A459-WEEKDAY(A459,2)+1</x:f>
        <x:v>46279</x:v>
      </x:c>
      <x:c r="R459" s="2" t="str">
        <x:f>IF(AND(A459&gt;='Review'!$B$4,A459&lt;='Review'!$D$4),"Selected","Outside")</x:f>
        <x:v>Outside</x:v>
      </x:c>
    </x:row>
    <x:row r="460" ht="20" customHeight="1">
      <x:c r="A460" s="9" t="n">
        <x:v>46280</x:v>
      </x:c>
      <x:c r="B460" s="2" t="str">
        <x:v>MM-1336</x:v>
      </x:c>
      <x:c r="C460" s="2" t="str">
        <x:v>Organic Search</x:v>
      </x:c>
      <x:c r="D460" s="2" t="str">
        <x:v>GFT-002</x:v>
      </x:c>
      <x:c r="E460" s="2" t="str">
        <x:f>_xlfn.IFNA(VLOOKUP(D460,'Products'!$A$7:$I$22,2,FALSE),"Unmapped")</x:f>
        <x:v>Cozy weekend gift box</x:v>
      </x:c>
      <x:c r="F460" s="2" t="str">
        <x:f>_xlfn.IFNA(VLOOKUP(D460,'Products'!$A$7:$I$22,3,FALSE),"Unmapped")</x:f>
        <x:v>Gifts</x:v>
      </x:c>
      <x:c r="G460" s="2" t="n">
        <x:v>1</x:v>
      </x:c>
      <x:c r="H460" s="2" t="n">
        <x:v>0</x:v>
      </x:c>
      <x:c r="I460" s="10" t="n">
        <x:v>79.95</x:v>
      </x:c>
      <x:c r="J460" s="10" t="n">
        <x:v>0</x:v>
      </x:c>
      <x:c r="K460" s="10" t="n">
        <x:v>32</x:v>
      </x:c>
      <x:c r="L460" s="10" t="n">
        <x:f>G460*I460</x:f>
        <x:v>79.95</x:v>
      </x:c>
      <x:c r="M460" s="10" t="n">
        <x:f>ROUND((L460-J460)*H460/G460,2)</x:f>
        <x:v>0</x:v>
      </x:c>
      <x:c r="N460" s="10" t="n">
        <x:f>L460-J460-M460</x:f>
        <x:v>79.95</x:v>
      </x:c>
      <x:c r="O460" s="10" t="n">
        <x:f>(G460-H460)*K460</x:f>
        <x:v>32</x:v>
      </x:c>
      <x:c r="P460" s="10" t="n">
        <x:f>N460-O460</x:f>
        <x:v>47.95</x:v>
      </x:c>
      <x:c r="Q460" s="9" t="n">
        <x:f>A460-WEEKDAY(A460,2)+1</x:f>
        <x:v>46279</x:v>
      </x:c>
      <x:c r="R460" s="2" t="str">
        <x:f>IF(AND(A460&gt;='Review'!$B$4,A460&lt;='Review'!$D$4),"Selected","Outside")</x:f>
        <x:v>Outside</x:v>
      </x:c>
    </x:row>
    <x:row r="461" ht="20" customHeight="1">
      <x:c r="A461" s="9" t="n">
        <x:v>46280</x:v>
      </x:c>
      <x:c r="B461" s="2" t="str">
        <x:v>MM-1334</x:v>
      </x:c>
      <x:c r="C461" s="2" t="str">
        <x:v>Paid Social</x:v>
      </x:c>
      <x:c r="D461" s="2" t="str">
        <x:v>APP-001</x:v>
      </x:c>
      <x:c r="E461" s="2" t="str">
        <x:f>_xlfn.IFNA(VLOOKUP(D461,'Products'!$A$7:$I$22,2,FALSE),"Unmapped")</x:f>
        <x:v>Everyday crewneck</x:v>
      </x:c>
      <x:c r="F461" s="2" t="str">
        <x:f>_xlfn.IFNA(VLOOKUP(D461,'Products'!$A$7:$I$22,3,FALSE),"Unmapped")</x:f>
        <x:v>Apparel</x:v>
      </x:c>
      <x:c r="G461" s="2" t="n">
        <x:v>1</x:v>
      </x:c>
      <x:c r="H461" s="2" t="n">
        <x:v>0</x:v>
      </x:c>
      <x:c r="I461" s="10" t="n">
        <x:v>54.95</x:v>
      </x:c>
      <x:c r="J461" s="10" t="n">
        <x:v>0</x:v>
      </x:c>
      <x:c r="K461" s="10" t="n">
        <x:v>22</x:v>
      </x:c>
      <x:c r="L461" s="10" t="n">
        <x:f>G461*I461</x:f>
        <x:v>54.95</x:v>
      </x:c>
      <x:c r="M461" s="10" t="n">
        <x:f>ROUND((L461-J461)*H461/G461,2)</x:f>
        <x:v>0</x:v>
      </x:c>
      <x:c r="N461" s="10" t="n">
        <x:f>L461-J461-M461</x:f>
        <x:v>54.95</x:v>
      </x:c>
      <x:c r="O461" s="10" t="n">
        <x:f>(G461-H461)*K461</x:f>
        <x:v>22</x:v>
      </x:c>
      <x:c r="P461" s="10" t="n">
        <x:f>N461-O461</x:f>
        <x:v>32.95</x:v>
      </x:c>
      <x:c r="Q461" s="9" t="n">
        <x:f>A461-WEEKDAY(A461,2)+1</x:f>
        <x:v>46279</x:v>
      </x:c>
      <x:c r="R461" s="2" t="str">
        <x:f>IF(AND(A461&gt;='Review'!$B$4,A461&lt;='Review'!$D$4),"Selected","Outside")</x:f>
        <x:v>Outside</x:v>
      </x:c>
    </x:row>
    <x:row r="462" ht="20" customHeight="1">
      <x:c r="A462" s="9" t="n">
        <x:v>46280</x:v>
      </x:c>
      <x:c r="B462" s="2" t="str">
        <x:v>MM-1340</x:v>
      </x:c>
      <x:c r="C462" s="2" t="str">
        <x:v>Email</x:v>
      </x:c>
      <x:c r="D462" s="2" t="str">
        <x:v>TUM-001</x:v>
      </x:c>
      <x:c r="E462" s="2" t="str">
        <x:f>_xlfn.IFNA(VLOOKUP(D462,'Products'!$A$7:$I$22,2,FALSE),"Unmapped")</x:f>
        <x:v>Maple travel tumbler</x:v>
      </x:c>
      <x:c r="F462" s="2" t="str">
        <x:f>_xlfn.IFNA(VLOOKUP(D462,'Products'!$A$7:$I$22,3,FALSE),"Unmapped")</x:f>
        <x:v>Drinkware</x:v>
      </x:c>
      <x:c r="G462" s="2" t="n">
        <x:v>2</x:v>
      </x:c>
      <x:c r="H462" s="2" t="n">
        <x:v>0</x:v>
      </x:c>
      <x:c r="I462" s="10" t="n">
        <x:v>32.95</x:v>
      </x:c>
      <x:c r="J462" s="10" t="n">
        <x:v>6.59</x:v>
      </x:c>
      <x:c r="K462" s="10" t="n">
        <x:v>12</x:v>
      </x:c>
      <x:c r="L462" s="10" t="n">
        <x:f>G462*I462</x:f>
        <x:v>65.9</x:v>
      </x:c>
      <x:c r="M462" s="10" t="n">
        <x:f>ROUND((L462-J462)*H462/G462,2)</x:f>
        <x:v>0</x:v>
      </x:c>
      <x:c r="N462" s="10" t="n">
        <x:f>L462-J462-M462</x:f>
        <x:v>59.31</x:v>
      </x:c>
      <x:c r="O462" s="10" t="n">
        <x:f>(G462-H462)*K462</x:f>
        <x:v>24</x:v>
      </x:c>
      <x:c r="P462" s="10" t="n">
        <x:f>N462-O462</x:f>
        <x:v>35.31</x:v>
      </x:c>
      <x:c r="Q462" s="9" t="n">
        <x:f>A462-WEEKDAY(A462,2)+1</x:f>
        <x:v>46279</x:v>
      </x:c>
      <x:c r="R462" s="2" t="str">
        <x:f>IF(AND(A462&gt;='Review'!$B$4,A462&lt;='Review'!$D$4),"Selected","Outside")</x:f>
        <x:v>Outside</x:v>
      </x:c>
    </x:row>
    <x:row r="463" ht="20" customHeight="1">
      <x:c r="A463" s="9" t="n">
        <x:v>46280</x:v>
      </x:c>
      <x:c r="B463" s="2" t="str">
        <x:v>MM-1324</x:v>
      </x:c>
      <x:c r="C463" s="2" t="str">
        <x:v>Organic Search</x:v>
      </x:c>
      <x:c r="D463" s="2" t="str">
        <x:v>KEY-001</x:v>
      </x:c>
      <x:c r="E463" s="2" t="str">
        <x:f>_xlfn.IFNA(VLOOKUP(D463,'Products'!$A$7:$I$22,2,FALSE),"Unmapped")</x:f>
        <x:v>Maple keyring</x:v>
      </x:c>
      <x:c r="F463" s="2" t="str">
        <x:f>_xlfn.IFNA(VLOOKUP(D463,'Products'!$A$7:$I$22,3,FALSE),"Unmapped")</x:f>
        <x:v>Accessories</x:v>
      </x:c>
      <x:c r="G463" s="2" t="n">
        <x:v>1</x:v>
      </x:c>
      <x:c r="H463" s="2" t="n">
        <x:v>0</x:v>
      </x:c>
      <x:c r="I463" s="10" t="n">
        <x:v>12.95</x:v>
      </x:c>
      <x:c r="J463" s="10" t="n">
        <x:v>1.29</x:v>
      </x:c>
      <x:c r="K463" s="10" t="n">
        <x:v>3.5</x:v>
      </x:c>
      <x:c r="L463" s="10" t="n">
        <x:f>G463*I463</x:f>
        <x:v>12.95</x:v>
      </x:c>
      <x:c r="M463" s="10" t="n">
        <x:f>ROUND((L463-J463)*H463/G463,2)</x:f>
        <x:v>0</x:v>
      </x:c>
      <x:c r="N463" s="10" t="n">
        <x:f>L463-J463-M463</x:f>
        <x:v>11.66</x:v>
      </x:c>
      <x:c r="O463" s="10" t="n">
        <x:f>(G463-H463)*K463</x:f>
        <x:v>3.5</x:v>
      </x:c>
      <x:c r="P463" s="10" t="n">
        <x:f>N463-O463</x:f>
        <x:v>8.16</x:v>
      </x:c>
      <x:c r="Q463" s="9" t="n">
        <x:f>A463-WEEKDAY(A463,2)+1</x:f>
        <x:v>46279</x:v>
      </x:c>
      <x:c r="R463" s="2" t="str">
        <x:f>IF(AND(A463&gt;='Review'!$B$4,A463&lt;='Review'!$D$4),"Selected","Outside")</x:f>
        <x:v>Outside</x:v>
      </x:c>
    </x:row>
    <x:row r="464" ht="20" customHeight="1">
      <x:c r="A464" s="9" t="n">
        <x:v>46280</x:v>
      </x:c>
      <x:c r="B464" s="2" t="str">
        <x:v>MM-1331</x:v>
      </x:c>
      <x:c r="C464" s="2" t="str">
        <x:v>Email</x:v>
      </x:c>
      <x:c r="D464" s="2" t="str">
        <x:v>TOTE-001</x:v>
      </x:c>
      <x:c r="E464" s="2" t="str">
        <x:f>_xlfn.IFNA(VLOOKUP(D464,'Products'!$A$7:$I$22,2,FALSE),"Unmapped")</x:f>
        <x:v>Market canvas tote</x:v>
      </x:c>
      <x:c r="F464" s="2" t="str">
        <x:f>_xlfn.IFNA(VLOOKUP(D464,'Products'!$A$7:$I$22,3,FALSE),"Unmapped")</x:f>
        <x:v>Accessories</x:v>
      </x:c>
      <x:c r="G464" s="2" t="n">
        <x:v>1</x:v>
      </x:c>
      <x:c r="H464" s="2" t="n">
        <x:v>0</x:v>
      </x:c>
      <x:c r="I464" s="10" t="n">
        <x:v>19.95</x:v>
      </x:c>
      <x:c r="J464" s="10" t="n">
        <x:v>1.99</x:v>
      </x:c>
      <x:c r="K464" s="10" t="n">
        <x:v>6</x:v>
      </x:c>
      <x:c r="L464" s="10" t="n">
        <x:f>G464*I464</x:f>
        <x:v>19.95</x:v>
      </x:c>
      <x:c r="M464" s="10" t="n">
        <x:f>ROUND((L464-J464)*H464/G464,2)</x:f>
        <x:v>0</x:v>
      </x:c>
      <x:c r="N464" s="10" t="n">
        <x:f>L464-J464-M464</x:f>
        <x:v>17.96</x:v>
      </x:c>
      <x:c r="O464" s="10" t="n">
        <x:f>(G464-H464)*K464</x:f>
        <x:v>6</x:v>
      </x:c>
      <x:c r="P464" s="10" t="n">
        <x:f>N464-O464</x:f>
        <x:v>11.96</x:v>
      </x:c>
      <x:c r="Q464" s="9" t="n">
        <x:f>A464-WEEKDAY(A464,2)+1</x:f>
        <x:v>46279</x:v>
      </x:c>
      <x:c r="R464" s="2" t="str">
        <x:f>IF(AND(A464&gt;='Review'!$B$4,A464&lt;='Review'!$D$4),"Selected","Outside")</x:f>
        <x:v>Outside</x:v>
      </x:c>
    </x:row>
    <x:row r="465" ht="20" customHeight="1">
      <x:c r="A465" s="9" t="n">
        <x:v>46280</x:v>
      </x:c>
      <x:c r="B465" s="2" t="str">
        <x:v>MM-1331</x:v>
      </x:c>
      <x:c r="C465" s="2" t="str">
        <x:v>Email</x:v>
      </x:c>
      <x:c r="D465" s="2" t="str">
        <x:v>KEY-001</x:v>
      </x:c>
      <x:c r="E465" s="2" t="str">
        <x:f>_xlfn.IFNA(VLOOKUP(D465,'Products'!$A$7:$I$22,2,FALSE),"Unmapped")</x:f>
        <x:v>Maple keyring</x:v>
      </x:c>
      <x:c r="F465" s="2" t="str">
        <x:f>_xlfn.IFNA(VLOOKUP(D465,'Products'!$A$7:$I$22,3,FALSE),"Unmapped")</x:f>
        <x:v>Accessories</x:v>
      </x:c>
      <x:c r="G465" s="2" t="n">
        <x:v>1</x:v>
      </x:c>
      <x:c r="H465" s="2" t="n">
        <x:v>0</x:v>
      </x:c>
      <x:c r="I465" s="10" t="n">
        <x:v>12.95</x:v>
      </x:c>
      <x:c r="J465" s="10" t="n">
        <x:v>1.29</x:v>
      </x:c>
      <x:c r="K465" s="10" t="n">
        <x:v>3.5</x:v>
      </x:c>
      <x:c r="L465" s="10" t="n">
        <x:f>G465*I465</x:f>
        <x:v>12.95</x:v>
      </x:c>
      <x:c r="M465" s="10" t="n">
        <x:f>ROUND((L465-J465)*H465/G465,2)</x:f>
        <x:v>0</x:v>
      </x:c>
      <x:c r="N465" s="10" t="n">
        <x:f>L465-J465-M465</x:f>
        <x:v>11.66</x:v>
      </x:c>
      <x:c r="O465" s="10" t="n">
        <x:f>(G465-H465)*K465</x:f>
        <x:v>3.5</x:v>
      </x:c>
      <x:c r="P465" s="10" t="n">
        <x:f>N465-O465</x:f>
        <x:v>8.16</x:v>
      </x:c>
      <x:c r="Q465" s="9" t="n">
        <x:f>A465-WEEKDAY(A465,2)+1</x:f>
        <x:v>46279</x:v>
      </x:c>
      <x:c r="R465" s="2" t="str">
        <x:f>IF(AND(A465&gt;='Review'!$B$4,A465&lt;='Review'!$D$4),"Selected","Outside")</x:f>
        <x:v>Outside</x:v>
      </x:c>
    </x:row>
    <x:row r="466" ht="20" customHeight="1">
      <x:c r="A466" s="9" t="n">
        <x:v>46280</x:v>
      </x:c>
      <x:c r="B466" s="2" t="str">
        <x:v>MM-1337</x:v>
      </x:c>
      <x:c r="C466" s="2" t="str">
        <x:v>Email</x:v>
      </x:c>
      <x:c r="D466" s="2" t="str">
        <x:v>APP-003</x:v>
      </x:c>
      <x:c r="E466" s="2" t="str">
        <x:f>_xlfn.IFNA(VLOOKUP(D466,'Products'!$A$7:$I$22,2,FALSE),"Unmapped")</x:f>
        <x:v>Coffee club tee</x:v>
      </x:c>
      <x:c r="F466" s="2" t="str">
        <x:f>_xlfn.IFNA(VLOOKUP(D466,'Products'!$A$7:$I$22,3,FALSE),"Unmapped")</x:f>
        <x:v>Apparel</x:v>
      </x:c>
      <x:c r="G466" s="2" t="n">
        <x:v>1</x:v>
      </x:c>
      <x:c r="H466" s="2" t="n">
        <x:v>0</x:v>
      </x:c>
      <x:c r="I466" s="10" t="n">
        <x:v>29.95</x:v>
      </x:c>
      <x:c r="J466" s="10" t="n">
        <x:v>2.99</x:v>
      </x:c>
      <x:c r="K466" s="10" t="n">
        <x:v>10</x:v>
      </x:c>
      <x:c r="L466" s="10" t="n">
        <x:f>G466*I466</x:f>
        <x:v>29.95</x:v>
      </x:c>
      <x:c r="M466" s="10" t="n">
        <x:f>ROUND((L466-J466)*H466/G466,2)</x:f>
        <x:v>0</x:v>
      </x:c>
      <x:c r="N466" s="10" t="n">
        <x:f>L466-J466-M466</x:f>
        <x:v>26.96</x:v>
      </x:c>
      <x:c r="O466" s="10" t="n">
        <x:f>(G466-H466)*K466</x:f>
        <x:v>10</x:v>
      </x:c>
      <x:c r="P466" s="10" t="n">
        <x:f>N466-O466</x:f>
        <x:v>16.96</x:v>
      </x:c>
      <x:c r="Q466" s="9" t="n">
        <x:f>A466-WEEKDAY(A466,2)+1</x:f>
        <x:v>46279</x:v>
      </x:c>
      <x:c r="R466" s="2" t="str">
        <x:f>IF(AND(A466&gt;='Review'!$B$4,A466&lt;='Review'!$D$4),"Selected","Outside")</x:f>
        <x:v>Outside</x:v>
      </x:c>
    </x:row>
    <x:row r="467" ht="20" customHeight="1">
      <x:c r="A467" s="9" t="n">
        <x:v>46280</x:v>
      </x:c>
      <x:c r="B467" s="2" t="str">
        <x:v>MM-1337</x:v>
      </x:c>
      <x:c r="C467" s="2" t="str">
        <x:v>Email</x:v>
      </x:c>
      <x:c r="D467" s="2" t="str">
        <x:v>BOT-001</x:v>
      </x:c>
      <x:c r="E467" s="2" t="str">
        <x:f>_xlfn.IFNA(VLOOKUP(D467,'Products'!$A$7:$I$22,2,FALSE),"Unmapped")</x:f>
        <x:v>Trail water bottle</x:v>
      </x:c>
      <x:c r="F467" s="2" t="str">
        <x:f>_xlfn.IFNA(VLOOKUP(D467,'Products'!$A$7:$I$22,3,FALSE),"Unmapped")</x:f>
        <x:v>Drinkware</x:v>
      </x:c>
      <x:c r="G467" s="2" t="n">
        <x:v>1</x:v>
      </x:c>
      <x:c r="H467" s="2" t="n">
        <x:v>0</x:v>
      </x:c>
      <x:c r="I467" s="10" t="n">
        <x:v>34.95</x:v>
      </x:c>
      <x:c r="J467" s="10" t="n">
        <x:v>3.49</x:v>
      </x:c>
      <x:c r="K467" s="10" t="n">
        <x:v>13.5</x:v>
      </x:c>
      <x:c r="L467" s="10" t="n">
        <x:f>G467*I467</x:f>
        <x:v>34.95</x:v>
      </x:c>
      <x:c r="M467" s="10" t="n">
        <x:f>ROUND((L467-J467)*H467/G467,2)</x:f>
        <x:v>0</x:v>
      </x:c>
      <x:c r="N467" s="10" t="n">
        <x:f>L467-J467-M467</x:f>
        <x:v>31.46</x:v>
      </x:c>
      <x:c r="O467" s="10" t="n">
        <x:f>(G467-H467)*K467</x:f>
        <x:v>13.5</x:v>
      </x:c>
      <x:c r="P467" s="10" t="n">
        <x:f>N467-O467</x:f>
        <x:v>17.96</x:v>
      </x:c>
      <x:c r="Q467" s="9" t="n">
        <x:f>A467-WEEKDAY(A467,2)+1</x:f>
        <x:v>46279</x:v>
      </x:c>
      <x:c r="R467" s="2" t="str">
        <x:f>IF(AND(A467&gt;='Review'!$B$4,A467&lt;='Review'!$D$4),"Selected","Outside")</x:f>
        <x:v>Outside</x:v>
      </x:c>
    </x:row>
    <x:row r="468" ht="20" customHeight="1">
      <x:c r="A468" s="9" t="n">
        <x:v>46280</x:v>
      </x:c>
      <x:c r="B468" s="2" t="str">
        <x:v>MM-1333</x:v>
      </x:c>
      <x:c r="C468" s="2" t="str">
        <x:v>Paid Social</x:v>
      </x:c>
      <x:c r="D468" s="2" t="str">
        <x:v>APP-002</x:v>
      </x:c>
      <x:c r="E468" s="2" t="str">
        <x:f>_xlfn.IFNA(VLOOKUP(D468,'Products'!$A$7:$I$22,2,FALSE),"Unmapped")</x:f>
        <x:v>Weekend hoodie</x:v>
      </x:c>
      <x:c r="F468" s="2" t="str">
        <x:f>_xlfn.IFNA(VLOOKUP(D468,'Products'!$A$7:$I$22,3,FALSE),"Unmapped")</x:f>
        <x:v>Apparel</x:v>
      </x:c>
      <x:c r="G468" s="2" t="n">
        <x:v>1</x:v>
      </x:c>
      <x:c r="H468" s="2" t="n">
        <x:v>0</x:v>
      </x:c>
      <x:c r="I468" s="10" t="n">
        <x:v>69.95</x:v>
      </x:c>
      <x:c r="J468" s="10" t="n">
        <x:v>0</x:v>
      </x:c>
      <x:c r="K468" s="10" t="n">
        <x:v>28</x:v>
      </x:c>
      <x:c r="L468" s="10" t="n">
        <x:f>G468*I468</x:f>
        <x:v>69.95</x:v>
      </x:c>
      <x:c r="M468" s="10" t="n">
        <x:f>ROUND((L468-J468)*H468/G468,2)</x:f>
        <x:v>0</x:v>
      </x:c>
      <x:c r="N468" s="10" t="n">
        <x:f>L468-J468-M468</x:f>
        <x:v>69.95</x:v>
      </x:c>
      <x:c r="O468" s="10" t="n">
        <x:f>(G468-H468)*K468</x:f>
        <x:v>28</x:v>
      </x:c>
      <x:c r="P468" s="10" t="n">
        <x:f>N468-O468</x:f>
        <x:v>41.95</x:v>
      </x:c>
      <x:c r="Q468" s="9" t="n">
        <x:f>A468-WEEKDAY(A468,2)+1</x:f>
        <x:v>46279</x:v>
      </x:c>
      <x:c r="R468" s="2" t="str">
        <x:f>IF(AND(A468&gt;='Review'!$B$4,A468&lt;='Review'!$D$4),"Selected","Outside")</x:f>
        <x:v>Outside</x:v>
      </x:c>
    </x:row>
    <x:row r="469" ht="20" customHeight="1">
      <x:c r="A469" s="9" t="n">
        <x:v>46280</x:v>
      </x:c>
      <x:c r="B469" s="2" t="str">
        <x:v>MM-1333</x:v>
      </x:c>
      <x:c r="C469" s="2" t="str">
        <x:v>Paid Social</x:v>
      </x:c>
      <x:c r="D469" s="2" t="str">
        <x:v>BOT-001</x:v>
      </x:c>
      <x:c r="E469" s="2" t="str">
        <x:f>_xlfn.IFNA(VLOOKUP(D469,'Products'!$A$7:$I$22,2,FALSE),"Unmapped")</x:f>
        <x:v>Trail water bottle</x:v>
      </x:c>
      <x:c r="F469" s="2" t="str">
        <x:f>_xlfn.IFNA(VLOOKUP(D469,'Products'!$A$7:$I$22,3,FALSE),"Unmapped")</x:f>
        <x:v>Drinkware</x:v>
      </x:c>
      <x:c r="G469" s="2" t="n">
        <x:v>1</x:v>
      </x:c>
      <x:c r="H469" s="2" t="n">
        <x:v>0</x:v>
      </x:c>
      <x:c r="I469" s="10" t="n">
        <x:v>34.95</x:v>
      </x:c>
      <x:c r="J469" s="10" t="n">
        <x:v>0</x:v>
      </x:c>
      <x:c r="K469" s="10" t="n">
        <x:v>13.5</x:v>
      </x:c>
      <x:c r="L469" s="10" t="n">
        <x:f>G469*I469</x:f>
        <x:v>34.95</x:v>
      </x:c>
      <x:c r="M469" s="10" t="n">
        <x:f>ROUND((L469-J469)*H469/G469,2)</x:f>
        <x:v>0</x:v>
      </x:c>
      <x:c r="N469" s="10" t="n">
        <x:f>L469-J469-M469</x:f>
        <x:v>34.95</x:v>
      </x:c>
      <x:c r="O469" s="10" t="n">
        <x:f>(G469-H469)*K469</x:f>
        <x:v>13.5</x:v>
      </x:c>
      <x:c r="P469" s="10" t="n">
        <x:f>N469-O469</x:f>
        <x:v>21.450000000000003</x:v>
      </x:c>
      <x:c r="Q469" s="9" t="n">
        <x:f>A469-WEEKDAY(A469,2)+1</x:f>
        <x:v>46279</x:v>
      </x:c>
      <x:c r="R469" s="2" t="str">
        <x:f>IF(AND(A469&gt;='Review'!$B$4,A469&lt;='Review'!$D$4),"Selected","Outside")</x:f>
        <x:v>Outside</x:v>
      </x:c>
    </x:row>
    <x:row r="470" ht="20" customHeight="1">
      <x:c r="A470" s="9" t="n">
        <x:v>46280</x:v>
      </x:c>
      <x:c r="B470" s="2" t="str">
        <x:v>MM-1341</x:v>
      </x:c>
      <x:c r="C470" s="2" t="str">
        <x:v>Email</x:v>
      </x:c>
      <x:c r="D470" s="2" t="str">
        <x:v>MUG-001</x:v>
      </x:c>
      <x:c r="E470" s="2" t="str">
        <x:f>_xlfn.IFNA(VLOOKUP(D470,'Products'!$A$7:$I$22,2,FALSE),"Unmapped")</x:f>
        <x:v>Everyday ceramic mug</x:v>
      </x:c>
      <x:c r="F470" s="2" t="str">
        <x:f>_xlfn.IFNA(VLOOKUP(D470,'Products'!$A$7:$I$22,3,FALSE),"Unmapped")</x:f>
        <x:v>Drinkware</x:v>
      </x:c>
      <x:c r="G470" s="2" t="n">
        <x:v>1</x:v>
      </x:c>
      <x:c r="H470" s="2" t="n">
        <x:v>0</x:v>
      </x:c>
      <x:c r="I470" s="10" t="n">
        <x:v>18.95</x:v>
      </x:c>
      <x:c r="J470" s="10" t="n">
        <x:v>1.89</x:v>
      </x:c>
      <x:c r="K470" s="10" t="n">
        <x:v>6.5</x:v>
      </x:c>
      <x:c r="L470" s="10" t="n">
        <x:f>G470*I470</x:f>
        <x:v>18.95</x:v>
      </x:c>
      <x:c r="M470" s="10" t="n">
        <x:f>ROUND((L470-J470)*H470/G470,2)</x:f>
        <x:v>0</x:v>
      </x:c>
      <x:c r="N470" s="10" t="n">
        <x:f>L470-J470-M470</x:f>
        <x:v>17.06</x:v>
      </x:c>
      <x:c r="O470" s="10" t="n">
        <x:f>(G470-H470)*K470</x:f>
        <x:v>6.5</x:v>
      </x:c>
      <x:c r="P470" s="10" t="n">
        <x:f>N470-O470</x:f>
        <x:v>10.559999999999999</x:v>
      </x:c>
      <x:c r="Q470" s="9" t="n">
        <x:f>A470-WEEKDAY(A470,2)+1</x:f>
        <x:v>46279</x:v>
      </x:c>
      <x:c r="R470" s="2" t="str">
        <x:f>IF(AND(A470&gt;='Review'!$B$4,A470&lt;='Review'!$D$4),"Selected","Outside")</x:f>
        <x:v>Outside</x:v>
      </x:c>
    </x:row>
    <x:row r="471" ht="20" customHeight="1">
      <x:c r="A471" s="9" t="n">
        <x:v>46281</x:v>
      </x:c>
      <x:c r="B471" s="2" t="str">
        <x:v>MM-1348</x:v>
      </x:c>
      <x:c r="C471" s="2" t="str">
        <x:v>Email</x:v>
      </x:c>
      <x:c r="D471" s="2" t="str">
        <x:v>APP-003</x:v>
      </x:c>
      <x:c r="E471" s="2" t="str">
        <x:f>_xlfn.IFNA(VLOOKUP(D471,'Products'!$A$7:$I$22,2,FALSE),"Unmapped")</x:f>
        <x:v>Coffee club tee</x:v>
      </x:c>
      <x:c r="F471" s="2" t="str">
        <x:f>_xlfn.IFNA(VLOOKUP(D471,'Products'!$A$7:$I$22,3,FALSE),"Unmapped")</x:f>
        <x:v>Apparel</x:v>
      </x:c>
      <x:c r="G471" s="2" t="n">
        <x:v>2</x:v>
      </x:c>
      <x:c r="H471" s="2" t="n">
        <x:v>0</x:v>
      </x:c>
      <x:c r="I471" s="10" t="n">
        <x:v>29.95</x:v>
      </x:c>
      <x:c r="J471" s="10" t="n">
        <x:v>5.99</x:v>
      </x:c>
      <x:c r="K471" s="10" t="n">
        <x:v>10</x:v>
      </x:c>
      <x:c r="L471" s="10" t="n">
        <x:f>G471*I471</x:f>
        <x:v>59.9</x:v>
      </x:c>
      <x:c r="M471" s="10" t="n">
        <x:f>ROUND((L471-J471)*H471/G471,2)</x:f>
        <x:v>0</x:v>
      </x:c>
      <x:c r="N471" s="10" t="n">
        <x:f>L471-J471-M471</x:f>
        <x:v>53.91</x:v>
      </x:c>
      <x:c r="O471" s="10" t="n">
        <x:f>(G471-H471)*K471</x:f>
        <x:v>20</x:v>
      </x:c>
      <x:c r="P471" s="10" t="n">
        <x:f>N471-O471</x:f>
        <x:v>33.91</x:v>
      </x:c>
      <x:c r="Q471" s="9" t="n">
        <x:f>A471-WEEKDAY(A471,2)+1</x:f>
        <x:v>46279</x:v>
      </x:c>
      <x:c r="R471" s="2" t="str">
        <x:f>IF(AND(A471&gt;='Review'!$B$4,A471&lt;='Review'!$D$4),"Selected","Outside")</x:f>
        <x:v>Outside</x:v>
      </x:c>
    </x:row>
    <x:row r="472" ht="20" customHeight="1">
      <x:c r="A472" s="9" t="n">
        <x:v>46281</x:v>
      </x:c>
      <x:c r="B472" s="2" t="str">
        <x:v>MM-1348</x:v>
      </x:c>
      <x:c r="C472" s="2" t="str">
        <x:v>Email</x:v>
      </x:c>
      <x:c r="D472" s="2" t="str">
        <x:v>TUM-001</x:v>
      </x:c>
      <x:c r="E472" s="2" t="str">
        <x:f>_xlfn.IFNA(VLOOKUP(D472,'Products'!$A$7:$I$22,2,FALSE),"Unmapped")</x:f>
        <x:v>Maple travel tumbler</x:v>
      </x:c>
      <x:c r="F472" s="2" t="str">
        <x:f>_xlfn.IFNA(VLOOKUP(D472,'Products'!$A$7:$I$22,3,FALSE),"Unmapped")</x:f>
        <x:v>Drinkware</x:v>
      </x:c>
      <x:c r="G472" s="2" t="n">
        <x:v>1</x:v>
      </x:c>
      <x:c r="H472" s="2" t="n">
        <x:v>0</x:v>
      </x:c>
      <x:c r="I472" s="10" t="n">
        <x:v>32.95</x:v>
      </x:c>
      <x:c r="J472" s="10" t="n">
        <x:v>3.29</x:v>
      </x:c>
      <x:c r="K472" s="10" t="n">
        <x:v>12</x:v>
      </x:c>
      <x:c r="L472" s="10" t="n">
        <x:f>G472*I472</x:f>
        <x:v>32.95</x:v>
      </x:c>
      <x:c r="M472" s="10" t="n">
        <x:f>ROUND((L472-J472)*H472/G472,2)</x:f>
        <x:v>0</x:v>
      </x:c>
      <x:c r="N472" s="10" t="n">
        <x:f>L472-J472-M472</x:f>
        <x:v>29.660000000000004</x:v>
      </x:c>
      <x:c r="O472" s="10" t="n">
        <x:f>(G472-H472)*K472</x:f>
        <x:v>12</x:v>
      </x:c>
      <x:c r="P472" s="10" t="n">
        <x:f>N472-O472</x:f>
        <x:v>17.660000000000004</x:v>
      </x:c>
      <x:c r="Q472" s="9" t="n">
        <x:f>A472-WEEKDAY(A472,2)+1</x:f>
        <x:v>46279</x:v>
      </x:c>
      <x:c r="R472" s="2" t="str">
        <x:f>IF(AND(A472&gt;='Review'!$B$4,A472&lt;='Review'!$D$4),"Selected","Outside")</x:f>
        <x:v>Outside</x:v>
      </x:c>
    </x:row>
    <x:row r="473" ht="20" customHeight="1">
      <x:c r="A473" s="9" t="n">
        <x:v>46281</x:v>
      </x:c>
      <x:c r="B473" s="2" t="str">
        <x:v>MM-1354</x:v>
      </x:c>
      <x:c r="C473" s="2" t="str">
        <x:v>Organic Search</x:v>
      </x:c>
      <x:c r="D473" s="2" t="str">
        <x:v>TUM-001</x:v>
      </x:c>
      <x:c r="E473" s="2" t="str">
        <x:f>_xlfn.IFNA(VLOOKUP(D473,'Products'!$A$7:$I$22,2,FALSE),"Unmapped")</x:f>
        <x:v>Maple travel tumbler</x:v>
      </x:c>
      <x:c r="F473" s="2" t="str">
        <x:f>_xlfn.IFNA(VLOOKUP(D473,'Products'!$A$7:$I$22,3,FALSE),"Unmapped")</x:f>
        <x:v>Drinkware</x:v>
      </x:c>
      <x:c r="G473" s="2" t="n">
        <x:v>1</x:v>
      </x:c>
      <x:c r="H473" s="2" t="n">
        <x:v>0</x:v>
      </x:c>
      <x:c r="I473" s="10" t="n">
        <x:v>32.95</x:v>
      </x:c>
      <x:c r="J473" s="10" t="n">
        <x:v>0</x:v>
      </x:c>
      <x:c r="K473" s="10" t="n">
        <x:v>12</x:v>
      </x:c>
      <x:c r="L473" s="10" t="n">
        <x:f>G473*I473</x:f>
        <x:v>32.95</x:v>
      </x:c>
      <x:c r="M473" s="10" t="n">
        <x:f>ROUND((L473-J473)*H473/G473,2)</x:f>
        <x:v>0</x:v>
      </x:c>
      <x:c r="N473" s="10" t="n">
        <x:f>L473-J473-M473</x:f>
        <x:v>32.95</x:v>
      </x:c>
      <x:c r="O473" s="10" t="n">
        <x:f>(G473-H473)*K473</x:f>
        <x:v>12</x:v>
      </x:c>
      <x:c r="P473" s="10" t="n">
        <x:f>N473-O473</x:f>
        <x:v>20.950000000000003</x:v>
      </x:c>
      <x:c r="Q473" s="9" t="n">
        <x:f>A473-WEEKDAY(A473,2)+1</x:f>
        <x:v>46279</x:v>
      </x:c>
      <x:c r="R473" s="2" t="str">
        <x:f>IF(AND(A473&gt;='Review'!$B$4,A473&lt;='Review'!$D$4),"Selected","Outside")</x:f>
        <x:v>Outside</x:v>
      </x:c>
    </x:row>
    <x:row r="474" ht="20" customHeight="1">
      <x:c r="A474" s="9" t="n">
        <x:v>46281</x:v>
      </x:c>
      <x:c r="B474" s="2" t="str">
        <x:v>MM-1354</x:v>
      </x:c>
      <x:c r="C474" s="2" t="str">
        <x:v>Organic Search</x:v>
      </x:c>
      <x:c r="D474" s="2" t="str">
        <x:v>GFT-002</x:v>
      </x:c>
      <x:c r="E474" s="2" t="str">
        <x:f>_xlfn.IFNA(VLOOKUP(D474,'Products'!$A$7:$I$22,2,FALSE),"Unmapped")</x:f>
        <x:v>Cozy weekend gift box</x:v>
      </x:c>
      <x:c r="F474" s="2" t="str">
        <x:f>_xlfn.IFNA(VLOOKUP(D474,'Products'!$A$7:$I$22,3,FALSE),"Unmapped")</x:f>
        <x:v>Gifts</x:v>
      </x:c>
      <x:c r="G474" s="2" t="n">
        <x:v>2</x:v>
      </x:c>
      <x:c r="H474" s="2" t="n">
        <x:v>0</x:v>
      </x:c>
      <x:c r="I474" s="10" t="n">
        <x:v>79.95</x:v>
      </x:c>
      <x:c r="J474" s="10" t="n">
        <x:v>0</x:v>
      </x:c>
      <x:c r="K474" s="10" t="n">
        <x:v>32</x:v>
      </x:c>
      <x:c r="L474" s="10" t="n">
        <x:f>G474*I474</x:f>
        <x:v>159.9</x:v>
      </x:c>
      <x:c r="M474" s="10" t="n">
        <x:f>ROUND((L474-J474)*H474/G474,2)</x:f>
        <x:v>0</x:v>
      </x:c>
      <x:c r="N474" s="10" t="n">
        <x:f>L474-J474-M474</x:f>
        <x:v>159.9</x:v>
      </x:c>
      <x:c r="O474" s="10" t="n">
        <x:f>(G474-H474)*K474</x:f>
        <x:v>64</x:v>
      </x:c>
      <x:c r="P474" s="10" t="n">
        <x:f>N474-O474</x:f>
        <x:v>95.9</x:v>
      </x:c>
      <x:c r="Q474" s="9" t="n">
        <x:f>A474-WEEKDAY(A474,2)+1</x:f>
        <x:v>46279</x:v>
      </x:c>
      <x:c r="R474" s="2" t="str">
        <x:f>IF(AND(A474&gt;='Review'!$B$4,A474&lt;='Review'!$D$4),"Selected","Outside")</x:f>
        <x:v>Outside</x:v>
      </x:c>
    </x:row>
    <x:row r="475" ht="20" customHeight="1">
      <x:c r="A475" s="9" t="n">
        <x:v>46281</x:v>
      </x:c>
      <x:c r="B475" s="2" t="str">
        <x:v>MM-1355</x:v>
      </x:c>
      <x:c r="C475" s="2" t="str">
        <x:v>Organic Search</x:v>
      </x:c>
      <x:c r="D475" s="2" t="str">
        <x:v>APP-003</x:v>
      </x:c>
      <x:c r="E475" s="2" t="str">
        <x:f>_xlfn.IFNA(VLOOKUP(D475,'Products'!$A$7:$I$22,2,FALSE),"Unmapped")</x:f>
        <x:v>Coffee club tee</x:v>
      </x:c>
      <x:c r="F475" s="2" t="str">
        <x:f>_xlfn.IFNA(VLOOKUP(D475,'Products'!$A$7:$I$22,3,FALSE),"Unmapped")</x:f>
        <x:v>Apparel</x:v>
      </x:c>
      <x:c r="G475" s="2" t="n">
        <x:v>1</x:v>
      </x:c>
      <x:c r="H475" s="2" t="n">
        <x:v>0</x:v>
      </x:c>
      <x:c r="I475" s="10" t="n">
        <x:v>29.95</x:v>
      </x:c>
      <x:c r="J475" s="10" t="n">
        <x:v>2.99</x:v>
      </x:c>
      <x:c r="K475" s="10" t="n">
        <x:v>10</x:v>
      </x:c>
      <x:c r="L475" s="10" t="n">
        <x:f>G475*I475</x:f>
        <x:v>29.95</x:v>
      </x:c>
      <x:c r="M475" s="10" t="n">
        <x:f>ROUND((L475-J475)*H475/G475,2)</x:f>
        <x:v>0</x:v>
      </x:c>
      <x:c r="N475" s="10" t="n">
        <x:f>L475-J475-M475</x:f>
        <x:v>26.96</x:v>
      </x:c>
      <x:c r="O475" s="10" t="n">
        <x:f>(G475-H475)*K475</x:f>
        <x:v>10</x:v>
      </x:c>
      <x:c r="P475" s="10" t="n">
        <x:f>N475-O475</x:f>
        <x:v>16.96</x:v>
      </x:c>
      <x:c r="Q475" s="9" t="n">
        <x:f>A475-WEEKDAY(A475,2)+1</x:f>
        <x:v>46279</x:v>
      </x:c>
      <x:c r="R475" s="2" t="str">
        <x:f>IF(AND(A475&gt;='Review'!$B$4,A475&lt;='Review'!$D$4),"Selected","Outside")</x:f>
        <x:v>Outside</x:v>
      </x:c>
    </x:row>
    <x:row r="476" ht="20" customHeight="1">
      <x:c r="A476" s="9" t="n">
        <x:v>46281</x:v>
      </x:c>
      <x:c r="B476" s="2" t="str">
        <x:v>MM-1351</x:v>
      </x:c>
      <x:c r="C476" s="2" t="str">
        <x:v>Direct</x:v>
      </x:c>
      <x:c r="D476" s="2" t="str">
        <x:v>KEY-001</x:v>
      </x:c>
      <x:c r="E476" s="2" t="str">
        <x:f>_xlfn.IFNA(VLOOKUP(D476,'Products'!$A$7:$I$22,2,FALSE),"Unmapped")</x:f>
        <x:v>Maple keyring</x:v>
      </x:c>
      <x:c r="F476" s="2" t="str">
        <x:f>_xlfn.IFNA(VLOOKUP(D476,'Products'!$A$7:$I$22,3,FALSE),"Unmapped")</x:f>
        <x:v>Accessories</x:v>
      </x:c>
      <x:c r="G476" s="2" t="n">
        <x:v>1</x:v>
      </x:c>
      <x:c r="H476" s="2" t="n">
        <x:v>0</x:v>
      </x:c>
      <x:c r="I476" s="10" t="n">
        <x:v>12.95</x:v>
      </x:c>
      <x:c r="J476" s="10" t="n">
        <x:v>0</x:v>
      </x:c>
      <x:c r="K476" s="10" t="n">
        <x:v>3.5</x:v>
      </x:c>
      <x:c r="L476" s="10" t="n">
        <x:f>G476*I476</x:f>
        <x:v>12.95</x:v>
      </x:c>
      <x:c r="M476" s="10" t="n">
        <x:f>ROUND((L476-J476)*H476/G476,2)</x:f>
        <x:v>0</x:v>
      </x:c>
      <x:c r="N476" s="10" t="n">
        <x:f>L476-J476-M476</x:f>
        <x:v>12.95</x:v>
      </x:c>
      <x:c r="O476" s="10" t="n">
        <x:f>(G476-H476)*K476</x:f>
        <x:v>3.5</x:v>
      </x:c>
      <x:c r="P476" s="10" t="n">
        <x:f>N476-O476</x:f>
        <x:v>9.45</x:v>
      </x:c>
      <x:c r="Q476" s="9" t="n">
        <x:f>A476-WEEKDAY(A476,2)+1</x:f>
        <x:v>46279</x:v>
      </x:c>
      <x:c r="R476" s="2" t="str">
        <x:f>IF(AND(A476&gt;='Review'!$B$4,A476&lt;='Review'!$D$4),"Selected","Outside")</x:f>
        <x:v>Outside</x:v>
      </x:c>
    </x:row>
    <x:row r="477" ht="20" customHeight="1">
      <x:c r="A477" s="9" t="n">
        <x:v>46281</x:v>
      </x:c>
      <x:c r="B477" s="2" t="str">
        <x:v>MM-1351</x:v>
      </x:c>
      <x:c r="C477" s="2" t="str">
        <x:v>Direct</x:v>
      </x:c>
      <x:c r="D477" s="2" t="str">
        <x:v>APP-002</x:v>
      </x:c>
      <x:c r="E477" s="2" t="str">
        <x:f>_xlfn.IFNA(VLOOKUP(D477,'Products'!$A$7:$I$22,2,FALSE),"Unmapped")</x:f>
        <x:v>Weekend hoodie</x:v>
      </x:c>
      <x:c r="F477" s="2" t="str">
        <x:f>_xlfn.IFNA(VLOOKUP(D477,'Products'!$A$7:$I$22,3,FALSE),"Unmapped")</x:f>
        <x:v>Apparel</x:v>
      </x:c>
      <x:c r="G477" s="2" t="n">
        <x:v>1</x:v>
      </x:c>
      <x:c r="H477" s="2" t="n">
        <x:v>0</x:v>
      </x:c>
      <x:c r="I477" s="10" t="n">
        <x:v>69.95</x:v>
      </x:c>
      <x:c r="J477" s="10" t="n">
        <x:v>0</x:v>
      </x:c>
      <x:c r="K477" s="10" t="n">
        <x:v>28</x:v>
      </x:c>
      <x:c r="L477" s="10" t="n">
        <x:f>G477*I477</x:f>
        <x:v>69.95</x:v>
      </x:c>
      <x:c r="M477" s="10" t="n">
        <x:f>ROUND((L477-J477)*H477/G477,2)</x:f>
        <x:v>0</x:v>
      </x:c>
      <x:c r="N477" s="10" t="n">
        <x:f>L477-J477-M477</x:f>
        <x:v>69.95</x:v>
      </x:c>
      <x:c r="O477" s="10" t="n">
        <x:f>(G477-H477)*K477</x:f>
        <x:v>28</x:v>
      </x:c>
      <x:c r="P477" s="10" t="n">
        <x:f>N477-O477</x:f>
        <x:v>41.95</x:v>
      </x:c>
      <x:c r="Q477" s="9" t="n">
        <x:f>A477-WEEKDAY(A477,2)+1</x:f>
        <x:v>46279</x:v>
      </x:c>
      <x:c r="R477" s="2" t="str">
        <x:f>IF(AND(A477&gt;='Review'!$B$4,A477&lt;='Review'!$D$4),"Selected","Outside")</x:f>
        <x:v>Outside</x:v>
      </x:c>
    </x:row>
    <x:row r="478" ht="20" customHeight="1">
      <x:c r="A478" s="9" t="n">
        <x:v>46281</x:v>
      </x:c>
      <x:c r="B478" s="2" t="str">
        <x:v>MM-1351</x:v>
      </x:c>
      <x:c r="C478" s="2" t="str">
        <x:v>Direct</x:v>
      </x:c>
      <x:c r="D478" s="2" t="str">
        <x:v>MUG-002</x:v>
      </x:c>
      <x:c r="E478" s="2" t="str">
        <x:f>_xlfn.IFNA(VLOOKUP(D478,'Products'!$A$7:$I$22,2,FALSE),"Unmapped")</x:f>
        <x:v>Campfire enamel mug</x:v>
      </x:c>
      <x:c r="F478" s="2" t="str">
        <x:f>_xlfn.IFNA(VLOOKUP(D478,'Products'!$A$7:$I$22,3,FALSE),"Unmapped")</x:f>
        <x:v>Drinkware</x:v>
      </x:c>
      <x:c r="G478" s="2" t="n">
        <x:v>1</x:v>
      </x:c>
      <x:c r="H478" s="2" t="n">
        <x:v>0</x:v>
      </x:c>
      <x:c r="I478" s="10" t="n">
        <x:v>22.95</x:v>
      </x:c>
      <x:c r="J478" s="10" t="n">
        <x:v>0</x:v>
      </x:c>
      <x:c r="K478" s="10" t="n">
        <x:v>8.5</x:v>
      </x:c>
      <x:c r="L478" s="10" t="n">
        <x:f>G478*I478</x:f>
        <x:v>22.95</x:v>
      </x:c>
      <x:c r="M478" s="10" t="n">
        <x:f>ROUND((L478-J478)*H478/G478,2)</x:f>
        <x:v>0</x:v>
      </x:c>
      <x:c r="N478" s="10" t="n">
        <x:f>L478-J478-M478</x:f>
        <x:v>22.95</x:v>
      </x:c>
      <x:c r="O478" s="10" t="n">
        <x:f>(G478-H478)*K478</x:f>
        <x:v>8.5</x:v>
      </x:c>
      <x:c r="P478" s="10" t="n">
        <x:f>N478-O478</x:f>
        <x:v>14.45</x:v>
      </x:c>
      <x:c r="Q478" s="9" t="n">
        <x:f>A478-WEEKDAY(A478,2)+1</x:f>
        <x:v>46279</x:v>
      </x:c>
      <x:c r="R478" s="2" t="str">
        <x:f>IF(AND(A478&gt;='Review'!$B$4,A478&lt;='Review'!$D$4),"Selected","Outside")</x:f>
        <x:v>Outside</x:v>
      </x:c>
    </x:row>
    <x:row r="479" ht="20" customHeight="1">
      <x:c r="A479" s="9" t="n">
        <x:v>46281</x:v>
      </x:c>
      <x:c r="B479" s="2" t="str">
        <x:v>MM-1350</x:v>
      </x:c>
      <x:c r="C479" s="2" t="str">
        <x:v>Organic Search</x:v>
      </x:c>
      <x:c r="D479" s="2" t="str">
        <x:v>APP-002</x:v>
      </x:c>
      <x:c r="E479" s="2" t="str">
        <x:f>_xlfn.IFNA(VLOOKUP(D479,'Products'!$A$7:$I$22,2,FALSE),"Unmapped")</x:f>
        <x:v>Weekend hoodie</x:v>
      </x:c>
      <x:c r="F479" s="2" t="str">
        <x:f>_xlfn.IFNA(VLOOKUP(D479,'Products'!$A$7:$I$22,3,FALSE),"Unmapped")</x:f>
        <x:v>Apparel</x:v>
      </x:c>
      <x:c r="G479" s="2" t="n">
        <x:v>1</x:v>
      </x:c>
      <x:c r="H479" s="2" t="n">
        <x:v>0</x:v>
      </x:c>
      <x:c r="I479" s="10" t="n">
        <x:v>69.95</x:v>
      </x:c>
      <x:c r="J479" s="10" t="n">
        <x:v>0</x:v>
      </x:c>
      <x:c r="K479" s="10" t="n">
        <x:v>28</x:v>
      </x:c>
      <x:c r="L479" s="10" t="n">
        <x:f>G479*I479</x:f>
        <x:v>69.95</x:v>
      </x:c>
      <x:c r="M479" s="10" t="n">
        <x:f>ROUND((L479-J479)*H479/G479,2)</x:f>
        <x:v>0</x:v>
      </x:c>
      <x:c r="N479" s="10" t="n">
        <x:f>L479-J479-M479</x:f>
        <x:v>69.95</x:v>
      </x:c>
      <x:c r="O479" s="10" t="n">
        <x:f>(G479-H479)*K479</x:f>
        <x:v>28</x:v>
      </x:c>
      <x:c r="P479" s="10" t="n">
        <x:f>N479-O479</x:f>
        <x:v>41.95</x:v>
      </x:c>
      <x:c r="Q479" s="9" t="n">
        <x:f>A479-WEEKDAY(A479,2)+1</x:f>
        <x:v>46279</x:v>
      </x:c>
      <x:c r="R479" s="2" t="str">
        <x:f>IF(AND(A479&gt;='Review'!$B$4,A479&lt;='Review'!$D$4),"Selected","Outside")</x:f>
        <x:v>Outside</x:v>
      </x:c>
    </x:row>
    <x:row r="480" ht="20" customHeight="1">
      <x:c r="A480" s="9" t="n">
        <x:v>46281</x:v>
      </x:c>
      <x:c r="B480" s="2" t="str">
        <x:v>MM-1352</x:v>
      </x:c>
      <x:c r="C480" s="2" t="str">
        <x:v>Organic Search</x:v>
      </x:c>
      <x:c r="D480" s="2" t="str">
        <x:v>BOT-001</x:v>
      </x:c>
      <x:c r="E480" s="2" t="str">
        <x:f>_xlfn.IFNA(VLOOKUP(D480,'Products'!$A$7:$I$22,2,FALSE),"Unmapped")</x:f>
        <x:v>Trail water bottle</x:v>
      </x:c>
      <x:c r="F480" s="2" t="str">
        <x:f>_xlfn.IFNA(VLOOKUP(D480,'Products'!$A$7:$I$22,3,FALSE),"Unmapped")</x:f>
        <x:v>Drinkware</x:v>
      </x:c>
      <x:c r="G480" s="2" t="n">
        <x:v>1</x:v>
      </x:c>
      <x:c r="H480" s="2" t="n">
        <x:v>0</x:v>
      </x:c>
      <x:c r="I480" s="10" t="n">
        <x:v>34.95</x:v>
      </x:c>
      <x:c r="J480" s="10" t="n">
        <x:v>0</x:v>
      </x:c>
      <x:c r="K480" s="10" t="n">
        <x:v>13.5</x:v>
      </x:c>
      <x:c r="L480" s="10" t="n">
        <x:f>G480*I480</x:f>
        <x:v>34.95</x:v>
      </x:c>
      <x:c r="M480" s="10" t="n">
        <x:f>ROUND((L480-J480)*H480/G480,2)</x:f>
        <x:v>0</x:v>
      </x:c>
      <x:c r="N480" s="10" t="n">
        <x:f>L480-J480-M480</x:f>
        <x:v>34.95</x:v>
      </x:c>
      <x:c r="O480" s="10" t="n">
        <x:f>(G480-H480)*K480</x:f>
        <x:v>13.5</x:v>
      </x:c>
      <x:c r="P480" s="10" t="n">
        <x:f>N480-O480</x:f>
        <x:v>21.450000000000003</x:v>
      </x:c>
      <x:c r="Q480" s="9" t="n">
        <x:f>A480-WEEKDAY(A480,2)+1</x:f>
        <x:v>46279</x:v>
      </x:c>
      <x:c r="R480" s="2" t="str">
        <x:f>IF(AND(A480&gt;='Review'!$B$4,A480&lt;='Review'!$D$4),"Selected","Outside")</x:f>
        <x:v>Outside</x:v>
      </x:c>
    </x:row>
    <x:row r="481" ht="20" customHeight="1">
      <x:c r="A481" s="9" t="n">
        <x:v>46281</x:v>
      </x:c>
      <x:c r="B481" s="2" t="str">
        <x:v>MM-1356</x:v>
      </x:c>
      <x:c r="C481" s="2" t="str">
        <x:v>Paid Social</x:v>
      </x:c>
      <x:c r="D481" s="2" t="str">
        <x:v>TUM-002</x:v>
      </x:c>
      <x:c r="E481" s="2" t="str">
        <x:f>_xlfn.IFNA(VLOOKUP(D481,'Products'!$A$7:$I$22,2,FALSE),"Unmapped")</x:f>
        <x:v>Cold brew glass cup</x:v>
      </x:c>
      <x:c r="F481" s="2" t="str">
        <x:f>_xlfn.IFNA(VLOOKUP(D481,'Products'!$A$7:$I$22,3,FALSE),"Unmapped")</x:f>
        <x:v>Drinkware</x:v>
      </x:c>
      <x:c r="G481" s="2" t="n">
        <x:v>1</x:v>
      </x:c>
      <x:c r="H481" s="2" t="n">
        <x:v>0</x:v>
      </x:c>
      <x:c r="I481" s="10" t="n">
        <x:v>24.95</x:v>
      </x:c>
      <x:c r="J481" s="10" t="n">
        <x:v>0</x:v>
      </x:c>
      <x:c r="K481" s="10" t="n">
        <x:v>9</x:v>
      </x:c>
      <x:c r="L481" s="10" t="n">
        <x:f>G481*I481</x:f>
        <x:v>24.95</x:v>
      </x:c>
      <x:c r="M481" s="10" t="n">
        <x:f>ROUND((L481-J481)*H481/G481,2)</x:f>
        <x:v>0</x:v>
      </x:c>
      <x:c r="N481" s="10" t="n">
        <x:f>L481-J481-M481</x:f>
        <x:v>24.95</x:v>
      </x:c>
      <x:c r="O481" s="10" t="n">
        <x:f>(G481-H481)*K481</x:f>
        <x:v>9</x:v>
      </x:c>
      <x:c r="P481" s="10" t="n">
        <x:f>N481-O481</x:f>
        <x:v>15.95</x:v>
      </x:c>
      <x:c r="Q481" s="9" t="n">
        <x:f>A481-WEEKDAY(A481,2)+1</x:f>
        <x:v>46279</x:v>
      </x:c>
      <x:c r="R481" s="2" t="str">
        <x:f>IF(AND(A481&gt;='Review'!$B$4,A481&lt;='Review'!$D$4),"Selected","Outside")</x:f>
        <x:v>Outside</x:v>
      </x:c>
    </x:row>
    <x:row r="482" ht="20" customHeight="1">
      <x:c r="A482" s="9" t="n">
        <x:v>46281</x:v>
      </x:c>
      <x:c r="B482" s="2" t="str">
        <x:v>MM-1357</x:v>
      </x:c>
      <x:c r="C482" s="2" t="str">
        <x:v>Organic Search</x:v>
      </x:c>
      <x:c r="D482" s="2" t="str">
        <x:v>HAT-001</x:v>
      </x:c>
      <x:c r="E482" s="2" t="str">
        <x:f>_xlfn.IFNA(VLOOKUP(D482,'Products'!$A$7:$I$22,2,FALSE),"Unmapped")</x:f>
        <x:v>Classic canvas cap</x:v>
      </x:c>
      <x:c r="F482" s="2" t="str">
        <x:f>_xlfn.IFNA(VLOOKUP(D482,'Products'!$A$7:$I$22,3,FALSE),"Unmapped")</x:f>
        <x:v>Accessories</x:v>
      </x:c>
      <x:c r="G482" s="2" t="n">
        <x:v>1</x:v>
      </x:c>
      <x:c r="H482" s="2" t="n">
        <x:v>0</x:v>
      </x:c>
      <x:c r="I482" s="10" t="n">
        <x:v>24.95</x:v>
      </x:c>
      <x:c r="J482" s="10" t="n">
        <x:v>0</x:v>
      </x:c>
      <x:c r="K482" s="10" t="n">
        <x:v>8.5</x:v>
      </x:c>
      <x:c r="L482" s="10" t="n">
        <x:f>G482*I482</x:f>
        <x:v>24.95</x:v>
      </x:c>
      <x:c r="M482" s="10" t="n">
        <x:f>ROUND((L482-J482)*H482/G482,2)</x:f>
        <x:v>0</x:v>
      </x:c>
      <x:c r="N482" s="10" t="n">
        <x:f>L482-J482-M482</x:f>
        <x:v>24.95</x:v>
      </x:c>
      <x:c r="O482" s="10" t="n">
        <x:f>(G482-H482)*K482</x:f>
        <x:v>8.5</x:v>
      </x:c>
      <x:c r="P482" s="10" t="n">
        <x:f>N482-O482</x:f>
        <x:v>16.45</x:v>
      </x:c>
      <x:c r="Q482" s="9" t="n">
        <x:f>A482-WEEKDAY(A482,2)+1</x:f>
        <x:v>46279</x:v>
      </x:c>
      <x:c r="R482" s="2" t="str">
        <x:f>IF(AND(A482&gt;='Review'!$B$4,A482&lt;='Review'!$D$4),"Selected","Outside")</x:f>
        <x:v>Outside</x:v>
      </x:c>
    </x:row>
    <x:row r="483" ht="20" customHeight="1">
      <x:c r="A483" s="9" t="n">
        <x:v>46281</x:v>
      </x:c>
      <x:c r="B483" s="2" t="str">
        <x:v>MM-1357</x:v>
      </x:c>
      <x:c r="C483" s="2" t="str">
        <x:v>Organic Search</x:v>
      </x:c>
      <x:c r="D483" s="2" t="str">
        <x:v>MUG-002</x:v>
      </x:c>
      <x:c r="E483" s="2" t="str">
        <x:f>_xlfn.IFNA(VLOOKUP(D483,'Products'!$A$7:$I$22,2,FALSE),"Unmapped")</x:f>
        <x:v>Campfire enamel mug</x:v>
      </x:c>
      <x:c r="F483" s="2" t="str">
        <x:f>_xlfn.IFNA(VLOOKUP(D483,'Products'!$A$7:$I$22,3,FALSE),"Unmapped")</x:f>
        <x:v>Drinkware</x:v>
      </x:c>
      <x:c r="G483" s="2" t="n">
        <x:v>1</x:v>
      </x:c>
      <x:c r="H483" s="2" t="n">
        <x:v>0</x:v>
      </x:c>
      <x:c r="I483" s="10" t="n">
        <x:v>22.95</x:v>
      </x:c>
      <x:c r="J483" s="10" t="n">
        <x:v>0</x:v>
      </x:c>
      <x:c r="K483" s="10" t="n">
        <x:v>8.5</x:v>
      </x:c>
      <x:c r="L483" s="10" t="n">
        <x:f>G483*I483</x:f>
        <x:v>22.95</x:v>
      </x:c>
      <x:c r="M483" s="10" t="n">
        <x:f>ROUND((L483-J483)*H483/G483,2)</x:f>
        <x:v>0</x:v>
      </x:c>
      <x:c r="N483" s="10" t="n">
        <x:f>L483-J483-M483</x:f>
        <x:v>22.95</x:v>
      </x:c>
      <x:c r="O483" s="10" t="n">
        <x:f>(G483-H483)*K483</x:f>
        <x:v>8.5</x:v>
      </x:c>
      <x:c r="P483" s="10" t="n">
        <x:f>N483-O483</x:f>
        <x:v>14.45</x:v>
      </x:c>
      <x:c r="Q483" s="9" t="n">
        <x:f>A483-WEEKDAY(A483,2)+1</x:f>
        <x:v>46279</x:v>
      </x:c>
      <x:c r="R483" s="2" t="str">
        <x:f>IF(AND(A483&gt;='Review'!$B$4,A483&lt;='Review'!$D$4),"Selected","Outside")</x:f>
        <x:v>Outside</x:v>
      </x:c>
    </x:row>
    <x:row r="484" ht="20" customHeight="1">
      <x:c r="A484" s="9" t="n">
        <x:v>46281</x:v>
      </x:c>
      <x:c r="B484" s="2" t="str">
        <x:v>MM-1349</x:v>
      </x:c>
      <x:c r="C484" s="2" t="str">
        <x:v>Email</x:v>
      </x:c>
      <x:c r="D484" s="2" t="str">
        <x:v>MUG-002</x:v>
      </x:c>
      <x:c r="E484" s="2" t="str">
        <x:f>_xlfn.IFNA(VLOOKUP(D484,'Products'!$A$7:$I$22,2,FALSE),"Unmapped")</x:f>
        <x:v>Campfire enamel mug</x:v>
      </x:c>
      <x:c r="F484" s="2" t="str">
        <x:f>_xlfn.IFNA(VLOOKUP(D484,'Products'!$A$7:$I$22,3,FALSE),"Unmapped")</x:f>
        <x:v>Drinkware</x:v>
      </x:c>
      <x:c r="G484" s="2" t="n">
        <x:v>1</x:v>
      </x:c>
      <x:c r="H484" s="2" t="n">
        <x:v>0</x:v>
      </x:c>
      <x:c r="I484" s="10" t="n">
        <x:v>22.95</x:v>
      </x:c>
      <x:c r="J484" s="10" t="n">
        <x:v>2.29</x:v>
      </x:c>
      <x:c r="K484" s="10" t="n">
        <x:v>8.5</x:v>
      </x:c>
      <x:c r="L484" s="10" t="n">
        <x:f>G484*I484</x:f>
        <x:v>22.95</x:v>
      </x:c>
      <x:c r="M484" s="10" t="n">
        <x:f>ROUND((L484-J484)*H484/G484,2)</x:f>
        <x:v>0</x:v>
      </x:c>
      <x:c r="N484" s="10" t="n">
        <x:f>L484-J484-M484</x:f>
        <x:v>20.66</x:v>
      </x:c>
      <x:c r="O484" s="10" t="n">
        <x:f>(G484-H484)*K484</x:f>
        <x:v>8.5</x:v>
      </x:c>
      <x:c r="P484" s="10" t="n">
        <x:f>N484-O484</x:f>
        <x:v>12.16</x:v>
      </x:c>
      <x:c r="Q484" s="9" t="n">
        <x:f>A484-WEEKDAY(A484,2)+1</x:f>
        <x:v>46279</x:v>
      </x:c>
      <x:c r="R484" s="2" t="str">
        <x:f>IF(AND(A484&gt;='Review'!$B$4,A484&lt;='Review'!$D$4),"Selected","Outside")</x:f>
        <x:v>Outside</x:v>
      </x:c>
    </x:row>
    <x:row r="485" ht="20" customHeight="1">
      <x:c r="A485" s="9" t="n">
        <x:v>46281</x:v>
      </x:c>
      <x:c r="B485" s="2" t="str">
        <x:v>MM-1349</x:v>
      </x:c>
      <x:c r="C485" s="2" t="str">
        <x:v>Email</x:v>
      </x:c>
      <x:c r="D485" s="2" t="str">
        <x:v>APP-001</x:v>
      </x:c>
      <x:c r="E485" s="2" t="str">
        <x:f>_xlfn.IFNA(VLOOKUP(D485,'Products'!$A$7:$I$22,2,FALSE),"Unmapped")</x:f>
        <x:v>Everyday crewneck</x:v>
      </x:c>
      <x:c r="F485" s="2" t="str">
        <x:f>_xlfn.IFNA(VLOOKUP(D485,'Products'!$A$7:$I$22,3,FALSE),"Unmapped")</x:f>
        <x:v>Apparel</x:v>
      </x:c>
      <x:c r="G485" s="2" t="n">
        <x:v>2</x:v>
      </x:c>
      <x:c r="H485" s="2" t="n">
        <x:v>0</x:v>
      </x:c>
      <x:c r="I485" s="10" t="n">
        <x:v>54.95</x:v>
      </x:c>
      <x:c r="J485" s="10" t="n">
        <x:v>10.99</x:v>
      </x:c>
      <x:c r="K485" s="10" t="n">
        <x:v>22</x:v>
      </x:c>
      <x:c r="L485" s="10" t="n">
        <x:f>G485*I485</x:f>
        <x:v>109.9</x:v>
      </x:c>
      <x:c r="M485" s="10" t="n">
        <x:f>ROUND((L485-J485)*H485/G485,2)</x:f>
        <x:v>0</x:v>
      </x:c>
      <x:c r="N485" s="10" t="n">
        <x:f>L485-J485-M485</x:f>
        <x:v>98.91000000000001</x:v>
      </x:c>
      <x:c r="O485" s="10" t="n">
        <x:f>(G485-H485)*K485</x:f>
        <x:v>44</x:v>
      </x:c>
      <x:c r="P485" s="10" t="n">
        <x:f>N485-O485</x:f>
        <x:v>54.91000000000001</x:v>
      </x:c>
      <x:c r="Q485" s="9" t="n">
        <x:f>A485-WEEKDAY(A485,2)+1</x:f>
        <x:v>46279</x:v>
      </x:c>
      <x:c r="R485" s="2" t="str">
        <x:f>IF(AND(A485&gt;='Review'!$B$4,A485&lt;='Review'!$D$4),"Selected","Outside")</x:f>
        <x:v>Outside</x:v>
      </x:c>
    </x:row>
    <x:row r="486" ht="20" customHeight="1">
      <x:c r="A486" s="9" t="n">
        <x:v>46281</x:v>
      </x:c>
      <x:c r="B486" s="2" t="str">
        <x:v>MM-1358</x:v>
      </x:c>
      <x:c r="C486" s="2" t="str">
        <x:v>Organic Search</x:v>
      </x:c>
      <x:c r="D486" s="2" t="str">
        <x:v>APP-003</x:v>
      </x:c>
      <x:c r="E486" s="2" t="str">
        <x:f>_xlfn.IFNA(VLOOKUP(D486,'Products'!$A$7:$I$22,2,FALSE),"Unmapped")</x:f>
        <x:v>Coffee club tee</x:v>
      </x:c>
      <x:c r="F486" s="2" t="str">
        <x:f>_xlfn.IFNA(VLOOKUP(D486,'Products'!$A$7:$I$22,3,FALSE),"Unmapped")</x:f>
        <x:v>Apparel</x:v>
      </x:c>
      <x:c r="G486" s="2" t="n">
        <x:v>1</x:v>
      </x:c>
      <x:c r="H486" s="2" t="n">
        <x:v>0</x:v>
      </x:c>
      <x:c r="I486" s="10" t="n">
        <x:v>29.95</x:v>
      </x:c>
      <x:c r="J486" s="10" t="n">
        <x:v>0</x:v>
      </x:c>
      <x:c r="K486" s="10" t="n">
        <x:v>10</x:v>
      </x:c>
      <x:c r="L486" s="10" t="n">
        <x:f>G486*I486</x:f>
        <x:v>29.95</x:v>
      </x:c>
      <x:c r="M486" s="10" t="n">
        <x:f>ROUND((L486-J486)*H486/G486,2)</x:f>
        <x:v>0</x:v>
      </x:c>
      <x:c r="N486" s="10" t="n">
        <x:f>L486-J486-M486</x:f>
        <x:v>29.95</x:v>
      </x:c>
      <x:c r="O486" s="10" t="n">
        <x:f>(G486-H486)*K486</x:f>
        <x:v>10</x:v>
      </x:c>
      <x:c r="P486" s="10" t="n">
        <x:f>N486-O486</x:f>
        <x:v>19.95</x:v>
      </x:c>
      <x:c r="Q486" s="9" t="n">
        <x:f>A486-WEEKDAY(A486,2)+1</x:f>
        <x:v>46279</x:v>
      </x:c>
      <x:c r="R486" s="2" t="str">
        <x:f>IF(AND(A486&gt;='Review'!$B$4,A486&lt;='Review'!$D$4),"Selected","Outside")</x:f>
        <x:v>Outside</x:v>
      </x:c>
    </x:row>
    <x:row r="487" ht="20" customHeight="1">
      <x:c r="A487" s="9" t="n">
        <x:v>46281</x:v>
      </x:c>
      <x:c r="B487" s="2" t="str">
        <x:v>MM-1358</x:v>
      </x:c>
      <x:c r="C487" s="2" t="str">
        <x:v>Organic Search</x:v>
      </x:c>
      <x:c r="D487" s="2" t="str">
        <x:v>MUG-002</x:v>
      </x:c>
      <x:c r="E487" s="2" t="str">
        <x:f>_xlfn.IFNA(VLOOKUP(D487,'Products'!$A$7:$I$22,2,FALSE),"Unmapped")</x:f>
        <x:v>Campfire enamel mug</x:v>
      </x:c>
      <x:c r="F487" s="2" t="str">
        <x:f>_xlfn.IFNA(VLOOKUP(D487,'Products'!$A$7:$I$22,3,FALSE),"Unmapped")</x:f>
        <x:v>Drinkware</x:v>
      </x:c>
      <x:c r="G487" s="2" t="n">
        <x:v>1</x:v>
      </x:c>
      <x:c r="H487" s="2" t="n">
        <x:v>0</x:v>
      </x:c>
      <x:c r="I487" s="10" t="n">
        <x:v>22.95</x:v>
      </x:c>
      <x:c r="J487" s="10" t="n">
        <x:v>0</x:v>
      </x:c>
      <x:c r="K487" s="10" t="n">
        <x:v>8.5</x:v>
      </x:c>
      <x:c r="L487" s="10" t="n">
        <x:f>G487*I487</x:f>
        <x:v>22.95</x:v>
      </x:c>
      <x:c r="M487" s="10" t="n">
        <x:f>ROUND((L487-J487)*H487/G487,2)</x:f>
        <x:v>0</x:v>
      </x:c>
      <x:c r="N487" s="10" t="n">
        <x:f>L487-J487-M487</x:f>
        <x:v>22.95</x:v>
      </x:c>
      <x:c r="O487" s="10" t="n">
        <x:f>(G487-H487)*K487</x:f>
        <x:v>8.5</x:v>
      </x:c>
      <x:c r="P487" s="10" t="n">
        <x:f>N487-O487</x:f>
        <x:v>14.45</x:v>
      </x:c>
      <x:c r="Q487" s="9" t="n">
        <x:f>A487-WEEKDAY(A487,2)+1</x:f>
        <x:v>46279</x:v>
      </x:c>
      <x:c r="R487" s="2" t="str">
        <x:f>IF(AND(A487&gt;='Review'!$B$4,A487&lt;='Review'!$D$4),"Selected","Outside")</x:f>
        <x:v>Outside</x:v>
      </x:c>
    </x:row>
    <x:row r="488" ht="20" customHeight="1">
      <x:c r="A488" s="9" t="n">
        <x:v>46281</x:v>
      </x:c>
      <x:c r="B488" s="2" t="str">
        <x:v>MM-1345</x:v>
      </x:c>
      <x:c r="C488" s="2" t="str">
        <x:v>Organic Search</x:v>
      </x:c>
      <x:c r="D488" s="2" t="str">
        <x:v>GFT-002</x:v>
      </x:c>
      <x:c r="E488" s="2" t="str">
        <x:f>_xlfn.IFNA(VLOOKUP(D488,'Products'!$A$7:$I$22,2,FALSE),"Unmapped")</x:f>
        <x:v>Cozy weekend gift box</x:v>
      </x:c>
      <x:c r="F488" s="2" t="str">
        <x:f>_xlfn.IFNA(VLOOKUP(D488,'Products'!$A$7:$I$22,3,FALSE),"Unmapped")</x:f>
        <x:v>Gifts</x:v>
      </x:c>
      <x:c r="G488" s="2" t="n">
        <x:v>1</x:v>
      </x:c>
      <x:c r="H488" s="2" t="n">
        <x:v>0</x:v>
      </x:c>
      <x:c r="I488" s="10" t="n">
        <x:v>79.95</x:v>
      </x:c>
      <x:c r="J488" s="10" t="n">
        <x:v>0</x:v>
      </x:c>
      <x:c r="K488" s="10" t="n">
        <x:v>32</x:v>
      </x:c>
      <x:c r="L488" s="10" t="n">
        <x:f>G488*I488</x:f>
        <x:v>79.95</x:v>
      </x:c>
      <x:c r="M488" s="10" t="n">
        <x:f>ROUND((L488-J488)*H488/G488,2)</x:f>
        <x:v>0</x:v>
      </x:c>
      <x:c r="N488" s="10" t="n">
        <x:f>L488-J488-M488</x:f>
        <x:v>79.95</x:v>
      </x:c>
      <x:c r="O488" s="10" t="n">
        <x:f>(G488-H488)*K488</x:f>
        <x:v>32</x:v>
      </x:c>
      <x:c r="P488" s="10" t="n">
        <x:f>N488-O488</x:f>
        <x:v>47.95</x:v>
      </x:c>
      <x:c r="Q488" s="9" t="n">
        <x:f>A488-WEEKDAY(A488,2)+1</x:f>
        <x:v>46279</x:v>
      </x:c>
      <x:c r="R488" s="2" t="str">
        <x:f>IF(AND(A488&gt;='Review'!$B$4,A488&lt;='Review'!$D$4),"Selected","Outside")</x:f>
        <x:v>Outside</x:v>
      </x:c>
    </x:row>
    <x:row r="489" ht="20" customHeight="1">
      <x:c r="A489" s="9" t="n">
        <x:v>46281</x:v>
      </x:c>
      <x:c r="B489" s="2" t="str">
        <x:v>MM-1345</x:v>
      </x:c>
      <x:c r="C489" s="2" t="str">
        <x:v>Organic Search</x:v>
      </x:c>
      <x:c r="D489" s="2" t="str">
        <x:v>APP-001</x:v>
      </x:c>
      <x:c r="E489" s="2" t="str">
        <x:f>_xlfn.IFNA(VLOOKUP(D489,'Products'!$A$7:$I$22,2,FALSE),"Unmapped")</x:f>
        <x:v>Everyday crewneck</x:v>
      </x:c>
      <x:c r="F489" s="2" t="str">
        <x:f>_xlfn.IFNA(VLOOKUP(D489,'Products'!$A$7:$I$22,3,FALSE),"Unmapped")</x:f>
        <x:v>Apparel</x:v>
      </x:c>
      <x:c r="G489" s="2" t="n">
        <x:v>3</x:v>
      </x:c>
      <x:c r="H489" s="2" t="n">
        <x:v>0</x:v>
      </x:c>
      <x:c r="I489" s="10" t="n">
        <x:v>54.95</x:v>
      </x:c>
      <x:c r="J489" s="10" t="n">
        <x:v>0</x:v>
      </x:c>
      <x:c r="K489" s="10" t="n">
        <x:v>22</x:v>
      </x:c>
      <x:c r="L489" s="10" t="n">
        <x:f>G489*I489</x:f>
        <x:v>164.85000000000002</x:v>
      </x:c>
      <x:c r="M489" s="10" t="n">
        <x:f>ROUND((L489-J489)*H489/G489,2)</x:f>
        <x:v>0</x:v>
      </x:c>
      <x:c r="N489" s="10" t="n">
        <x:f>L489-J489-M489</x:f>
        <x:v>164.85000000000002</x:v>
      </x:c>
      <x:c r="O489" s="10" t="n">
        <x:f>(G489-H489)*K489</x:f>
        <x:v>66</x:v>
      </x:c>
      <x:c r="P489" s="10" t="n">
        <x:f>N489-O489</x:f>
        <x:v>98.85000000000002</x:v>
      </x:c>
      <x:c r="Q489" s="9" t="n">
        <x:f>A489-WEEKDAY(A489,2)+1</x:f>
        <x:v>46279</x:v>
      </x:c>
      <x:c r="R489" s="2" t="str">
        <x:f>IF(AND(A489&gt;='Review'!$B$4,A489&lt;='Review'!$D$4),"Selected","Outside")</x:f>
        <x:v>Outside</x:v>
      </x:c>
    </x:row>
    <x:row r="490" ht="20" customHeight="1">
      <x:c r="A490" s="9" t="n">
        <x:v>46281</x:v>
      </x:c>
      <x:c r="B490" s="2" t="str">
        <x:v>MM-1346</x:v>
      </x:c>
      <x:c r="C490" s="2" t="str">
        <x:v>Paid Social</x:v>
      </x:c>
      <x:c r="D490" s="2" t="str">
        <x:v>TOTE-001</x:v>
      </x:c>
      <x:c r="E490" s="2" t="str">
        <x:f>_xlfn.IFNA(VLOOKUP(D490,'Products'!$A$7:$I$22,2,FALSE),"Unmapped")</x:f>
        <x:v>Market canvas tote</x:v>
      </x:c>
      <x:c r="F490" s="2" t="str">
        <x:f>_xlfn.IFNA(VLOOKUP(D490,'Products'!$A$7:$I$22,3,FALSE),"Unmapped")</x:f>
        <x:v>Accessories</x:v>
      </x:c>
      <x:c r="G490" s="2" t="n">
        <x:v>1</x:v>
      </x:c>
      <x:c r="H490" s="2" t="n">
        <x:v>0</x:v>
      </x:c>
      <x:c r="I490" s="10" t="n">
        <x:v>19.95</x:v>
      </x:c>
      <x:c r="J490" s="10" t="n">
        <x:v>0</x:v>
      </x:c>
      <x:c r="K490" s="10" t="n">
        <x:v>6</x:v>
      </x:c>
      <x:c r="L490" s="10" t="n">
        <x:f>G490*I490</x:f>
        <x:v>19.95</x:v>
      </x:c>
      <x:c r="M490" s="10" t="n">
        <x:f>ROUND((L490-J490)*H490/G490,2)</x:f>
        <x:v>0</x:v>
      </x:c>
      <x:c r="N490" s="10" t="n">
        <x:f>L490-J490-M490</x:f>
        <x:v>19.95</x:v>
      </x:c>
      <x:c r="O490" s="10" t="n">
        <x:f>(G490-H490)*K490</x:f>
        <x:v>6</x:v>
      </x:c>
      <x:c r="P490" s="10" t="n">
        <x:f>N490-O490</x:f>
        <x:v>13.95</x:v>
      </x:c>
      <x:c r="Q490" s="9" t="n">
        <x:f>A490-WEEKDAY(A490,2)+1</x:f>
        <x:v>46279</x:v>
      </x:c>
      <x:c r="R490" s="2" t="str">
        <x:f>IF(AND(A490&gt;='Review'!$B$4,A490&lt;='Review'!$D$4),"Selected","Outside")</x:f>
        <x:v>Outside</x:v>
      </x:c>
    </x:row>
    <x:row r="491" ht="20" customHeight="1">
      <x:c r="A491" s="9" t="n">
        <x:v>46281</x:v>
      </x:c>
      <x:c r="B491" s="2" t="str">
        <x:v>MM-1347</x:v>
      </x:c>
      <x:c r="C491" s="2" t="str">
        <x:v>Email</x:v>
      </x:c>
      <x:c r="D491" s="2" t="str">
        <x:v>KEY-001</x:v>
      </x:c>
      <x:c r="E491" s="2" t="str">
        <x:f>_xlfn.IFNA(VLOOKUP(D491,'Products'!$A$7:$I$22,2,FALSE),"Unmapped")</x:f>
        <x:v>Maple keyring</x:v>
      </x:c>
      <x:c r="F491" s="2" t="str">
        <x:f>_xlfn.IFNA(VLOOKUP(D491,'Products'!$A$7:$I$22,3,FALSE),"Unmapped")</x:f>
        <x:v>Accessories</x:v>
      </x:c>
      <x:c r="G491" s="2" t="n">
        <x:v>3</x:v>
      </x:c>
      <x:c r="H491" s="2" t="n">
        <x:v>0</x:v>
      </x:c>
      <x:c r="I491" s="10" t="n">
        <x:v>12.95</x:v>
      </x:c>
      <x:c r="J491" s="10" t="n">
        <x:v>3.88</x:v>
      </x:c>
      <x:c r="K491" s="10" t="n">
        <x:v>3.5</x:v>
      </x:c>
      <x:c r="L491" s="10" t="n">
        <x:f>G491*I491</x:f>
        <x:v>38.849999999999994</x:v>
      </x:c>
      <x:c r="M491" s="10" t="n">
        <x:f>ROUND((L491-J491)*H491/G491,2)</x:f>
        <x:v>0</x:v>
      </x:c>
      <x:c r="N491" s="10" t="n">
        <x:f>L491-J491-M491</x:f>
        <x:v>34.96999999999999</x:v>
      </x:c>
      <x:c r="O491" s="10" t="n">
        <x:f>(G491-H491)*K491</x:f>
        <x:v>10.5</x:v>
      </x:c>
      <x:c r="P491" s="10" t="n">
        <x:f>N491-O491</x:f>
        <x:v>24.46999999999999</x:v>
      </x:c>
      <x:c r="Q491" s="9" t="n">
        <x:f>A491-WEEKDAY(A491,2)+1</x:f>
        <x:v>46279</x:v>
      </x:c>
      <x:c r="R491" s="2" t="str">
        <x:f>IF(AND(A491&gt;='Review'!$B$4,A491&lt;='Review'!$D$4),"Selected","Outside")</x:f>
        <x:v>Outside</x:v>
      </x:c>
    </x:row>
    <x:row r="492" ht="20" customHeight="1">
      <x:c r="A492" s="9" t="n">
        <x:v>46281</x:v>
      </x:c>
      <x:c r="B492" s="2" t="str">
        <x:v>MM-1353</x:v>
      </x:c>
      <x:c r="C492" s="2" t="str">
        <x:v>Organic Search</x:v>
      </x:c>
      <x:c r="D492" s="2" t="str">
        <x:v>APP-002</x:v>
      </x:c>
      <x:c r="E492" s="2" t="str">
        <x:f>_xlfn.IFNA(VLOOKUP(D492,'Products'!$A$7:$I$22,2,FALSE),"Unmapped")</x:f>
        <x:v>Weekend hoodie</x:v>
      </x:c>
      <x:c r="F492" s="2" t="str">
        <x:f>_xlfn.IFNA(VLOOKUP(D492,'Products'!$A$7:$I$22,3,FALSE),"Unmapped")</x:f>
        <x:v>Apparel</x:v>
      </x:c>
      <x:c r="G492" s="2" t="n">
        <x:v>1</x:v>
      </x:c>
      <x:c r="H492" s="2" t="n">
        <x:v>0</x:v>
      </x:c>
      <x:c r="I492" s="10" t="n">
        <x:v>69.95</x:v>
      </x:c>
      <x:c r="J492" s="10" t="n">
        <x:v>0</x:v>
      </x:c>
      <x:c r="K492" s="10" t="n">
        <x:v>28</x:v>
      </x:c>
      <x:c r="L492" s="10" t="n">
        <x:f>G492*I492</x:f>
        <x:v>69.95</x:v>
      </x:c>
      <x:c r="M492" s="10" t="n">
        <x:f>ROUND((L492-J492)*H492/G492,2)</x:f>
        <x:v>0</x:v>
      </x:c>
      <x:c r="N492" s="10" t="n">
        <x:f>L492-J492-M492</x:f>
        <x:v>69.95</x:v>
      </x:c>
      <x:c r="O492" s="10" t="n">
        <x:f>(G492-H492)*K492</x:f>
        <x:v>28</x:v>
      </x:c>
      <x:c r="P492" s="10" t="n">
        <x:f>N492-O492</x:f>
        <x:v>41.95</x:v>
      </x:c>
      <x:c r="Q492" s="9" t="n">
        <x:f>A492-WEEKDAY(A492,2)+1</x:f>
        <x:v>46279</x:v>
      </x:c>
      <x:c r="R492" s="2" t="str">
        <x:f>IF(AND(A492&gt;='Review'!$B$4,A492&lt;='Review'!$D$4),"Selected","Outside")</x:f>
        <x:v>Outside</x:v>
      </x:c>
    </x:row>
    <x:row r="493" ht="20" customHeight="1">
      <x:c r="A493" s="9" t="n">
        <x:v>46282</x:v>
      </x:c>
      <x:c r="B493" s="2" t="str">
        <x:v>MM-1374</x:v>
      </x:c>
      <x:c r="C493" s="2" t="str">
        <x:v>Paid Social</x:v>
      </x:c>
      <x:c r="D493" s="2" t="str">
        <x:v>GFT-001</x:v>
      </x:c>
      <x:c r="E493" s="2" t="str">
        <x:f>_xlfn.IFNA(VLOOKUP(D493,'Products'!$A$7:$I$22,2,FALSE),"Unmapped")</x:f>
        <x:v>Morning ritual gift set</x:v>
      </x:c>
      <x:c r="F493" s="2" t="str">
        <x:f>_xlfn.IFNA(VLOOKUP(D493,'Products'!$A$7:$I$22,3,FALSE),"Unmapped")</x:f>
        <x:v>Gifts</x:v>
      </x:c>
      <x:c r="G493" s="2" t="n">
        <x:v>1</x:v>
      </x:c>
      <x:c r="H493" s="2" t="n">
        <x:v>0</x:v>
      </x:c>
      <x:c r="I493" s="10" t="n">
        <x:v>59.95</x:v>
      </x:c>
      <x:c r="J493" s="10" t="n">
        <x:v>0</x:v>
      </x:c>
      <x:c r="K493" s="10" t="n">
        <x:v>24</x:v>
      </x:c>
      <x:c r="L493" s="10" t="n">
        <x:f>G493*I493</x:f>
        <x:v>59.95</x:v>
      </x:c>
      <x:c r="M493" s="10" t="n">
        <x:f>ROUND((L493-J493)*H493/G493,2)</x:f>
        <x:v>0</x:v>
      </x:c>
      <x:c r="N493" s="10" t="n">
        <x:f>L493-J493-M493</x:f>
        <x:v>59.95</x:v>
      </x:c>
      <x:c r="O493" s="10" t="n">
        <x:f>(G493-H493)*K493</x:f>
        <x:v>24</x:v>
      </x:c>
      <x:c r="P493" s="10" t="n">
        <x:f>N493-O493</x:f>
        <x:v>35.95</x:v>
      </x:c>
      <x:c r="Q493" s="9" t="n">
        <x:f>A493-WEEKDAY(A493,2)+1</x:f>
        <x:v>46279</x:v>
      </x:c>
      <x:c r="R493" s="2" t="str">
        <x:f>IF(AND(A493&gt;='Review'!$B$4,A493&lt;='Review'!$D$4),"Selected","Outside")</x:f>
        <x:v>Outside</x:v>
      </x:c>
    </x:row>
    <x:row r="494" ht="20" customHeight="1">
      <x:c r="A494" s="9" t="n">
        <x:v>46282</x:v>
      </x:c>
      <x:c r="B494" s="2" t="str">
        <x:v>MM-1367</x:v>
      </x:c>
      <x:c r="C494" s="2" t="str">
        <x:v>Paid Social</x:v>
      </x:c>
      <x:c r="D494" s="2" t="str">
        <x:v>MUG-001</x:v>
      </x:c>
      <x:c r="E494" s="2" t="str">
        <x:f>_xlfn.IFNA(VLOOKUP(D494,'Products'!$A$7:$I$22,2,FALSE),"Unmapped")</x:f>
        <x:v>Everyday ceramic mug</x:v>
      </x:c>
      <x:c r="F494" s="2" t="str">
        <x:f>_xlfn.IFNA(VLOOKUP(D494,'Products'!$A$7:$I$22,3,FALSE),"Unmapped")</x:f>
        <x:v>Drinkware</x:v>
      </x:c>
      <x:c r="G494" s="2" t="n">
        <x:v>1</x:v>
      </x:c>
      <x:c r="H494" s="2" t="n">
        <x:v>0</x:v>
      </x:c>
      <x:c r="I494" s="10" t="n">
        <x:v>18.95</x:v>
      </x:c>
      <x:c r="J494" s="10" t="n">
        <x:v>0</x:v>
      </x:c>
      <x:c r="K494" s="10" t="n">
        <x:v>6.5</x:v>
      </x:c>
      <x:c r="L494" s="10" t="n">
        <x:f>G494*I494</x:f>
        <x:v>18.95</x:v>
      </x:c>
      <x:c r="M494" s="10" t="n">
        <x:f>ROUND((L494-J494)*H494/G494,2)</x:f>
        <x:v>0</x:v>
      </x:c>
      <x:c r="N494" s="10" t="n">
        <x:f>L494-J494-M494</x:f>
        <x:v>18.95</x:v>
      </x:c>
      <x:c r="O494" s="10" t="n">
        <x:f>(G494-H494)*K494</x:f>
        <x:v>6.5</x:v>
      </x:c>
      <x:c r="P494" s="10" t="n">
        <x:f>N494-O494</x:f>
        <x:v>12.45</x:v>
      </x:c>
      <x:c r="Q494" s="9" t="n">
        <x:f>A494-WEEKDAY(A494,2)+1</x:f>
        <x:v>46279</x:v>
      </x:c>
      <x:c r="R494" s="2" t="str">
        <x:f>IF(AND(A494&gt;='Review'!$B$4,A494&lt;='Review'!$D$4),"Selected","Outside")</x:f>
        <x:v>Outside</x:v>
      </x:c>
    </x:row>
    <x:row r="495" ht="20" customHeight="1">
      <x:c r="A495" s="9" t="n">
        <x:v>46282</x:v>
      </x:c>
      <x:c r="B495" s="2" t="str">
        <x:v>MM-1366</x:v>
      </x:c>
      <x:c r="C495" s="2" t="str">
        <x:v>Direct</x:v>
      </x:c>
      <x:c r="D495" s="2" t="str">
        <x:v>BOT-001</x:v>
      </x:c>
      <x:c r="E495" s="2" t="str">
        <x:f>_xlfn.IFNA(VLOOKUP(D495,'Products'!$A$7:$I$22,2,FALSE),"Unmapped")</x:f>
        <x:v>Trail water bottle</x:v>
      </x:c>
      <x:c r="F495" s="2" t="str">
        <x:f>_xlfn.IFNA(VLOOKUP(D495,'Products'!$A$7:$I$22,3,FALSE),"Unmapped")</x:f>
        <x:v>Drinkware</x:v>
      </x:c>
      <x:c r="G495" s="2" t="n">
        <x:v>1</x:v>
      </x:c>
      <x:c r="H495" s="2" t="n">
        <x:v>0</x:v>
      </x:c>
      <x:c r="I495" s="10" t="n">
        <x:v>34.95</x:v>
      </x:c>
      <x:c r="J495" s="10" t="n">
        <x:v>0</x:v>
      </x:c>
      <x:c r="K495" s="10" t="n">
        <x:v>13.5</x:v>
      </x:c>
      <x:c r="L495" s="10" t="n">
        <x:f>G495*I495</x:f>
        <x:v>34.95</x:v>
      </x:c>
      <x:c r="M495" s="10" t="n">
        <x:f>ROUND((L495-J495)*H495/G495,2)</x:f>
        <x:v>0</x:v>
      </x:c>
      <x:c r="N495" s="10" t="n">
        <x:f>L495-J495-M495</x:f>
        <x:v>34.95</x:v>
      </x:c>
      <x:c r="O495" s="10" t="n">
        <x:f>(G495-H495)*K495</x:f>
        <x:v>13.5</x:v>
      </x:c>
      <x:c r="P495" s="10" t="n">
        <x:f>N495-O495</x:f>
        <x:v>21.450000000000003</x:v>
      </x:c>
      <x:c r="Q495" s="9" t="n">
        <x:f>A495-WEEKDAY(A495,2)+1</x:f>
        <x:v>46279</x:v>
      </x:c>
      <x:c r="R495" s="2" t="str">
        <x:f>IF(AND(A495&gt;='Review'!$B$4,A495&lt;='Review'!$D$4),"Selected","Outside")</x:f>
        <x:v>Outside</x:v>
      </x:c>
    </x:row>
    <x:row r="496" ht="20" customHeight="1">
      <x:c r="A496" s="9" t="n">
        <x:v>46282</x:v>
      </x:c>
      <x:c r="B496" s="2" t="str">
        <x:v>MM-1366</x:v>
      </x:c>
      <x:c r="C496" s="2" t="str">
        <x:v>Direct</x:v>
      </x:c>
      <x:c r="D496" s="2" t="str">
        <x:v>APP-002</x:v>
      </x:c>
      <x:c r="E496" s="2" t="str">
        <x:f>_xlfn.IFNA(VLOOKUP(D496,'Products'!$A$7:$I$22,2,FALSE),"Unmapped")</x:f>
        <x:v>Weekend hoodie</x:v>
      </x:c>
      <x:c r="F496" s="2" t="str">
        <x:f>_xlfn.IFNA(VLOOKUP(D496,'Products'!$A$7:$I$22,3,FALSE),"Unmapped")</x:f>
        <x:v>Apparel</x:v>
      </x:c>
      <x:c r="G496" s="2" t="n">
        <x:v>1</x:v>
      </x:c>
      <x:c r="H496" s="2" t="n">
        <x:v>0</x:v>
      </x:c>
      <x:c r="I496" s="10" t="n">
        <x:v>69.95</x:v>
      </x:c>
      <x:c r="J496" s="10" t="n">
        <x:v>0</x:v>
      </x:c>
      <x:c r="K496" s="10" t="n">
        <x:v>28</x:v>
      </x:c>
      <x:c r="L496" s="10" t="n">
        <x:f>G496*I496</x:f>
        <x:v>69.95</x:v>
      </x:c>
      <x:c r="M496" s="10" t="n">
        <x:f>ROUND((L496-J496)*H496/G496,2)</x:f>
        <x:v>0</x:v>
      </x:c>
      <x:c r="N496" s="10" t="n">
        <x:f>L496-J496-M496</x:f>
        <x:v>69.95</x:v>
      </x:c>
      <x:c r="O496" s="10" t="n">
        <x:f>(G496-H496)*K496</x:f>
        <x:v>28</x:v>
      </x:c>
      <x:c r="P496" s="10" t="n">
        <x:f>N496-O496</x:f>
        <x:v>41.95</x:v>
      </x:c>
      <x:c r="Q496" s="9" t="n">
        <x:f>A496-WEEKDAY(A496,2)+1</x:f>
        <x:v>46279</x:v>
      </x:c>
      <x:c r="R496" s="2" t="str">
        <x:f>IF(AND(A496&gt;='Review'!$B$4,A496&lt;='Review'!$D$4),"Selected","Outside")</x:f>
        <x:v>Outside</x:v>
      </x:c>
    </x:row>
    <x:row r="497" ht="20" customHeight="1">
      <x:c r="A497" s="9" t="n">
        <x:v>46282</x:v>
      </x:c>
      <x:c r="B497" s="2" t="str">
        <x:v>MM-1379</x:v>
      </x:c>
      <x:c r="C497" s="2" t="str">
        <x:v>Email</x:v>
      </x:c>
      <x:c r="D497" s="2" t="str">
        <x:v>MUG-002</x:v>
      </x:c>
      <x:c r="E497" s="2" t="str">
        <x:f>_xlfn.IFNA(VLOOKUP(D497,'Products'!$A$7:$I$22,2,FALSE),"Unmapped")</x:f>
        <x:v>Campfire enamel mug</x:v>
      </x:c>
      <x:c r="F497" s="2" t="str">
        <x:f>_xlfn.IFNA(VLOOKUP(D497,'Products'!$A$7:$I$22,3,FALSE),"Unmapped")</x:f>
        <x:v>Drinkware</x:v>
      </x:c>
      <x:c r="G497" s="2" t="n">
        <x:v>2</x:v>
      </x:c>
      <x:c r="H497" s="2" t="n">
        <x:v>0</x:v>
      </x:c>
      <x:c r="I497" s="10" t="n">
        <x:v>22.95</x:v>
      </x:c>
      <x:c r="J497" s="10" t="n">
        <x:v>4.59</x:v>
      </x:c>
      <x:c r="K497" s="10" t="n">
        <x:v>8.5</x:v>
      </x:c>
      <x:c r="L497" s="10" t="n">
        <x:f>G497*I497</x:f>
        <x:v>45.9</x:v>
      </x:c>
      <x:c r="M497" s="10" t="n">
        <x:f>ROUND((L497-J497)*H497/G497,2)</x:f>
        <x:v>0</x:v>
      </x:c>
      <x:c r="N497" s="10" t="n">
        <x:f>L497-J497-M497</x:f>
        <x:v>41.31</x:v>
      </x:c>
      <x:c r="O497" s="10" t="n">
        <x:f>(G497-H497)*K497</x:f>
        <x:v>17</x:v>
      </x:c>
      <x:c r="P497" s="10" t="n">
        <x:f>N497-O497</x:f>
        <x:v>24.310000000000002</x:v>
      </x:c>
      <x:c r="Q497" s="9" t="n">
        <x:f>A497-WEEKDAY(A497,2)+1</x:f>
        <x:v>46279</x:v>
      </x:c>
      <x:c r="R497" s="2" t="str">
        <x:f>IF(AND(A497&gt;='Review'!$B$4,A497&lt;='Review'!$D$4),"Selected","Outside")</x:f>
        <x:v>Outside</x:v>
      </x:c>
    </x:row>
    <x:row r="498" ht="20" customHeight="1">
      <x:c r="A498" s="9" t="n">
        <x:v>46282</x:v>
      </x:c>
      <x:c r="B498" s="2" t="str">
        <x:v>MM-1360</x:v>
      </x:c>
      <x:c r="C498" s="2" t="str">
        <x:v>Organic Search</x:v>
      </x:c>
      <x:c r="D498" s="2" t="str">
        <x:v>APP-003</x:v>
      </x:c>
      <x:c r="E498" s="2" t="str">
        <x:f>_xlfn.IFNA(VLOOKUP(D498,'Products'!$A$7:$I$22,2,FALSE),"Unmapped")</x:f>
        <x:v>Coffee club tee</x:v>
      </x:c>
      <x:c r="F498" s="2" t="str">
        <x:f>_xlfn.IFNA(VLOOKUP(D498,'Products'!$A$7:$I$22,3,FALSE),"Unmapped")</x:f>
        <x:v>Apparel</x:v>
      </x:c>
      <x:c r="G498" s="2" t="n">
        <x:v>3</x:v>
      </x:c>
      <x:c r="H498" s="2" t="n">
        <x:v>0</x:v>
      </x:c>
      <x:c r="I498" s="10" t="n">
        <x:v>29.95</x:v>
      </x:c>
      <x:c r="J498" s="10" t="n">
        <x:v>0</x:v>
      </x:c>
      <x:c r="K498" s="10" t="n">
        <x:v>10</x:v>
      </x:c>
      <x:c r="L498" s="10" t="n">
        <x:f>G498*I498</x:f>
        <x:v>89.85</x:v>
      </x:c>
      <x:c r="M498" s="10" t="n">
        <x:f>ROUND((L498-J498)*H498/G498,2)</x:f>
        <x:v>0</x:v>
      </x:c>
      <x:c r="N498" s="10" t="n">
        <x:f>L498-J498-M498</x:f>
        <x:v>89.85</x:v>
      </x:c>
      <x:c r="O498" s="10" t="n">
        <x:f>(G498-H498)*K498</x:f>
        <x:v>30</x:v>
      </x:c>
      <x:c r="P498" s="10" t="n">
        <x:f>N498-O498</x:f>
        <x:v>59.849999999999994</x:v>
      </x:c>
      <x:c r="Q498" s="9" t="n">
        <x:f>A498-WEEKDAY(A498,2)+1</x:f>
        <x:v>46279</x:v>
      </x:c>
      <x:c r="R498" s="2" t="str">
        <x:f>IF(AND(A498&gt;='Review'!$B$4,A498&lt;='Review'!$D$4),"Selected","Outside")</x:f>
        <x:v>Outside</x:v>
      </x:c>
    </x:row>
    <x:row r="499" ht="20" customHeight="1">
      <x:c r="A499" s="9" t="n">
        <x:v>46282</x:v>
      </x:c>
      <x:c r="B499" s="2" t="str">
        <x:v>MM-1360</x:v>
      </x:c>
      <x:c r="C499" s="2" t="str">
        <x:v>Organic Search</x:v>
      </x:c>
      <x:c r="D499" s="2" t="str">
        <x:v>HAT-001</x:v>
      </x:c>
      <x:c r="E499" s="2" t="str">
        <x:f>_xlfn.IFNA(VLOOKUP(D499,'Products'!$A$7:$I$22,2,FALSE),"Unmapped")</x:f>
        <x:v>Classic canvas cap</x:v>
      </x:c>
      <x:c r="F499" s="2" t="str">
        <x:f>_xlfn.IFNA(VLOOKUP(D499,'Products'!$A$7:$I$22,3,FALSE),"Unmapped")</x:f>
        <x:v>Accessories</x:v>
      </x:c>
      <x:c r="G499" s="2" t="n">
        <x:v>2</x:v>
      </x:c>
      <x:c r="H499" s="2" t="n">
        <x:v>0</x:v>
      </x:c>
      <x:c r="I499" s="10" t="n">
        <x:v>24.95</x:v>
      </x:c>
      <x:c r="J499" s="10" t="n">
        <x:v>0</x:v>
      </x:c>
      <x:c r="K499" s="10" t="n">
        <x:v>8.5</x:v>
      </x:c>
      <x:c r="L499" s="10" t="n">
        <x:f>G499*I499</x:f>
        <x:v>49.9</x:v>
      </x:c>
      <x:c r="M499" s="10" t="n">
        <x:f>ROUND((L499-J499)*H499/G499,2)</x:f>
        <x:v>0</x:v>
      </x:c>
      <x:c r="N499" s="10" t="n">
        <x:f>L499-J499-M499</x:f>
        <x:v>49.9</x:v>
      </x:c>
      <x:c r="O499" s="10" t="n">
        <x:f>(G499-H499)*K499</x:f>
        <x:v>17</x:v>
      </x:c>
      <x:c r="P499" s="10" t="n">
        <x:f>N499-O499</x:f>
        <x:v>32.9</x:v>
      </x:c>
      <x:c r="Q499" s="9" t="n">
        <x:f>A499-WEEKDAY(A499,2)+1</x:f>
        <x:v>46279</x:v>
      </x:c>
      <x:c r="R499" s="2" t="str">
        <x:f>IF(AND(A499&gt;='Review'!$B$4,A499&lt;='Review'!$D$4),"Selected","Outside")</x:f>
        <x:v>Outside</x:v>
      </x:c>
    </x:row>
    <x:row r="500" ht="20" customHeight="1">
      <x:c r="A500" s="9" t="n">
        <x:v>46282</x:v>
      </x:c>
      <x:c r="B500" s="2" t="str">
        <x:v>MM-1361</x:v>
      </x:c>
      <x:c r="C500" s="2" t="str">
        <x:v>Paid Social</x:v>
      </x:c>
      <x:c r="D500" s="2" t="str">
        <x:v>GFT-002</x:v>
      </x:c>
      <x:c r="E500" s="2" t="str">
        <x:f>_xlfn.IFNA(VLOOKUP(D500,'Products'!$A$7:$I$22,2,FALSE),"Unmapped")</x:f>
        <x:v>Cozy weekend gift box</x:v>
      </x:c>
      <x:c r="F500" s="2" t="str">
        <x:f>_xlfn.IFNA(VLOOKUP(D500,'Products'!$A$7:$I$22,3,FALSE),"Unmapped")</x:f>
        <x:v>Gifts</x:v>
      </x:c>
      <x:c r="G500" s="2" t="n">
        <x:v>1</x:v>
      </x:c>
      <x:c r="H500" s="2" t="n">
        <x:v>0</x:v>
      </x:c>
      <x:c r="I500" s="10" t="n">
        <x:v>79.95</x:v>
      </x:c>
      <x:c r="J500" s="10" t="n">
        <x:v>7.99</x:v>
      </x:c>
      <x:c r="K500" s="10" t="n">
        <x:v>32</x:v>
      </x:c>
      <x:c r="L500" s="10" t="n">
        <x:f>G500*I500</x:f>
        <x:v>79.95</x:v>
      </x:c>
      <x:c r="M500" s="10" t="n">
        <x:f>ROUND((L500-J500)*H500/G500,2)</x:f>
        <x:v>0</x:v>
      </x:c>
      <x:c r="N500" s="10" t="n">
        <x:f>L500-J500-M500</x:f>
        <x:v>71.96000000000001</x:v>
      </x:c>
      <x:c r="O500" s="10" t="n">
        <x:f>(G500-H500)*K500</x:f>
        <x:v>32</x:v>
      </x:c>
      <x:c r="P500" s="10" t="n">
        <x:f>N500-O500</x:f>
        <x:v>39.96000000000001</x:v>
      </x:c>
      <x:c r="Q500" s="9" t="n">
        <x:f>A500-WEEKDAY(A500,2)+1</x:f>
        <x:v>46279</x:v>
      </x:c>
      <x:c r="R500" s="2" t="str">
        <x:f>IF(AND(A500&gt;='Review'!$B$4,A500&lt;='Review'!$D$4),"Selected","Outside")</x:f>
        <x:v>Outside</x:v>
      </x:c>
    </x:row>
    <x:row r="501" ht="20" customHeight="1">
      <x:c r="A501" s="9" t="n">
        <x:v>46282</x:v>
      </x:c>
      <x:c r="B501" s="2" t="str">
        <x:v>MM-1370</x:v>
      </x:c>
      <x:c r="C501" s="2" t="str">
        <x:v>Email</x:v>
      </x:c>
      <x:c r="D501" s="2" t="str">
        <x:v>MUG-001</x:v>
      </x:c>
      <x:c r="E501" s="2" t="str">
        <x:f>_xlfn.IFNA(VLOOKUP(D501,'Products'!$A$7:$I$22,2,FALSE),"Unmapped")</x:f>
        <x:v>Everyday ceramic mug</x:v>
      </x:c>
      <x:c r="F501" s="2" t="str">
        <x:f>_xlfn.IFNA(VLOOKUP(D501,'Products'!$A$7:$I$22,3,FALSE),"Unmapped")</x:f>
        <x:v>Drinkware</x:v>
      </x:c>
      <x:c r="G501" s="2" t="n">
        <x:v>1</x:v>
      </x:c>
      <x:c r="H501" s="2" t="n">
        <x:v>0</x:v>
      </x:c>
      <x:c r="I501" s="10" t="n">
        <x:v>18.95</x:v>
      </x:c>
      <x:c r="J501" s="10" t="n">
        <x:v>1.89</x:v>
      </x:c>
      <x:c r="K501" s="10" t="n">
        <x:v>6.5</x:v>
      </x:c>
      <x:c r="L501" s="10" t="n">
        <x:f>G501*I501</x:f>
        <x:v>18.95</x:v>
      </x:c>
      <x:c r="M501" s="10" t="n">
        <x:f>ROUND((L501-J501)*H501/G501,2)</x:f>
        <x:v>0</x:v>
      </x:c>
      <x:c r="N501" s="10" t="n">
        <x:f>L501-J501-M501</x:f>
        <x:v>17.06</x:v>
      </x:c>
      <x:c r="O501" s="10" t="n">
        <x:f>(G501-H501)*K501</x:f>
        <x:v>6.5</x:v>
      </x:c>
      <x:c r="P501" s="10" t="n">
        <x:f>N501-O501</x:f>
        <x:v>10.559999999999999</x:v>
      </x:c>
      <x:c r="Q501" s="9" t="n">
        <x:f>A501-WEEKDAY(A501,2)+1</x:f>
        <x:v>46279</x:v>
      </x:c>
      <x:c r="R501" s="2" t="str">
        <x:f>IF(AND(A501&gt;='Review'!$B$4,A501&lt;='Review'!$D$4),"Selected","Outside")</x:f>
        <x:v>Outside</x:v>
      </x:c>
    </x:row>
    <x:row r="502" ht="20" customHeight="1">
      <x:c r="A502" s="9" t="n">
        <x:v>46282</x:v>
      </x:c>
      <x:c r="B502" s="2" t="str">
        <x:v>MM-1380</x:v>
      </x:c>
      <x:c r="C502" s="2" t="str">
        <x:v>Organic Search</x:v>
      </x:c>
      <x:c r="D502" s="2" t="str">
        <x:v>MUG-002</x:v>
      </x:c>
      <x:c r="E502" s="2" t="str">
        <x:f>_xlfn.IFNA(VLOOKUP(D502,'Products'!$A$7:$I$22,2,FALSE),"Unmapped")</x:f>
        <x:v>Campfire enamel mug</x:v>
      </x:c>
      <x:c r="F502" s="2" t="str">
        <x:f>_xlfn.IFNA(VLOOKUP(D502,'Products'!$A$7:$I$22,3,FALSE),"Unmapped")</x:f>
        <x:v>Drinkware</x:v>
      </x:c>
      <x:c r="G502" s="2" t="n">
        <x:v>2</x:v>
      </x:c>
      <x:c r="H502" s="2" t="n">
        <x:v>0</x:v>
      </x:c>
      <x:c r="I502" s="10" t="n">
        <x:v>22.95</x:v>
      </x:c>
      <x:c r="J502" s="10" t="n">
        <x:v>0</x:v>
      </x:c>
      <x:c r="K502" s="10" t="n">
        <x:v>8.5</x:v>
      </x:c>
      <x:c r="L502" s="10" t="n">
        <x:f>G502*I502</x:f>
        <x:v>45.9</x:v>
      </x:c>
      <x:c r="M502" s="10" t="n">
        <x:f>ROUND((L502-J502)*H502/G502,2)</x:f>
        <x:v>0</x:v>
      </x:c>
      <x:c r="N502" s="10" t="n">
        <x:f>L502-J502-M502</x:f>
        <x:v>45.9</x:v>
      </x:c>
      <x:c r="O502" s="10" t="n">
        <x:f>(G502-H502)*K502</x:f>
        <x:v>17</x:v>
      </x:c>
      <x:c r="P502" s="10" t="n">
        <x:f>N502-O502</x:f>
        <x:v>28.9</x:v>
      </x:c>
      <x:c r="Q502" s="9" t="n">
        <x:f>A502-WEEKDAY(A502,2)+1</x:f>
        <x:v>46279</x:v>
      </x:c>
      <x:c r="R502" s="2" t="str">
        <x:f>IF(AND(A502&gt;='Review'!$B$4,A502&lt;='Review'!$D$4),"Selected","Outside")</x:f>
        <x:v>Outside</x:v>
      </x:c>
    </x:row>
    <x:row r="503" ht="20" customHeight="1">
      <x:c r="A503" s="9" t="n">
        <x:v>46282</x:v>
      </x:c>
      <x:c r="B503" s="2" t="str">
        <x:v>MM-1362</x:v>
      </x:c>
      <x:c r="C503" s="2" t="str">
        <x:v>Paid Social</x:v>
      </x:c>
      <x:c r="D503" s="2" t="str">
        <x:v>KEY-001</x:v>
      </x:c>
      <x:c r="E503" s="2" t="str">
        <x:f>_xlfn.IFNA(VLOOKUP(D503,'Products'!$A$7:$I$22,2,FALSE),"Unmapped")</x:f>
        <x:v>Maple keyring</x:v>
      </x:c>
      <x:c r="F503" s="2" t="str">
        <x:f>_xlfn.IFNA(VLOOKUP(D503,'Products'!$A$7:$I$22,3,FALSE),"Unmapped")</x:f>
        <x:v>Accessories</x:v>
      </x:c>
      <x:c r="G503" s="2" t="n">
        <x:v>1</x:v>
      </x:c>
      <x:c r="H503" s="2" t="n">
        <x:v>0</x:v>
      </x:c>
      <x:c r="I503" s="10" t="n">
        <x:v>12.95</x:v>
      </x:c>
      <x:c r="J503" s="10" t="n">
        <x:v>0</x:v>
      </x:c>
      <x:c r="K503" s="10" t="n">
        <x:v>3.5</x:v>
      </x:c>
      <x:c r="L503" s="10" t="n">
        <x:f>G503*I503</x:f>
        <x:v>12.95</x:v>
      </x:c>
      <x:c r="M503" s="10" t="n">
        <x:f>ROUND((L503-J503)*H503/G503,2)</x:f>
        <x:v>0</x:v>
      </x:c>
      <x:c r="N503" s="10" t="n">
        <x:f>L503-J503-M503</x:f>
        <x:v>12.95</x:v>
      </x:c>
      <x:c r="O503" s="10" t="n">
        <x:f>(G503-H503)*K503</x:f>
        <x:v>3.5</x:v>
      </x:c>
      <x:c r="P503" s="10" t="n">
        <x:f>N503-O503</x:f>
        <x:v>9.45</x:v>
      </x:c>
      <x:c r="Q503" s="9" t="n">
        <x:f>A503-WEEKDAY(A503,2)+1</x:f>
        <x:v>46279</x:v>
      </x:c>
      <x:c r="R503" s="2" t="str">
        <x:f>IF(AND(A503&gt;='Review'!$B$4,A503&lt;='Review'!$D$4),"Selected","Outside")</x:f>
        <x:v>Outside</x:v>
      </x:c>
    </x:row>
    <x:row r="504" ht="20" customHeight="1">
      <x:c r="A504" s="9" t="n">
        <x:v>46282</x:v>
      </x:c>
      <x:c r="B504" s="2" t="str">
        <x:v>MM-1363</x:v>
      </x:c>
      <x:c r="C504" s="2" t="str">
        <x:v>Organic Search</x:v>
      </x:c>
      <x:c r="D504" s="2" t="str">
        <x:v>MUG-002</x:v>
      </x:c>
      <x:c r="E504" s="2" t="str">
        <x:f>_xlfn.IFNA(VLOOKUP(D504,'Products'!$A$7:$I$22,2,FALSE),"Unmapped")</x:f>
        <x:v>Campfire enamel mug</x:v>
      </x:c>
      <x:c r="F504" s="2" t="str">
        <x:f>_xlfn.IFNA(VLOOKUP(D504,'Products'!$A$7:$I$22,3,FALSE),"Unmapped")</x:f>
        <x:v>Drinkware</x:v>
      </x:c>
      <x:c r="G504" s="2" t="n">
        <x:v>2</x:v>
      </x:c>
      <x:c r="H504" s="2" t="n">
        <x:v>0</x:v>
      </x:c>
      <x:c r="I504" s="10" t="n">
        <x:v>22.95</x:v>
      </x:c>
      <x:c r="J504" s="10" t="n">
        <x:v>0</x:v>
      </x:c>
      <x:c r="K504" s="10" t="n">
        <x:v>8.5</x:v>
      </x:c>
      <x:c r="L504" s="10" t="n">
        <x:f>G504*I504</x:f>
        <x:v>45.9</x:v>
      </x:c>
      <x:c r="M504" s="10" t="n">
        <x:f>ROUND((L504-J504)*H504/G504,2)</x:f>
        <x:v>0</x:v>
      </x:c>
      <x:c r="N504" s="10" t="n">
        <x:f>L504-J504-M504</x:f>
        <x:v>45.9</x:v>
      </x:c>
      <x:c r="O504" s="10" t="n">
        <x:f>(G504-H504)*K504</x:f>
        <x:v>17</x:v>
      </x:c>
      <x:c r="P504" s="10" t="n">
        <x:f>N504-O504</x:f>
        <x:v>28.9</x:v>
      </x:c>
      <x:c r="Q504" s="9" t="n">
        <x:f>A504-WEEKDAY(A504,2)+1</x:f>
        <x:v>46279</x:v>
      </x:c>
      <x:c r="R504" s="2" t="str">
        <x:f>IF(AND(A504&gt;='Review'!$B$4,A504&lt;='Review'!$D$4),"Selected","Outside")</x:f>
        <x:v>Outside</x:v>
      </x:c>
    </x:row>
    <x:row r="505" ht="20" customHeight="1">
      <x:c r="A505" s="9" t="n">
        <x:v>46282</x:v>
      </x:c>
      <x:c r="B505" s="2" t="str">
        <x:v>MM-1373</x:v>
      </x:c>
      <x:c r="C505" s="2" t="str">
        <x:v>Organic Search</x:v>
      </x:c>
      <x:c r="D505" s="2" t="str">
        <x:v>MUG-002</x:v>
      </x:c>
      <x:c r="E505" s="2" t="str">
        <x:f>_xlfn.IFNA(VLOOKUP(D505,'Products'!$A$7:$I$22,2,FALSE),"Unmapped")</x:f>
        <x:v>Campfire enamel mug</x:v>
      </x:c>
      <x:c r="F505" s="2" t="str">
        <x:f>_xlfn.IFNA(VLOOKUP(D505,'Products'!$A$7:$I$22,3,FALSE),"Unmapped")</x:f>
        <x:v>Drinkware</x:v>
      </x:c>
      <x:c r="G505" s="2" t="n">
        <x:v>1</x:v>
      </x:c>
      <x:c r="H505" s="2" t="n">
        <x:v>0</x:v>
      </x:c>
      <x:c r="I505" s="10" t="n">
        <x:v>22.95</x:v>
      </x:c>
      <x:c r="J505" s="10" t="n">
        <x:v>2.29</x:v>
      </x:c>
      <x:c r="K505" s="10" t="n">
        <x:v>8.5</x:v>
      </x:c>
      <x:c r="L505" s="10" t="n">
        <x:f>G505*I505</x:f>
        <x:v>22.95</x:v>
      </x:c>
      <x:c r="M505" s="10" t="n">
        <x:f>ROUND((L505-J505)*H505/G505,2)</x:f>
        <x:v>0</x:v>
      </x:c>
      <x:c r="N505" s="10" t="n">
        <x:f>L505-J505-M505</x:f>
        <x:v>20.66</x:v>
      </x:c>
      <x:c r="O505" s="10" t="n">
        <x:f>(G505-H505)*K505</x:f>
        <x:v>8.5</x:v>
      </x:c>
      <x:c r="P505" s="10" t="n">
        <x:f>N505-O505</x:f>
        <x:v>12.16</x:v>
      </x:c>
      <x:c r="Q505" s="9" t="n">
        <x:f>A505-WEEKDAY(A505,2)+1</x:f>
        <x:v>46279</x:v>
      </x:c>
      <x:c r="R505" s="2" t="str">
        <x:f>IF(AND(A505&gt;='Review'!$B$4,A505&lt;='Review'!$D$4),"Selected","Outside")</x:f>
        <x:v>Outside</x:v>
      </x:c>
    </x:row>
    <x:row r="506" ht="20" customHeight="1">
      <x:c r="A506" s="9" t="n">
        <x:v>46282</x:v>
      </x:c>
      <x:c r="B506" s="2" t="str">
        <x:v>MM-1376</x:v>
      </x:c>
      <x:c r="C506" s="2" t="str">
        <x:v>Organic Search</x:v>
      </x:c>
      <x:c r="D506" s="2" t="str">
        <x:v>KEY-001</x:v>
      </x:c>
      <x:c r="E506" s="2" t="str">
        <x:f>_xlfn.IFNA(VLOOKUP(D506,'Products'!$A$7:$I$22,2,FALSE),"Unmapped")</x:f>
        <x:v>Maple keyring</x:v>
      </x:c>
      <x:c r="F506" s="2" t="str">
        <x:f>_xlfn.IFNA(VLOOKUP(D506,'Products'!$A$7:$I$22,3,FALSE),"Unmapped")</x:f>
        <x:v>Accessories</x:v>
      </x:c>
      <x:c r="G506" s="2" t="n">
        <x:v>1</x:v>
      </x:c>
      <x:c r="H506" s="2" t="n">
        <x:v>0</x:v>
      </x:c>
      <x:c r="I506" s="10" t="n">
        <x:v>12.95</x:v>
      </x:c>
      <x:c r="J506" s="10" t="n">
        <x:v>0</x:v>
      </x:c>
      <x:c r="K506" s="10" t="n">
        <x:v>3.5</x:v>
      </x:c>
      <x:c r="L506" s="10" t="n">
        <x:f>G506*I506</x:f>
        <x:v>12.95</x:v>
      </x:c>
      <x:c r="M506" s="10" t="n">
        <x:f>ROUND((L506-J506)*H506/G506,2)</x:f>
        <x:v>0</x:v>
      </x:c>
      <x:c r="N506" s="10" t="n">
        <x:f>L506-J506-M506</x:f>
        <x:v>12.95</x:v>
      </x:c>
      <x:c r="O506" s="10" t="n">
        <x:f>(G506-H506)*K506</x:f>
        <x:v>3.5</x:v>
      </x:c>
      <x:c r="P506" s="10" t="n">
        <x:f>N506-O506</x:f>
        <x:v>9.45</x:v>
      </x:c>
      <x:c r="Q506" s="9" t="n">
        <x:f>A506-WEEKDAY(A506,2)+1</x:f>
        <x:v>46279</x:v>
      </x:c>
      <x:c r="R506" s="2" t="str">
        <x:f>IF(AND(A506&gt;='Review'!$B$4,A506&lt;='Review'!$D$4),"Selected","Outside")</x:f>
        <x:v>Outside</x:v>
      </x:c>
    </x:row>
    <x:row r="507" ht="20" customHeight="1">
      <x:c r="A507" s="9" t="n">
        <x:v>46282</x:v>
      </x:c>
      <x:c r="B507" s="2" t="str">
        <x:v>MM-1376</x:v>
      </x:c>
      <x:c r="C507" s="2" t="str">
        <x:v>Organic Search</x:v>
      </x:c>
      <x:c r="D507" s="2" t="str">
        <x:v>PIN-001</x:v>
      </x:c>
      <x:c r="E507" s="2" t="str">
        <x:f>_xlfn.IFNA(VLOOKUP(D507,'Products'!$A$7:$I$22,2,FALSE),"Unmapped")</x:f>
        <x:v>Coffee enamel pin</x:v>
      </x:c>
      <x:c r="F507" s="2" t="str">
        <x:f>_xlfn.IFNA(VLOOKUP(D507,'Products'!$A$7:$I$22,3,FALSE),"Unmapped")</x:f>
        <x:v>Accessories</x:v>
      </x:c>
      <x:c r="G507" s="2" t="n">
        <x:v>2</x:v>
      </x:c>
      <x:c r="H507" s="2" t="n">
        <x:v>0</x:v>
      </x:c>
      <x:c r="I507" s="10" t="n">
        <x:v>9.95</x:v>
      </x:c>
      <x:c r="J507" s="10" t="n">
        <x:v>0</x:v>
      </x:c>
      <x:c r="K507" s="10" t="n">
        <x:v>2.5</x:v>
      </x:c>
      <x:c r="L507" s="10" t="n">
        <x:f>G507*I507</x:f>
        <x:v>19.9</x:v>
      </x:c>
      <x:c r="M507" s="10" t="n">
        <x:f>ROUND((L507-J507)*H507/G507,2)</x:f>
        <x:v>0</x:v>
      </x:c>
      <x:c r="N507" s="10" t="n">
        <x:f>L507-J507-M507</x:f>
        <x:v>19.9</x:v>
      </x:c>
      <x:c r="O507" s="10" t="n">
        <x:f>(G507-H507)*K507</x:f>
        <x:v>5</x:v>
      </x:c>
      <x:c r="P507" s="10" t="n">
        <x:f>N507-O507</x:f>
        <x:v>14.899999999999999</x:v>
      </x:c>
      <x:c r="Q507" s="9" t="n">
        <x:f>A507-WEEKDAY(A507,2)+1</x:f>
        <x:v>46279</x:v>
      </x:c>
      <x:c r="R507" s="2" t="str">
        <x:f>IF(AND(A507&gt;='Review'!$B$4,A507&lt;='Review'!$D$4),"Selected","Outside")</x:f>
        <x:v>Outside</x:v>
      </x:c>
    </x:row>
    <x:row r="508" ht="20" customHeight="1">
      <x:c r="A508" s="9" t="n">
        <x:v>46282</x:v>
      </x:c>
      <x:c r="B508" s="2" t="str">
        <x:v>MM-1364</x:v>
      </x:c>
      <x:c r="C508" s="2" t="str">
        <x:v>Email</x:v>
      </x:c>
      <x:c r="D508" s="2" t="str">
        <x:v>APP-002</x:v>
      </x:c>
      <x:c r="E508" s="2" t="str">
        <x:f>_xlfn.IFNA(VLOOKUP(D508,'Products'!$A$7:$I$22,2,FALSE),"Unmapped")</x:f>
        <x:v>Weekend hoodie</x:v>
      </x:c>
      <x:c r="F508" s="2" t="str">
        <x:f>_xlfn.IFNA(VLOOKUP(D508,'Products'!$A$7:$I$22,3,FALSE),"Unmapped")</x:f>
        <x:v>Apparel</x:v>
      </x:c>
      <x:c r="G508" s="2" t="n">
        <x:v>2</x:v>
      </x:c>
      <x:c r="H508" s="2" t="n">
        <x:v>0</x:v>
      </x:c>
      <x:c r="I508" s="10" t="n">
        <x:v>69.95</x:v>
      </x:c>
      <x:c r="J508" s="10" t="n">
        <x:v>13.99</x:v>
      </x:c>
      <x:c r="K508" s="10" t="n">
        <x:v>28</x:v>
      </x:c>
      <x:c r="L508" s="10" t="n">
        <x:f>G508*I508</x:f>
        <x:v>139.9</x:v>
      </x:c>
      <x:c r="M508" s="10" t="n">
        <x:f>ROUND((L508-J508)*H508/G508,2)</x:f>
        <x:v>0</x:v>
      </x:c>
      <x:c r="N508" s="10" t="n">
        <x:f>L508-J508-M508</x:f>
        <x:v>125.91000000000001</x:v>
      </x:c>
      <x:c r="O508" s="10" t="n">
        <x:f>(G508-H508)*K508</x:f>
        <x:v>56</x:v>
      </x:c>
      <x:c r="P508" s="10" t="n">
        <x:f>N508-O508</x:f>
        <x:v>69.91000000000001</x:v>
      </x:c>
      <x:c r="Q508" s="9" t="n">
        <x:f>A508-WEEKDAY(A508,2)+1</x:f>
        <x:v>46279</x:v>
      </x:c>
      <x:c r="R508" s="2" t="str">
        <x:f>IF(AND(A508&gt;='Review'!$B$4,A508&lt;='Review'!$D$4),"Selected","Outside")</x:f>
        <x:v>Outside</x:v>
      </x:c>
    </x:row>
    <x:row r="509" ht="20" customHeight="1">
      <x:c r="A509" s="9" t="n">
        <x:v>46282</x:v>
      </x:c>
      <x:c r="B509" s="2" t="str">
        <x:v>MM-1364</x:v>
      </x:c>
      <x:c r="C509" s="2" t="str">
        <x:v>Email</x:v>
      </x:c>
      <x:c r="D509" s="2" t="str">
        <x:v>APP-001</x:v>
      </x:c>
      <x:c r="E509" s="2" t="str">
        <x:f>_xlfn.IFNA(VLOOKUP(D509,'Products'!$A$7:$I$22,2,FALSE),"Unmapped")</x:f>
        <x:v>Everyday crewneck</x:v>
      </x:c>
      <x:c r="F509" s="2" t="str">
        <x:f>_xlfn.IFNA(VLOOKUP(D509,'Products'!$A$7:$I$22,3,FALSE),"Unmapped")</x:f>
        <x:v>Apparel</x:v>
      </x:c>
      <x:c r="G509" s="2" t="n">
        <x:v>1</x:v>
      </x:c>
      <x:c r="H509" s="2" t="n">
        <x:v>0</x:v>
      </x:c>
      <x:c r="I509" s="10" t="n">
        <x:v>54.95</x:v>
      </x:c>
      <x:c r="J509" s="10" t="n">
        <x:v>5.49</x:v>
      </x:c>
      <x:c r="K509" s="10" t="n">
        <x:v>22</x:v>
      </x:c>
      <x:c r="L509" s="10" t="n">
        <x:f>G509*I509</x:f>
        <x:v>54.95</x:v>
      </x:c>
      <x:c r="M509" s="10" t="n">
        <x:f>ROUND((L509-J509)*H509/G509,2)</x:f>
        <x:v>0</x:v>
      </x:c>
      <x:c r="N509" s="10" t="n">
        <x:f>L509-J509-M509</x:f>
        <x:v>49.46</x:v>
      </x:c>
      <x:c r="O509" s="10" t="n">
        <x:f>(G509-H509)*K509</x:f>
        <x:v>22</x:v>
      </x:c>
      <x:c r="P509" s="10" t="n">
        <x:f>N509-O509</x:f>
        <x:v>27.46</x:v>
      </x:c>
      <x:c r="Q509" s="9" t="n">
        <x:f>A509-WEEKDAY(A509,2)+1</x:f>
        <x:v>46279</x:v>
      </x:c>
      <x:c r="R509" s="2" t="str">
        <x:f>IF(AND(A509&gt;='Review'!$B$4,A509&lt;='Review'!$D$4),"Selected","Outside")</x:f>
        <x:v>Outside</x:v>
      </x:c>
    </x:row>
    <x:row r="510" ht="20" customHeight="1">
      <x:c r="A510" s="9" t="n">
        <x:v>46282</x:v>
      </x:c>
      <x:c r="B510" s="2" t="str">
        <x:v>MM-1369</x:v>
      </x:c>
      <x:c r="C510" s="2" t="str">
        <x:v>Organic Search</x:v>
      </x:c>
      <x:c r="D510" s="2" t="str">
        <x:v>GFT-002</x:v>
      </x:c>
      <x:c r="E510" s="2" t="str">
        <x:f>_xlfn.IFNA(VLOOKUP(D510,'Products'!$A$7:$I$22,2,FALSE),"Unmapped")</x:f>
        <x:v>Cozy weekend gift box</x:v>
      </x:c>
      <x:c r="F510" s="2" t="str">
        <x:f>_xlfn.IFNA(VLOOKUP(D510,'Products'!$A$7:$I$22,3,FALSE),"Unmapped")</x:f>
        <x:v>Gifts</x:v>
      </x:c>
      <x:c r="G510" s="2" t="n">
        <x:v>1</x:v>
      </x:c>
      <x:c r="H510" s="2" t="n">
        <x:v>0</x:v>
      </x:c>
      <x:c r="I510" s="10" t="n">
        <x:v>79.95</x:v>
      </x:c>
      <x:c r="J510" s="10" t="n">
        <x:v>0</x:v>
      </x:c>
      <x:c r="K510" s="10" t="n">
        <x:v>32</x:v>
      </x:c>
      <x:c r="L510" s="10" t="n">
        <x:f>G510*I510</x:f>
        <x:v>79.95</x:v>
      </x:c>
      <x:c r="M510" s="10" t="n">
        <x:f>ROUND((L510-J510)*H510/G510,2)</x:f>
        <x:v>0</x:v>
      </x:c>
      <x:c r="N510" s="10" t="n">
        <x:f>L510-J510-M510</x:f>
        <x:v>79.95</x:v>
      </x:c>
      <x:c r="O510" s="10" t="n">
        <x:f>(G510-H510)*K510</x:f>
        <x:v>32</x:v>
      </x:c>
      <x:c r="P510" s="10" t="n">
        <x:f>N510-O510</x:f>
        <x:v>47.95</x:v>
      </x:c>
      <x:c r="Q510" s="9" t="n">
        <x:f>A510-WEEKDAY(A510,2)+1</x:f>
        <x:v>46279</x:v>
      </x:c>
      <x:c r="R510" s="2" t="str">
        <x:f>IF(AND(A510&gt;='Review'!$B$4,A510&lt;='Review'!$D$4),"Selected","Outside")</x:f>
        <x:v>Outside</x:v>
      </x:c>
    </x:row>
    <x:row r="511" ht="20" customHeight="1">
      <x:c r="A511" s="9" t="n">
        <x:v>46282</x:v>
      </x:c>
      <x:c r="B511" s="2" t="str">
        <x:v>MM-1369</x:v>
      </x:c>
      <x:c r="C511" s="2" t="str">
        <x:v>Organic Search</x:v>
      </x:c>
      <x:c r="D511" s="2" t="str">
        <x:v>APP-002</x:v>
      </x:c>
      <x:c r="E511" s="2" t="str">
        <x:f>_xlfn.IFNA(VLOOKUP(D511,'Products'!$A$7:$I$22,2,FALSE),"Unmapped")</x:f>
        <x:v>Weekend hoodie</x:v>
      </x:c>
      <x:c r="F511" s="2" t="str">
        <x:f>_xlfn.IFNA(VLOOKUP(D511,'Products'!$A$7:$I$22,3,FALSE),"Unmapped")</x:f>
        <x:v>Apparel</x:v>
      </x:c>
      <x:c r="G511" s="2" t="n">
        <x:v>3</x:v>
      </x:c>
      <x:c r="H511" s="2" t="n">
        <x:v>0</x:v>
      </x:c>
      <x:c r="I511" s="10" t="n">
        <x:v>69.95</x:v>
      </x:c>
      <x:c r="J511" s="10" t="n">
        <x:v>0</x:v>
      </x:c>
      <x:c r="K511" s="10" t="n">
        <x:v>28</x:v>
      </x:c>
      <x:c r="L511" s="10" t="n">
        <x:f>G511*I511</x:f>
        <x:v>209.85000000000002</x:v>
      </x:c>
      <x:c r="M511" s="10" t="n">
        <x:f>ROUND((L511-J511)*H511/G511,2)</x:f>
        <x:v>0</x:v>
      </x:c>
      <x:c r="N511" s="10" t="n">
        <x:f>L511-J511-M511</x:f>
        <x:v>209.85000000000002</x:v>
      </x:c>
      <x:c r="O511" s="10" t="n">
        <x:f>(G511-H511)*K511</x:f>
        <x:v>84</x:v>
      </x:c>
      <x:c r="P511" s="10" t="n">
        <x:f>N511-O511</x:f>
        <x:v>125.85000000000002</x:v>
      </x:c>
      <x:c r="Q511" s="9" t="n">
        <x:f>A511-WEEKDAY(A511,2)+1</x:f>
        <x:v>46279</x:v>
      </x:c>
      <x:c r="R511" s="2" t="str">
        <x:f>IF(AND(A511&gt;='Review'!$B$4,A511&lt;='Review'!$D$4),"Selected","Outside")</x:f>
        <x:v>Outside</x:v>
      </x:c>
    </x:row>
    <x:row r="512" ht="20" customHeight="1">
      <x:c r="A512" s="9" t="n">
        <x:v>46282</x:v>
      </x:c>
      <x:c r="B512" s="2" t="str">
        <x:v>MM-1378</x:v>
      </x:c>
      <x:c r="C512" s="2" t="str">
        <x:v>Email</x:v>
      </x:c>
      <x:c r="D512" s="2" t="str">
        <x:v>BOT-001</x:v>
      </x:c>
      <x:c r="E512" s="2" t="str">
        <x:f>_xlfn.IFNA(VLOOKUP(D512,'Products'!$A$7:$I$22,2,FALSE),"Unmapped")</x:f>
        <x:v>Trail water bottle</x:v>
      </x:c>
      <x:c r="F512" s="2" t="str">
        <x:f>_xlfn.IFNA(VLOOKUP(D512,'Products'!$A$7:$I$22,3,FALSE),"Unmapped")</x:f>
        <x:v>Drinkware</x:v>
      </x:c>
      <x:c r="G512" s="2" t="n">
        <x:v>1</x:v>
      </x:c>
      <x:c r="H512" s="2" t="n">
        <x:v>1</x:v>
      </x:c>
      <x:c r="I512" s="10" t="n">
        <x:v>34.95</x:v>
      </x:c>
      <x:c r="J512" s="10" t="n">
        <x:v>3.49</x:v>
      </x:c>
      <x:c r="K512" s="10" t="n">
        <x:v>13.5</x:v>
      </x:c>
      <x:c r="L512" s="10" t="n">
        <x:f>G512*I512</x:f>
        <x:v>34.95</x:v>
      </x:c>
      <x:c r="M512" s="10" t="n">
        <x:f>ROUND((L512-J512)*H512/G512,2)</x:f>
        <x:v>31.46</x:v>
      </x:c>
      <x:c r="N512" s="10" t="n">
        <x:f>L512-J512-M512</x:f>
        <x:v>0</x:v>
      </x:c>
      <x:c r="O512" s="10" t="n">
        <x:f>(G512-H512)*K512</x:f>
        <x:v>0</x:v>
      </x:c>
      <x:c r="P512" s="10" t="n">
        <x:f>N512-O512</x:f>
        <x:v>0</x:v>
      </x:c>
      <x:c r="Q512" s="9" t="n">
        <x:f>A512-WEEKDAY(A512,2)+1</x:f>
        <x:v>46279</x:v>
      </x:c>
      <x:c r="R512" s="2" t="str">
        <x:f>IF(AND(A512&gt;='Review'!$B$4,A512&lt;='Review'!$D$4),"Selected","Outside")</x:f>
        <x:v>Outside</x:v>
      </x:c>
    </x:row>
    <x:row r="513" ht="20" customHeight="1">
      <x:c r="A513" s="9" t="n">
        <x:v>46282</x:v>
      </x:c>
      <x:c r="B513" s="2" t="str">
        <x:v>MM-1378</x:v>
      </x:c>
      <x:c r="C513" s="2" t="str">
        <x:v>Email</x:v>
      </x:c>
      <x:c r="D513" s="2" t="str">
        <x:v>APP-002</x:v>
      </x:c>
      <x:c r="E513" s="2" t="str">
        <x:f>_xlfn.IFNA(VLOOKUP(D513,'Products'!$A$7:$I$22,2,FALSE),"Unmapped")</x:f>
        <x:v>Weekend hoodie</x:v>
      </x:c>
      <x:c r="F513" s="2" t="str">
        <x:f>_xlfn.IFNA(VLOOKUP(D513,'Products'!$A$7:$I$22,3,FALSE),"Unmapped")</x:f>
        <x:v>Apparel</x:v>
      </x:c>
      <x:c r="G513" s="2" t="n">
        <x:v>1</x:v>
      </x:c>
      <x:c r="H513" s="2" t="n">
        <x:v>1</x:v>
      </x:c>
      <x:c r="I513" s="10" t="n">
        <x:v>69.95</x:v>
      </x:c>
      <x:c r="J513" s="10" t="n">
        <x:v>6.99</x:v>
      </x:c>
      <x:c r="K513" s="10" t="n">
        <x:v>28</x:v>
      </x:c>
      <x:c r="L513" s="10" t="n">
        <x:f>G513*I513</x:f>
        <x:v>69.95</x:v>
      </x:c>
      <x:c r="M513" s="10" t="n">
        <x:f>ROUND((L513-J513)*H513/G513,2)</x:f>
        <x:v>62.96</x:v>
      </x:c>
      <x:c r="N513" s="10" t="n">
        <x:f>L513-J513-M513</x:f>
        <x:v>0</x:v>
      </x:c>
      <x:c r="O513" s="10" t="n">
        <x:f>(G513-H513)*K513</x:f>
        <x:v>0</x:v>
      </x:c>
      <x:c r="P513" s="10" t="n">
        <x:f>N513-O513</x:f>
        <x:v>0</x:v>
      </x:c>
      <x:c r="Q513" s="9" t="n">
        <x:f>A513-WEEKDAY(A513,2)+1</x:f>
        <x:v>46279</x:v>
      </x:c>
      <x:c r="R513" s="2" t="str">
        <x:f>IF(AND(A513&gt;='Review'!$B$4,A513&lt;='Review'!$D$4),"Selected","Outside")</x:f>
        <x:v>Outside</x:v>
      </x:c>
    </x:row>
    <x:row r="514" ht="20" customHeight="1">
      <x:c r="A514" s="9" t="n">
        <x:v>46282</x:v>
      </x:c>
      <x:c r="B514" s="2" t="str">
        <x:v>MM-1372</x:v>
      </x:c>
      <x:c r="C514" s="2" t="str">
        <x:v>Email</x:v>
      </x:c>
      <x:c r="D514" s="2" t="str">
        <x:v>APP-001</x:v>
      </x:c>
      <x:c r="E514" s="2" t="str">
        <x:f>_xlfn.IFNA(VLOOKUP(D514,'Products'!$A$7:$I$22,2,FALSE),"Unmapped")</x:f>
        <x:v>Everyday crewneck</x:v>
      </x:c>
      <x:c r="F514" s="2" t="str">
        <x:f>_xlfn.IFNA(VLOOKUP(D514,'Products'!$A$7:$I$22,3,FALSE),"Unmapped")</x:f>
        <x:v>Apparel</x:v>
      </x:c>
      <x:c r="G514" s="2" t="n">
        <x:v>3</x:v>
      </x:c>
      <x:c r="H514" s="2" t="n">
        <x:v>0</x:v>
      </x:c>
      <x:c r="I514" s="10" t="n">
        <x:v>54.95</x:v>
      </x:c>
      <x:c r="J514" s="10" t="n">
        <x:v>16.48</x:v>
      </x:c>
      <x:c r="K514" s="10" t="n">
        <x:v>22</x:v>
      </x:c>
      <x:c r="L514" s="10" t="n">
        <x:f>G514*I514</x:f>
        <x:v>164.85000000000002</x:v>
      </x:c>
      <x:c r="M514" s="10" t="n">
        <x:f>ROUND((L514-J514)*H514/G514,2)</x:f>
        <x:v>0</x:v>
      </x:c>
      <x:c r="N514" s="10" t="n">
        <x:f>L514-J514-M514</x:f>
        <x:v>148.37000000000003</x:v>
      </x:c>
      <x:c r="O514" s="10" t="n">
        <x:f>(G514-H514)*K514</x:f>
        <x:v>66</x:v>
      </x:c>
      <x:c r="P514" s="10" t="n">
        <x:f>N514-O514</x:f>
        <x:v>82.37000000000003</x:v>
      </x:c>
      <x:c r="Q514" s="9" t="n">
        <x:f>A514-WEEKDAY(A514,2)+1</x:f>
        <x:v>46279</x:v>
      </x:c>
      <x:c r="R514" s="2" t="str">
        <x:f>IF(AND(A514&gt;='Review'!$B$4,A514&lt;='Review'!$D$4),"Selected","Outside")</x:f>
        <x:v>Outside</x:v>
      </x:c>
    </x:row>
    <x:row r="515" ht="20" customHeight="1">
      <x:c r="A515" s="9" t="n">
        <x:v>46282</x:v>
      </x:c>
      <x:c r="B515" s="2" t="str">
        <x:v>MM-1372</x:v>
      </x:c>
      <x:c r="C515" s="2" t="str">
        <x:v>Email</x:v>
      </x:c>
      <x:c r="D515" s="2" t="str">
        <x:v>HAT-001</x:v>
      </x:c>
      <x:c r="E515" s="2" t="str">
        <x:f>_xlfn.IFNA(VLOOKUP(D515,'Products'!$A$7:$I$22,2,FALSE),"Unmapped")</x:f>
        <x:v>Classic canvas cap</x:v>
      </x:c>
      <x:c r="F515" s="2" t="str">
        <x:f>_xlfn.IFNA(VLOOKUP(D515,'Products'!$A$7:$I$22,3,FALSE),"Unmapped")</x:f>
        <x:v>Accessories</x:v>
      </x:c>
      <x:c r="G515" s="2" t="n">
        <x:v>2</x:v>
      </x:c>
      <x:c r="H515" s="2" t="n">
        <x:v>0</x:v>
      </x:c>
      <x:c r="I515" s="10" t="n">
        <x:v>24.95</x:v>
      </x:c>
      <x:c r="J515" s="10" t="n">
        <x:v>4.99</x:v>
      </x:c>
      <x:c r="K515" s="10" t="n">
        <x:v>8.5</x:v>
      </x:c>
      <x:c r="L515" s="10" t="n">
        <x:f>G515*I515</x:f>
        <x:v>49.9</x:v>
      </x:c>
      <x:c r="M515" s="10" t="n">
        <x:f>ROUND((L515-J515)*H515/G515,2)</x:f>
        <x:v>0</x:v>
      </x:c>
      <x:c r="N515" s="10" t="n">
        <x:f>L515-J515-M515</x:f>
        <x:v>44.91</x:v>
      </x:c>
      <x:c r="O515" s="10" t="n">
        <x:f>(G515-H515)*K515</x:f>
        <x:v>17</x:v>
      </x:c>
      <x:c r="P515" s="10" t="n">
        <x:f>N515-O515</x:f>
        <x:v>27.909999999999997</x:v>
      </x:c>
      <x:c r="Q515" s="9" t="n">
        <x:f>A515-WEEKDAY(A515,2)+1</x:f>
        <x:v>46279</x:v>
      </x:c>
      <x:c r="R515" s="2" t="str">
        <x:f>IF(AND(A515&gt;='Review'!$B$4,A515&lt;='Review'!$D$4),"Selected","Outside")</x:f>
        <x:v>Outside</x:v>
      </x:c>
    </x:row>
    <x:row r="516" ht="20" customHeight="1">
      <x:c r="A516" s="9" t="n">
        <x:v>46282</x:v>
      </x:c>
      <x:c r="B516" s="2" t="str">
        <x:v>MM-1375</x:v>
      </x:c>
      <x:c r="C516" s="2" t="str">
        <x:v>Organic Search</x:v>
      </x:c>
      <x:c r="D516" s="2" t="str">
        <x:v>APP-001</x:v>
      </x:c>
      <x:c r="E516" s="2" t="str">
        <x:f>_xlfn.IFNA(VLOOKUP(D516,'Products'!$A$7:$I$22,2,FALSE),"Unmapped")</x:f>
        <x:v>Everyday crewneck</x:v>
      </x:c>
      <x:c r="F516" s="2" t="str">
        <x:f>_xlfn.IFNA(VLOOKUP(D516,'Products'!$A$7:$I$22,3,FALSE),"Unmapped")</x:f>
        <x:v>Apparel</x:v>
      </x:c>
      <x:c r="G516" s="2" t="n">
        <x:v>1</x:v>
      </x:c>
      <x:c r="H516" s="2" t="n">
        <x:v>0</x:v>
      </x:c>
      <x:c r="I516" s="10" t="n">
        <x:v>54.95</x:v>
      </x:c>
      <x:c r="J516" s="10" t="n">
        <x:v>0</x:v>
      </x:c>
      <x:c r="K516" s="10" t="n">
        <x:v>22</x:v>
      </x:c>
      <x:c r="L516" s="10" t="n">
        <x:f>G516*I516</x:f>
        <x:v>54.95</x:v>
      </x:c>
      <x:c r="M516" s="10" t="n">
        <x:f>ROUND((L516-J516)*H516/G516,2)</x:f>
        <x:v>0</x:v>
      </x:c>
      <x:c r="N516" s="10" t="n">
        <x:f>L516-J516-M516</x:f>
        <x:v>54.95</x:v>
      </x:c>
      <x:c r="O516" s="10" t="n">
        <x:f>(G516-H516)*K516</x:f>
        <x:v>22</x:v>
      </x:c>
      <x:c r="P516" s="10" t="n">
        <x:f>N516-O516</x:f>
        <x:v>32.95</x:v>
      </x:c>
      <x:c r="Q516" s="9" t="n">
        <x:f>A516-WEEKDAY(A516,2)+1</x:f>
        <x:v>46279</x:v>
      </x:c>
      <x:c r="R516" s="2" t="str">
        <x:f>IF(AND(A516&gt;='Review'!$B$4,A516&lt;='Review'!$D$4),"Selected","Outside")</x:f>
        <x:v>Outside</x:v>
      </x:c>
    </x:row>
    <x:row r="517" ht="20" customHeight="1">
      <x:c r="A517" s="9" t="n">
        <x:v>46282</x:v>
      </x:c>
      <x:c r="B517" s="2" t="str">
        <x:v>MM-1368</x:v>
      </x:c>
      <x:c r="C517" s="2" t="str">
        <x:v>Organic Search</x:v>
      </x:c>
      <x:c r="D517" s="2" t="str">
        <x:v>KEY-001</x:v>
      </x:c>
      <x:c r="E517" s="2" t="str">
        <x:f>_xlfn.IFNA(VLOOKUP(D517,'Products'!$A$7:$I$22,2,FALSE),"Unmapped")</x:f>
        <x:v>Maple keyring</x:v>
      </x:c>
      <x:c r="F517" s="2" t="str">
        <x:f>_xlfn.IFNA(VLOOKUP(D517,'Products'!$A$7:$I$22,3,FALSE),"Unmapped")</x:f>
        <x:v>Accessories</x:v>
      </x:c>
      <x:c r="G517" s="2" t="n">
        <x:v>1</x:v>
      </x:c>
      <x:c r="H517" s="2" t="n">
        <x:v>0</x:v>
      </x:c>
      <x:c r="I517" s="10" t="n">
        <x:v>12.95</x:v>
      </x:c>
      <x:c r="J517" s="10" t="n">
        <x:v>0</x:v>
      </x:c>
      <x:c r="K517" s="10" t="n">
        <x:v>3.5</x:v>
      </x:c>
      <x:c r="L517" s="10" t="n">
        <x:f>G517*I517</x:f>
        <x:v>12.95</x:v>
      </x:c>
      <x:c r="M517" s="10" t="n">
        <x:f>ROUND((L517-J517)*H517/G517,2)</x:f>
        <x:v>0</x:v>
      </x:c>
      <x:c r="N517" s="10" t="n">
        <x:f>L517-J517-M517</x:f>
        <x:v>12.95</x:v>
      </x:c>
      <x:c r="O517" s="10" t="n">
        <x:f>(G517-H517)*K517</x:f>
        <x:v>3.5</x:v>
      </x:c>
      <x:c r="P517" s="10" t="n">
        <x:f>N517-O517</x:f>
        <x:v>9.45</x:v>
      </x:c>
      <x:c r="Q517" s="9" t="n">
        <x:f>A517-WEEKDAY(A517,2)+1</x:f>
        <x:v>46279</x:v>
      </x:c>
      <x:c r="R517" s="2" t="str">
        <x:f>IF(AND(A517&gt;='Review'!$B$4,A517&lt;='Review'!$D$4),"Selected","Outside")</x:f>
        <x:v>Outside</x:v>
      </x:c>
    </x:row>
    <x:row r="518" ht="20" customHeight="1">
      <x:c r="A518" s="9" t="n">
        <x:v>46282</x:v>
      </x:c>
      <x:c r="B518" s="2" t="str">
        <x:v>MM-1365</x:v>
      </x:c>
      <x:c r="C518" s="2" t="str">
        <x:v>Direct</x:v>
      </x:c>
      <x:c r="D518" s="2" t="str">
        <x:v>TUM-002</x:v>
      </x:c>
      <x:c r="E518" s="2" t="str">
        <x:f>_xlfn.IFNA(VLOOKUP(D518,'Products'!$A$7:$I$22,2,FALSE),"Unmapped")</x:f>
        <x:v>Cold brew glass cup</x:v>
      </x:c>
      <x:c r="F518" s="2" t="str">
        <x:f>_xlfn.IFNA(VLOOKUP(D518,'Products'!$A$7:$I$22,3,FALSE),"Unmapped")</x:f>
        <x:v>Drinkware</x:v>
      </x:c>
      <x:c r="G518" s="2" t="n">
        <x:v>1</x:v>
      </x:c>
      <x:c r="H518" s="2" t="n">
        <x:v>0</x:v>
      </x:c>
      <x:c r="I518" s="10" t="n">
        <x:v>24.95</x:v>
      </x:c>
      <x:c r="J518" s="10" t="n">
        <x:v>0</x:v>
      </x:c>
      <x:c r="K518" s="10" t="n">
        <x:v>9</x:v>
      </x:c>
      <x:c r="L518" s="10" t="n">
        <x:f>G518*I518</x:f>
        <x:v>24.95</x:v>
      </x:c>
      <x:c r="M518" s="10" t="n">
        <x:f>ROUND((L518-J518)*H518/G518,2)</x:f>
        <x:v>0</x:v>
      </x:c>
      <x:c r="N518" s="10" t="n">
        <x:f>L518-J518-M518</x:f>
        <x:v>24.95</x:v>
      </x:c>
      <x:c r="O518" s="10" t="n">
        <x:f>(G518-H518)*K518</x:f>
        <x:v>9</x:v>
      </x:c>
      <x:c r="P518" s="10" t="n">
        <x:f>N518-O518</x:f>
        <x:v>15.95</x:v>
      </x:c>
      <x:c r="Q518" s="9" t="n">
        <x:f>A518-WEEKDAY(A518,2)+1</x:f>
        <x:v>46279</x:v>
      </x:c>
      <x:c r="R518" s="2" t="str">
        <x:f>IF(AND(A518&gt;='Review'!$B$4,A518&lt;='Review'!$D$4),"Selected","Outside")</x:f>
        <x:v>Outside</x:v>
      </x:c>
    </x:row>
    <x:row r="519" ht="20" customHeight="1">
      <x:c r="A519" s="9" t="n">
        <x:v>46282</x:v>
      </x:c>
      <x:c r="B519" s="2" t="str">
        <x:v>MM-1365</x:v>
      </x:c>
      <x:c r="C519" s="2" t="str">
        <x:v>Direct</x:v>
      </x:c>
      <x:c r="D519" s="2" t="str">
        <x:v>PIN-001</x:v>
      </x:c>
      <x:c r="E519" s="2" t="str">
        <x:f>_xlfn.IFNA(VLOOKUP(D519,'Products'!$A$7:$I$22,2,FALSE),"Unmapped")</x:f>
        <x:v>Coffee enamel pin</x:v>
      </x:c>
      <x:c r="F519" s="2" t="str">
        <x:f>_xlfn.IFNA(VLOOKUP(D519,'Products'!$A$7:$I$22,3,FALSE),"Unmapped")</x:f>
        <x:v>Accessories</x:v>
      </x:c>
      <x:c r="G519" s="2" t="n">
        <x:v>1</x:v>
      </x:c>
      <x:c r="H519" s="2" t="n">
        <x:v>0</x:v>
      </x:c>
      <x:c r="I519" s="10" t="n">
        <x:v>9.95</x:v>
      </x:c>
      <x:c r="J519" s="10" t="n">
        <x:v>0</x:v>
      </x:c>
      <x:c r="K519" s="10" t="n">
        <x:v>2.5</x:v>
      </x:c>
      <x:c r="L519" s="10" t="n">
        <x:f>G519*I519</x:f>
        <x:v>9.95</x:v>
      </x:c>
      <x:c r="M519" s="10" t="n">
        <x:f>ROUND((L519-J519)*H519/G519,2)</x:f>
        <x:v>0</x:v>
      </x:c>
      <x:c r="N519" s="10" t="n">
        <x:f>L519-J519-M519</x:f>
        <x:v>9.95</x:v>
      </x:c>
      <x:c r="O519" s="10" t="n">
        <x:f>(G519-H519)*K519</x:f>
        <x:v>2.5</x:v>
      </x:c>
      <x:c r="P519" s="10" t="n">
        <x:f>N519-O519</x:f>
        <x:v>7.449999999999999</x:v>
      </x:c>
      <x:c r="Q519" s="9" t="n">
        <x:f>A519-WEEKDAY(A519,2)+1</x:f>
        <x:v>46279</x:v>
      </x:c>
      <x:c r="R519" s="2" t="str">
        <x:f>IF(AND(A519&gt;='Review'!$B$4,A519&lt;='Review'!$D$4),"Selected","Outside")</x:f>
        <x:v>Outside</x:v>
      </x:c>
    </x:row>
    <x:row r="520" ht="20" customHeight="1">
      <x:c r="A520" s="9" t="n">
        <x:v>46282</x:v>
      </x:c>
      <x:c r="B520" s="2" t="str">
        <x:v>MM-1371</x:v>
      </x:c>
      <x:c r="C520" s="2" t="str">
        <x:v>Organic Search</x:v>
      </x:c>
      <x:c r="D520" s="2" t="str">
        <x:v>APP-002</x:v>
      </x:c>
      <x:c r="E520" s="2" t="str">
        <x:f>_xlfn.IFNA(VLOOKUP(D520,'Products'!$A$7:$I$22,2,FALSE),"Unmapped")</x:f>
        <x:v>Weekend hoodie</x:v>
      </x:c>
      <x:c r="F520" s="2" t="str">
        <x:f>_xlfn.IFNA(VLOOKUP(D520,'Products'!$A$7:$I$22,3,FALSE),"Unmapped")</x:f>
        <x:v>Apparel</x:v>
      </x:c>
      <x:c r="G520" s="2" t="n">
        <x:v>1</x:v>
      </x:c>
      <x:c r="H520" s="2" t="n">
        <x:v>0</x:v>
      </x:c>
      <x:c r="I520" s="10" t="n">
        <x:v>69.95</x:v>
      </x:c>
      <x:c r="J520" s="10" t="n">
        <x:v>6.99</x:v>
      </x:c>
      <x:c r="K520" s="10" t="n">
        <x:v>28</x:v>
      </x:c>
      <x:c r="L520" s="10" t="n">
        <x:f>G520*I520</x:f>
        <x:v>69.95</x:v>
      </x:c>
      <x:c r="M520" s="10" t="n">
        <x:f>ROUND((L520-J520)*H520/G520,2)</x:f>
        <x:v>0</x:v>
      </x:c>
      <x:c r="N520" s="10" t="n">
        <x:f>L520-J520-M520</x:f>
        <x:v>62.96</x:v>
      </x:c>
      <x:c r="O520" s="10" t="n">
        <x:f>(G520-H520)*K520</x:f>
        <x:v>28</x:v>
      </x:c>
      <x:c r="P520" s="10" t="n">
        <x:f>N520-O520</x:f>
        <x:v>34.96</x:v>
      </x:c>
      <x:c r="Q520" s="9" t="n">
        <x:f>A520-WEEKDAY(A520,2)+1</x:f>
        <x:v>46279</x:v>
      </x:c>
      <x:c r="R520" s="2" t="str">
        <x:f>IF(AND(A520&gt;='Review'!$B$4,A520&lt;='Review'!$D$4),"Selected","Outside")</x:f>
        <x:v>Outside</x:v>
      </x:c>
    </x:row>
    <x:row r="521" ht="20" customHeight="1">
      <x:c r="A521" s="9" t="n">
        <x:v>46282</x:v>
      </x:c>
      <x:c r="B521" s="2" t="str">
        <x:v>MM-1371</x:v>
      </x:c>
      <x:c r="C521" s="2" t="str">
        <x:v>Organic Search</x:v>
      </x:c>
      <x:c r="D521" s="2" t="str">
        <x:v>TOTE-001</x:v>
      </x:c>
      <x:c r="E521" s="2" t="str">
        <x:f>_xlfn.IFNA(VLOOKUP(D521,'Products'!$A$7:$I$22,2,FALSE),"Unmapped")</x:f>
        <x:v>Market canvas tote</x:v>
      </x:c>
      <x:c r="F521" s="2" t="str">
        <x:f>_xlfn.IFNA(VLOOKUP(D521,'Products'!$A$7:$I$22,3,FALSE),"Unmapped")</x:f>
        <x:v>Accessories</x:v>
      </x:c>
      <x:c r="G521" s="2" t="n">
        <x:v>1</x:v>
      </x:c>
      <x:c r="H521" s="2" t="n">
        <x:v>0</x:v>
      </x:c>
      <x:c r="I521" s="10" t="n">
        <x:v>19.95</x:v>
      </x:c>
      <x:c r="J521" s="10" t="n">
        <x:v>0</x:v>
      </x:c>
      <x:c r="K521" s="10" t="n">
        <x:v>6</x:v>
      </x:c>
      <x:c r="L521" s="10" t="n">
        <x:f>G521*I521</x:f>
        <x:v>19.95</x:v>
      </x:c>
      <x:c r="M521" s="10" t="n">
        <x:f>ROUND((L521-J521)*H521/G521,2)</x:f>
        <x:v>0</x:v>
      </x:c>
      <x:c r="N521" s="10" t="n">
        <x:f>L521-J521-M521</x:f>
        <x:v>19.95</x:v>
      </x:c>
      <x:c r="O521" s="10" t="n">
        <x:f>(G521-H521)*K521</x:f>
        <x:v>6</x:v>
      </x:c>
      <x:c r="P521" s="10" t="n">
        <x:f>N521-O521</x:f>
        <x:v>13.95</x:v>
      </x:c>
      <x:c r="Q521" s="9" t="n">
        <x:f>A521-WEEKDAY(A521,2)+1</x:f>
        <x:v>46279</x:v>
      </x:c>
      <x:c r="R521" s="2" t="str">
        <x:f>IF(AND(A521&gt;='Review'!$B$4,A521&lt;='Review'!$D$4),"Selected","Outside")</x:f>
        <x:v>Outside</x:v>
      </x:c>
    </x:row>
    <x:row r="522" ht="20" customHeight="1">
      <x:c r="A522" s="9" t="n">
        <x:v>46282</x:v>
      </x:c>
      <x:c r="B522" s="2" t="str">
        <x:v>MM-1377</x:v>
      </x:c>
      <x:c r="C522" s="2" t="str">
        <x:v>Direct</x:v>
      </x:c>
      <x:c r="D522" s="2" t="str">
        <x:v>APP-001</x:v>
      </x:c>
      <x:c r="E522" s="2" t="str">
        <x:f>_xlfn.IFNA(VLOOKUP(D522,'Products'!$A$7:$I$22,2,FALSE),"Unmapped")</x:f>
        <x:v>Everyday crewneck</x:v>
      </x:c>
      <x:c r="F522" s="2" t="str">
        <x:f>_xlfn.IFNA(VLOOKUP(D522,'Products'!$A$7:$I$22,3,FALSE),"Unmapped")</x:f>
        <x:v>Apparel</x:v>
      </x:c>
      <x:c r="G522" s="2" t="n">
        <x:v>1</x:v>
      </x:c>
      <x:c r="H522" s="2" t="n">
        <x:v>0</x:v>
      </x:c>
      <x:c r="I522" s="10" t="n">
        <x:v>54.95</x:v>
      </x:c>
      <x:c r="J522" s="10" t="n">
        <x:v>0</x:v>
      </x:c>
      <x:c r="K522" s="10" t="n">
        <x:v>22</x:v>
      </x:c>
      <x:c r="L522" s="10" t="n">
        <x:f>G522*I522</x:f>
        <x:v>54.95</x:v>
      </x:c>
      <x:c r="M522" s="10" t="n">
        <x:f>ROUND((L522-J522)*H522/G522,2)</x:f>
        <x:v>0</x:v>
      </x:c>
      <x:c r="N522" s="10" t="n">
        <x:f>L522-J522-M522</x:f>
        <x:v>54.95</x:v>
      </x:c>
      <x:c r="O522" s="10" t="n">
        <x:f>(G522-H522)*K522</x:f>
        <x:v>22</x:v>
      </x:c>
      <x:c r="P522" s="10" t="n">
        <x:f>N522-O522</x:f>
        <x:v>32.95</x:v>
      </x:c>
      <x:c r="Q522" s="9" t="n">
        <x:f>A522-WEEKDAY(A522,2)+1</x:f>
        <x:v>46279</x:v>
      </x:c>
      <x:c r="R522" s="2" t="str">
        <x:f>IF(AND(A522&gt;='Review'!$B$4,A522&lt;='Review'!$D$4),"Selected","Outside")</x:f>
        <x:v>Outside</x:v>
      </x:c>
    </x:row>
    <x:row r="523" ht="20" customHeight="1">
      <x:c r="A523" s="9" t="n">
        <x:v>46283</x:v>
      </x:c>
      <x:c r="B523" s="2" t="str">
        <x:v>MM-1381</x:v>
      </x:c>
      <x:c r="C523" s="2" t="str">
        <x:v>Email</x:v>
      </x:c>
      <x:c r="D523" s="2" t="str">
        <x:v>TOTE-001</x:v>
      </x:c>
      <x:c r="E523" s="2" t="str">
        <x:f>_xlfn.IFNA(VLOOKUP(D523,'Products'!$A$7:$I$22,2,FALSE),"Unmapped")</x:f>
        <x:v>Market canvas tote</x:v>
      </x:c>
      <x:c r="F523" s="2" t="str">
        <x:f>_xlfn.IFNA(VLOOKUP(D523,'Products'!$A$7:$I$22,3,FALSE),"Unmapped")</x:f>
        <x:v>Accessories</x:v>
      </x:c>
      <x:c r="G523" s="2" t="n">
        <x:v>1</x:v>
      </x:c>
      <x:c r="H523" s="2" t="n">
        <x:v>0</x:v>
      </x:c>
      <x:c r="I523" s="10" t="n">
        <x:v>19.95</x:v>
      </x:c>
      <x:c r="J523" s="10" t="n">
        <x:v>1.99</x:v>
      </x:c>
      <x:c r="K523" s="10" t="n">
        <x:v>6</x:v>
      </x:c>
      <x:c r="L523" s="10" t="n">
        <x:f>G523*I523</x:f>
        <x:v>19.95</x:v>
      </x:c>
      <x:c r="M523" s="10" t="n">
        <x:f>ROUND((L523-J523)*H523/G523,2)</x:f>
        <x:v>0</x:v>
      </x:c>
      <x:c r="N523" s="10" t="n">
        <x:f>L523-J523-M523</x:f>
        <x:v>17.96</x:v>
      </x:c>
      <x:c r="O523" s="10" t="n">
        <x:f>(G523-H523)*K523</x:f>
        <x:v>6</x:v>
      </x:c>
      <x:c r="P523" s="10" t="n">
        <x:f>N523-O523</x:f>
        <x:v>11.96</x:v>
      </x:c>
      <x:c r="Q523" s="9" t="n">
        <x:f>A523-WEEKDAY(A523,2)+1</x:f>
        <x:v>46279</x:v>
      </x:c>
      <x:c r="R523" s="2" t="str">
        <x:f>IF(AND(A523&gt;='Review'!$B$4,A523&lt;='Review'!$D$4),"Selected","Outside")</x:f>
        <x:v>Outside</x:v>
      </x:c>
    </x:row>
    <x:row r="524" ht="20" customHeight="1">
      <x:c r="A524" s="9" t="n">
        <x:v>46283</x:v>
      </x:c>
      <x:c r="B524" s="2" t="str">
        <x:v>MM-1391</x:v>
      </x:c>
      <x:c r="C524" s="2" t="str">
        <x:v>Organic Search</x:v>
      </x:c>
      <x:c r="D524" s="2" t="str">
        <x:v>GFT-001</x:v>
      </x:c>
      <x:c r="E524" s="2" t="str">
        <x:f>_xlfn.IFNA(VLOOKUP(D524,'Products'!$A$7:$I$22,2,FALSE),"Unmapped")</x:f>
        <x:v>Morning ritual gift set</x:v>
      </x:c>
      <x:c r="F524" s="2" t="str">
        <x:f>_xlfn.IFNA(VLOOKUP(D524,'Products'!$A$7:$I$22,3,FALSE),"Unmapped")</x:f>
        <x:v>Gifts</x:v>
      </x:c>
      <x:c r="G524" s="2" t="n">
        <x:v>1</x:v>
      </x:c>
      <x:c r="H524" s="2" t="n">
        <x:v>0</x:v>
      </x:c>
      <x:c r="I524" s="10" t="n">
        <x:v>59.95</x:v>
      </x:c>
      <x:c r="J524" s="10" t="n">
        <x:v>0</x:v>
      </x:c>
      <x:c r="K524" s="10" t="n">
        <x:v>24</x:v>
      </x:c>
      <x:c r="L524" s="10" t="n">
        <x:f>G524*I524</x:f>
        <x:v>59.95</x:v>
      </x:c>
      <x:c r="M524" s="10" t="n">
        <x:f>ROUND((L524-J524)*H524/G524,2)</x:f>
        <x:v>0</x:v>
      </x:c>
      <x:c r="N524" s="10" t="n">
        <x:f>L524-J524-M524</x:f>
        <x:v>59.95</x:v>
      </x:c>
      <x:c r="O524" s="10" t="n">
        <x:f>(G524-H524)*K524</x:f>
        <x:v>24</x:v>
      </x:c>
      <x:c r="P524" s="10" t="n">
        <x:f>N524-O524</x:f>
        <x:v>35.95</x:v>
      </x:c>
      <x:c r="Q524" s="9" t="n">
        <x:f>A524-WEEKDAY(A524,2)+1</x:f>
        <x:v>46279</x:v>
      </x:c>
      <x:c r="R524" s="2" t="str">
        <x:f>IF(AND(A524&gt;='Review'!$B$4,A524&lt;='Review'!$D$4),"Selected","Outside")</x:f>
        <x:v>Outside</x:v>
      </x:c>
    </x:row>
    <x:row r="525" ht="20" customHeight="1">
      <x:c r="A525" s="9" t="n">
        <x:v>46283</x:v>
      </x:c>
      <x:c r="B525" s="2" t="str">
        <x:v>MM-1393</x:v>
      </x:c>
      <x:c r="C525" s="2" t="str">
        <x:v>Paid Social</x:v>
      </x:c>
      <x:c r="D525" s="2" t="str">
        <x:v>TOTE-001</x:v>
      </x:c>
      <x:c r="E525" s="2" t="str">
        <x:f>_xlfn.IFNA(VLOOKUP(D525,'Products'!$A$7:$I$22,2,FALSE),"Unmapped")</x:f>
        <x:v>Market canvas tote</x:v>
      </x:c>
      <x:c r="F525" s="2" t="str">
        <x:f>_xlfn.IFNA(VLOOKUP(D525,'Products'!$A$7:$I$22,3,FALSE),"Unmapped")</x:f>
        <x:v>Accessories</x:v>
      </x:c>
      <x:c r="G525" s="2" t="n">
        <x:v>1</x:v>
      </x:c>
      <x:c r="H525" s="2" t="n">
        <x:v>0</x:v>
      </x:c>
      <x:c r="I525" s="10" t="n">
        <x:v>19.95</x:v>
      </x:c>
      <x:c r="J525" s="10" t="n">
        <x:v>0</x:v>
      </x:c>
      <x:c r="K525" s="10" t="n">
        <x:v>6</x:v>
      </x:c>
      <x:c r="L525" s="10" t="n">
        <x:f>G525*I525</x:f>
        <x:v>19.95</x:v>
      </x:c>
      <x:c r="M525" s="10" t="n">
        <x:f>ROUND((L525-J525)*H525/G525,2)</x:f>
        <x:v>0</x:v>
      </x:c>
      <x:c r="N525" s="10" t="n">
        <x:f>L525-J525-M525</x:f>
        <x:v>19.95</x:v>
      </x:c>
      <x:c r="O525" s="10" t="n">
        <x:f>(G525-H525)*K525</x:f>
        <x:v>6</x:v>
      </x:c>
      <x:c r="P525" s="10" t="n">
        <x:f>N525-O525</x:f>
        <x:v>13.95</x:v>
      </x:c>
      <x:c r="Q525" s="9" t="n">
        <x:f>A525-WEEKDAY(A525,2)+1</x:f>
        <x:v>46279</x:v>
      </x:c>
      <x:c r="R525" s="2" t="str">
        <x:f>IF(AND(A525&gt;='Review'!$B$4,A525&lt;='Review'!$D$4),"Selected","Outside")</x:f>
        <x:v>Outside</x:v>
      </x:c>
    </x:row>
    <x:row r="526" ht="20" customHeight="1">
      <x:c r="A526" s="9" t="n">
        <x:v>46283</x:v>
      </x:c>
      <x:c r="B526" s="2" t="str">
        <x:v>MM-1384</x:v>
      </x:c>
      <x:c r="C526" s="2" t="str">
        <x:v>Paid Social</x:v>
      </x:c>
      <x:c r="D526" s="2" t="str">
        <x:v>HAT-001</x:v>
      </x:c>
      <x:c r="E526" s="2" t="str">
        <x:f>_xlfn.IFNA(VLOOKUP(D526,'Products'!$A$7:$I$22,2,FALSE),"Unmapped")</x:f>
        <x:v>Classic canvas cap</x:v>
      </x:c>
      <x:c r="F526" s="2" t="str">
        <x:f>_xlfn.IFNA(VLOOKUP(D526,'Products'!$A$7:$I$22,3,FALSE),"Unmapped")</x:f>
        <x:v>Accessories</x:v>
      </x:c>
      <x:c r="G526" s="2" t="n">
        <x:v>2</x:v>
      </x:c>
      <x:c r="H526" s="2" t="n">
        <x:v>0</x:v>
      </x:c>
      <x:c r="I526" s="10" t="n">
        <x:v>24.95</x:v>
      </x:c>
      <x:c r="J526" s="10" t="n">
        <x:v>0</x:v>
      </x:c>
      <x:c r="K526" s="10" t="n">
        <x:v>8.5</x:v>
      </x:c>
      <x:c r="L526" s="10" t="n">
        <x:f>G526*I526</x:f>
        <x:v>49.9</x:v>
      </x:c>
      <x:c r="M526" s="10" t="n">
        <x:f>ROUND((L526-J526)*H526/G526,2)</x:f>
        <x:v>0</x:v>
      </x:c>
      <x:c r="N526" s="10" t="n">
        <x:f>L526-J526-M526</x:f>
        <x:v>49.9</x:v>
      </x:c>
      <x:c r="O526" s="10" t="n">
        <x:f>(G526-H526)*K526</x:f>
        <x:v>17</x:v>
      </x:c>
      <x:c r="P526" s="10" t="n">
        <x:f>N526-O526</x:f>
        <x:v>32.9</x:v>
      </x:c>
      <x:c r="Q526" s="9" t="n">
        <x:f>A526-WEEKDAY(A526,2)+1</x:f>
        <x:v>46279</x:v>
      </x:c>
      <x:c r="R526" s="2" t="str">
        <x:f>IF(AND(A526&gt;='Review'!$B$4,A526&lt;='Review'!$D$4),"Selected","Outside")</x:f>
        <x:v>Outside</x:v>
      </x:c>
    </x:row>
    <x:row r="527" ht="20" customHeight="1">
      <x:c r="A527" s="9" t="n">
        <x:v>46283</x:v>
      </x:c>
      <x:c r="B527" s="2" t="str">
        <x:v>MM-1384</x:v>
      </x:c>
      <x:c r="C527" s="2" t="str">
        <x:v>Paid Social</x:v>
      </x:c>
      <x:c r="D527" s="2" t="str">
        <x:v>TUM-002</x:v>
      </x:c>
      <x:c r="E527" s="2" t="str">
        <x:f>_xlfn.IFNA(VLOOKUP(D527,'Products'!$A$7:$I$22,2,FALSE),"Unmapped")</x:f>
        <x:v>Cold brew glass cup</x:v>
      </x:c>
      <x:c r="F527" s="2" t="str">
        <x:f>_xlfn.IFNA(VLOOKUP(D527,'Products'!$A$7:$I$22,3,FALSE),"Unmapped")</x:f>
        <x:v>Drinkware</x:v>
      </x:c>
      <x:c r="G527" s="2" t="n">
        <x:v>1</x:v>
      </x:c>
      <x:c r="H527" s="2" t="n">
        <x:v>0</x:v>
      </x:c>
      <x:c r="I527" s="10" t="n">
        <x:v>24.95</x:v>
      </x:c>
      <x:c r="J527" s="10" t="n">
        <x:v>0</x:v>
      </x:c>
      <x:c r="K527" s="10" t="n">
        <x:v>9</x:v>
      </x:c>
      <x:c r="L527" s="10" t="n">
        <x:f>G527*I527</x:f>
        <x:v>24.95</x:v>
      </x:c>
      <x:c r="M527" s="10" t="n">
        <x:f>ROUND((L527-J527)*H527/G527,2)</x:f>
        <x:v>0</x:v>
      </x:c>
      <x:c r="N527" s="10" t="n">
        <x:f>L527-J527-M527</x:f>
        <x:v>24.95</x:v>
      </x:c>
      <x:c r="O527" s="10" t="n">
        <x:f>(G527-H527)*K527</x:f>
        <x:v>9</x:v>
      </x:c>
      <x:c r="P527" s="10" t="n">
        <x:f>N527-O527</x:f>
        <x:v>15.95</x:v>
      </x:c>
      <x:c r="Q527" s="9" t="n">
        <x:f>A527-WEEKDAY(A527,2)+1</x:f>
        <x:v>46279</x:v>
      </x:c>
      <x:c r="R527" s="2" t="str">
        <x:f>IF(AND(A527&gt;='Review'!$B$4,A527&lt;='Review'!$D$4),"Selected","Outside")</x:f>
        <x:v>Outside</x:v>
      </x:c>
    </x:row>
    <x:row r="528" ht="20" customHeight="1">
      <x:c r="A528" s="9" t="n">
        <x:v>46283</x:v>
      </x:c>
      <x:c r="B528" s="2" t="str">
        <x:v>MM-1394</x:v>
      </x:c>
      <x:c r="C528" s="2" t="str">
        <x:v>Direct</x:v>
      </x:c>
      <x:c r="D528" s="2" t="str">
        <x:v>MUG-002</x:v>
      </x:c>
      <x:c r="E528" s="2" t="str">
        <x:f>_xlfn.IFNA(VLOOKUP(D528,'Products'!$A$7:$I$22,2,FALSE),"Unmapped")</x:f>
        <x:v>Campfire enamel mug</x:v>
      </x:c>
      <x:c r="F528" s="2" t="str">
        <x:f>_xlfn.IFNA(VLOOKUP(D528,'Products'!$A$7:$I$22,3,FALSE),"Unmapped")</x:f>
        <x:v>Drinkware</x:v>
      </x:c>
      <x:c r="G528" s="2" t="n">
        <x:v>1</x:v>
      </x:c>
      <x:c r="H528" s="2" t="n">
        <x:v>1</x:v>
      </x:c>
      <x:c r="I528" s="10" t="n">
        <x:v>22.95</x:v>
      </x:c>
      <x:c r="J528" s="10" t="n">
        <x:v>0</x:v>
      </x:c>
      <x:c r="K528" s="10" t="n">
        <x:v>8.5</x:v>
      </x:c>
      <x:c r="L528" s="10" t="n">
        <x:f>G528*I528</x:f>
        <x:v>22.95</x:v>
      </x:c>
      <x:c r="M528" s="10" t="n">
        <x:f>ROUND((L528-J528)*H528/G528,2)</x:f>
        <x:v>22.95</x:v>
      </x:c>
      <x:c r="N528" s="10" t="n">
        <x:f>L528-J528-M528</x:f>
        <x:v>0</x:v>
      </x:c>
      <x:c r="O528" s="10" t="n">
        <x:f>(G528-H528)*K528</x:f>
        <x:v>0</x:v>
      </x:c>
      <x:c r="P528" s="10" t="n">
        <x:f>N528-O528</x:f>
        <x:v>0</x:v>
      </x:c>
      <x:c r="Q528" s="9" t="n">
        <x:f>A528-WEEKDAY(A528,2)+1</x:f>
        <x:v>46279</x:v>
      </x:c>
      <x:c r="R528" s="2" t="str">
        <x:f>IF(AND(A528&gt;='Review'!$B$4,A528&lt;='Review'!$D$4),"Selected","Outside")</x:f>
        <x:v>Outside</x:v>
      </x:c>
    </x:row>
    <x:row r="529" ht="20" customHeight="1">
      <x:c r="A529" s="9" t="n">
        <x:v>46283</x:v>
      </x:c>
      <x:c r="B529" s="2" t="str">
        <x:v>MM-1397</x:v>
      </x:c>
      <x:c r="C529" s="2" t="str">
        <x:v>Organic Search</x:v>
      </x:c>
      <x:c r="D529" s="2" t="str">
        <x:v>PIN-001</x:v>
      </x:c>
      <x:c r="E529" s="2" t="str">
        <x:f>_xlfn.IFNA(VLOOKUP(D529,'Products'!$A$7:$I$22,2,FALSE),"Unmapped")</x:f>
        <x:v>Coffee enamel pin</x:v>
      </x:c>
      <x:c r="F529" s="2" t="str">
        <x:f>_xlfn.IFNA(VLOOKUP(D529,'Products'!$A$7:$I$22,3,FALSE),"Unmapped")</x:f>
        <x:v>Accessories</x:v>
      </x:c>
      <x:c r="G529" s="2" t="n">
        <x:v>1</x:v>
      </x:c>
      <x:c r="H529" s="2" t="n">
        <x:v>0</x:v>
      </x:c>
      <x:c r="I529" s="10" t="n">
        <x:v>9.95</x:v>
      </x:c>
      <x:c r="J529" s="10" t="n">
        <x:v>0</x:v>
      </x:c>
      <x:c r="K529" s="10" t="n">
        <x:v>2.5</x:v>
      </x:c>
      <x:c r="L529" s="10" t="n">
        <x:f>G529*I529</x:f>
        <x:v>9.95</x:v>
      </x:c>
      <x:c r="M529" s="10" t="n">
        <x:f>ROUND((L529-J529)*H529/G529,2)</x:f>
        <x:v>0</x:v>
      </x:c>
      <x:c r="N529" s="10" t="n">
        <x:f>L529-J529-M529</x:f>
        <x:v>9.95</x:v>
      </x:c>
      <x:c r="O529" s="10" t="n">
        <x:f>(G529-H529)*K529</x:f>
        <x:v>2.5</x:v>
      </x:c>
      <x:c r="P529" s="10" t="n">
        <x:f>N529-O529</x:f>
        <x:v>7.449999999999999</x:v>
      </x:c>
      <x:c r="Q529" s="9" t="n">
        <x:f>A529-WEEKDAY(A529,2)+1</x:f>
        <x:v>46279</x:v>
      </x:c>
      <x:c r="R529" s="2" t="str">
        <x:f>IF(AND(A529&gt;='Review'!$B$4,A529&lt;='Review'!$D$4),"Selected","Outside")</x:f>
        <x:v>Outside</x:v>
      </x:c>
    </x:row>
    <x:row r="530" ht="20" customHeight="1">
      <x:c r="A530" s="9" t="n">
        <x:v>46283</x:v>
      </x:c>
      <x:c r="B530" s="2" t="str">
        <x:v>MM-1397</x:v>
      </x:c>
      <x:c r="C530" s="2" t="str">
        <x:v>Organic Search</x:v>
      </x:c>
      <x:c r="D530" s="2" t="str">
        <x:v>APP-001</x:v>
      </x:c>
      <x:c r="E530" s="2" t="str">
        <x:f>_xlfn.IFNA(VLOOKUP(D530,'Products'!$A$7:$I$22,2,FALSE),"Unmapped")</x:f>
        <x:v>Everyday crewneck</x:v>
      </x:c>
      <x:c r="F530" s="2" t="str">
        <x:f>_xlfn.IFNA(VLOOKUP(D530,'Products'!$A$7:$I$22,3,FALSE),"Unmapped")</x:f>
        <x:v>Apparel</x:v>
      </x:c>
      <x:c r="G530" s="2" t="n">
        <x:v>1</x:v>
      </x:c>
      <x:c r="H530" s="2" t="n">
        <x:v>0</x:v>
      </x:c>
      <x:c r="I530" s="10" t="n">
        <x:v>54.95</x:v>
      </x:c>
      <x:c r="J530" s="10" t="n">
        <x:v>0</x:v>
      </x:c>
      <x:c r="K530" s="10" t="n">
        <x:v>22</x:v>
      </x:c>
      <x:c r="L530" s="10" t="n">
        <x:f>G530*I530</x:f>
        <x:v>54.95</x:v>
      </x:c>
      <x:c r="M530" s="10" t="n">
        <x:f>ROUND((L530-J530)*H530/G530,2)</x:f>
        <x:v>0</x:v>
      </x:c>
      <x:c r="N530" s="10" t="n">
        <x:f>L530-J530-M530</x:f>
        <x:v>54.95</x:v>
      </x:c>
      <x:c r="O530" s="10" t="n">
        <x:f>(G530-H530)*K530</x:f>
        <x:v>22</x:v>
      </x:c>
      <x:c r="P530" s="10" t="n">
        <x:f>N530-O530</x:f>
        <x:v>32.95</x:v>
      </x:c>
      <x:c r="Q530" s="9" t="n">
        <x:f>A530-WEEKDAY(A530,2)+1</x:f>
        <x:v>46279</x:v>
      </x:c>
      <x:c r="R530" s="2" t="str">
        <x:f>IF(AND(A530&gt;='Review'!$B$4,A530&lt;='Review'!$D$4),"Selected","Outside")</x:f>
        <x:v>Outside</x:v>
      </x:c>
    </x:row>
    <x:row r="531" ht="20" customHeight="1">
      <x:c r="A531" s="9" t="n">
        <x:v>46283</x:v>
      </x:c>
      <x:c r="B531" s="2" t="str">
        <x:v>MM-1386</x:v>
      </x:c>
      <x:c r="C531" s="2" t="str">
        <x:v>Email</x:v>
      </x:c>
      <x:c r="D531" s="2" t="str">
        <x:v>MUG-002</x:v>
      </x:c>
      <x:c r="E531" s="2" t="str">
        <x:f>_xlfn.IFNA(VLOOKUP(D531,'Products'!$A$7:$I$22,2,FALSE),"Unmapped")</x:f>
        <x:v>Campfire enamel mug</x:v>
      </x:c>
      <x:c r="F531" s="2" t="str">
        <x:f>_xlfn.IFNA(VLOOKUP(D531,'Products'!$A$7:$I$22,3,FALSE),"Unmapped")</x:f>
        <x:v>Drinkware</x:v>
      </x:c>
      <x:c r="G531" s="2" t="n">
        <x:v>2</x:v>
      </x:c>
      <x:c r="H531" s="2" t="n">
        <x:v>0</x:v>
      </x:c>
      <x:c r="I531" s="10" t="n">
        <x:v>22.95</x:v>
      </x:c>
      <x:c r="J531" s="10" t="n">
        <x:v>4.59</x:v>
      </x:c>
      <x:c r="K531" s="10" t="n">
        <x:v>8.5</x:v>
      </x:c>
      <x:c r="L531" s="10" t="n">
        <x:f>G531*I531</x:f>
        <x:v>45.9</x:v>
      </x:c>
      <x:c r="M531" s="10" t="n">
        <x:f>ROUND((L531-J531)*H531/G531,2)</x:f>
        <x:v>0</x:v>
      </x:c>
      <x:c r="N531" s="10" t="n">
        <x:f>L531-J531-M531</x:f>
        <x:v>41.31</x:v>
      </x:c>
      <x:c r="O531" s="10" t="n">
        <x:f>(G531-H531)*K531</x:f>
        <x:v>17</x:v>
      </x:c>
      <x:c r="P531" s="10" t="n">
        <x:f>N531-O531</x:f>
        <x:v>24.310000000000002</x:v>
      </x:c>
      <x:c r="Q531" s="9" t="n">
        <x:f>A531-WEEKDAY(A531,2)+1</x:f>
        <x:v>46279</x:v>
      </x:c>
      <x:c r="R531" s="2" t="str">
        <x:f>IF(AND(A531&gt;='Review'!$B$4,A531&lt;='Review'!$D$4),"Selected","Outside")</x:f>
        <x:v>Outside</x:v>
      </x:c>
    </x:row>
    <x:row r="532" ht="20" customHeight="1">
      <x:c r="A532" s="9" t="n">
        <x:v>46283</x:v>
      </x:c>
      <x:c r="B532" s="2" t="str">
        <x:v>MM-1392</x:v>
      </x:c>
      <x:c r="C532" s="2" t="str">
        <x:v>Direct</x:v>
      </x:c>
      <x:c r="D532" s="2" t="str">
        <x:v>APP-002</x:v>
      </x:c>
      <x:c r="E532" s="2" t="str">
        <x:f>_xlfn.IFNA(VLOOKUP(D532,'Products'!$A$7:$I$22,2,FALSE),"Unmapped")</x:f>
        <x:v>Weekend hoodie</x:v>
      </x:c>
      <x:c r="F532" s="2" t="str">
        <x:f>_xlfn.IFNA(VLOOKUP(D532,'Products'!$A$7:$I$22,3,FALSE),"Unmapped")</x:f>
        <x:v>Apparel</x:v>
      </x:c>
      <x:c r="G532" s="2" t="n">
        <x:v>1</x:v>
      </x:c>
      <x:c r="H532" s="2" t="n">
        <x:v>0</x:v>
      </x:c>
      <x:c r="I532" s="10" t="n">
        <x:v>69.95</x:v>
      </x:c>
      <x:c r="J532" s="10" t="n">
        <x:v>0</x:v>
      </x:c>
      <x:c r="K532" s="10" t="n">
        <x:v>28</x:v>
      </x:c>
      <x:c r="L532" s="10" t="n">
        <x:f>G532*I532</x:f>
        <x:v>69.95</x:v>
      </x:c>
      <x:c r="M532" s="10" t="n">
        <x:f>ROUND((L532-J532)*H532/G532,2)</x:f>
        <x:v>0</x:v>
      </x:c>
      <x:c r="N532" s="10" t="n">
        <x:f>L532-J532-M532</x:f>
        <x:v>69.95</x:v>
      </x:c>
      <x:c r="O532" s="10" t="n">
        <x:f>(G532-H532)*K532</x:f>
        <x:v>28</x:v>
      </x:c>
      <x:c r="P532" s="10" t="n">
        <x:f>N532-O532</x:f>
        <x:v>41.95</x:v>
      </x:c>
      <x:c r="Q532" s="9" t="n">
        <x:f>A532-WEEKDAY(A532,2)+1</x:f>
        <x:v>46279</x:v>
      </x:c>
      <x:c r="R532" s="2" t="str">
        <x:f>IF(AND(A532&gt;='Review'!$B$4,A532&lt;='Review'!$D$4),"Selected","Outside")</x:f>
        <x:v>Outside</x:v>
      </x:c>
    </x:row>
    <x:row r="533" ht="20" customHeight="1">
      <x:c r="A533" s="9" t="n">
        <x:v>46283</x:v>
      </x:c>
      <x:c r="B533" s="2" t="str">
        <x:v>MM-1392</x:v>
      </x:c>
      <x:c r="C533" s="2" t="str">
        <x:v>Direct</x:v>
      </x:c>
      <x:c r="D533" s="2" t="str">
        <x:v>TUM-002</x:v>
      </x:c>
      <x:c r="E533" s="2" t="str">
        <x:f>_xlfn.IFNA(VLOOKUP(D533,'Products'!$A$7:$I$22,2,FALSE),"Unmapped")</x:f>
        <x:v>Cold brew glass cup</x:v>
      </x:c>
      <x:c r="F533" s="2" t="str">
        <x:f>_xlfn.IFNA(VLOOKUP(D533,'Products'!$A$7:$I$22,3,FALSE),"Unmapped")</x:f>
        <x:v>Drinkware</x:v>
      </x:c>
      <x:c r="G533" s="2" t="n">
        <x:v>1</x:v>
      </x:c>
      <x:c r="H533" s="2" t="n">
        <x:v>0</x:v>
      </x:c>
      <x:c r="I533" s="10" t="n">
        <x:v>24.95</x:v>
      </x:c>
      <x:c r="J533" s="10" t="n">
        <x:v>0</x:v>
      </x:c>
      <x:c r="K533" s="10" t="n">
        <x:v>9</x:v>
      </x:c>
      <x:c r="L533" s="10" t="n">
        <x:f>G533*I533</x:f>
        <x:v>24.95</x:v>
      </x:c>
      <x:c r="M533" s="10" t="n">
        <x:f>ROUND((L533-J533)*H533/G533,2)</x:f>
        <x:v>0</x:v>
      </x:c>
      <x:c r="N533" s="10" t="n">
        <x:f>L533-J533-M533</x:f>
        <x:v>24.95</x:v>
      </x:c>
      <x:c r="O533" s="10" t="n">
        <x:f>(G533-H533)*K533</x:f>
        <x:v>9</x:v>
      </x:c>
      <x:c r="P533" s="10" t="n">
        <x:f>N533-O533</x:f>
        <x:v>15.95</x:v>
      </x:c>
      <x:c r="Q533" s="9" t="n">
        <x:f>A533-WEEKDAY(A533,2)+1</x:f>
        <x:v>46279</x:v>
      </x:c>
      <x:c r="R533" s="2" t="str">
        <x:f>IF(AND(A533&gt;='Review'!$B$4,A533&lt;='Review'!$D$4),"Selected","Outside")</x:f>
        <x:v>Outside</x:v>
      </x:c>
    </x:row>
    <x:row r="534" ht="20" customHeight="1">
      <x:c r="A534" s="9" t="n">
        <x:v>46283</x:v>
      </x:c>
      <x:c r="B534" s="2" t="str">
        <x:v>MM-1396</x:v>
      </x:c>
      <x:c r="C534" s="2" t="str">
        <x:v>Email</x:v>
      </x:c>
      <x:c r="D534" s="2" t="str">
        <x:v>KEY-001</x:v>
      </x:c>
      <x:c r="E534" s="2" t="str">
        <x:f>_xlfn.IFNA(VLOOKUP(D534,'Products'!$A$7:$I$22,2,FALSE),"Unmapped")</x:f>
        <x:v>Maple keyring</x:v>
      </x:c>
      <x:c r="F534" s="2" t="str">
        <x:f>_xlfn.IFNA(VLOOKUP(D534,'Products'!$A$7:$I$22,3,FALSE),"Unmapped")</x:f>
        <x:v>Accessories</x:v>
      </x:c>
      <x:c r="G534" s="2" t="n">
        <x:v>2</x:v>
      </x:c>
      <x:c r="H534" s="2" t="n">
        <x:v>0</x:v>
      </x:c>
      <x:c r="I534" s="10" t="n">
        <x:v>12.95</x:v>
      </x:c>
      <x:c r="J534" s="10" t="n">
        <x:v>2.59</x:v>
      </x:c>
      <x:c r="K534" s="10" t="n">
        <x:v>3.5</x:v>
      </x:c>
      <x:c r="L534" s="10" t="n">
        <x:f>G534*I534</x:f>
        <x:v>25.9</x:v>
      </x:c>
      <x:c r="M534" s="10" t="n">
        <x:f>ROUND((L534-J534)*H534/G534,2)</x:f>
        <x:v>0</x:v>
      </x:c>
      <x:c r="N534" s="10" t="n">
        <x:f>L534-J534-M534</x:f>
        <x:v>23.31</x:v>
      </x:c>
      <x:c r="O534" s="10" t="n">
        <x:f>(G534-H534)*K534</x:f>
        <x:v>7</x:v>
      </x:c>
      <x:c r="P534" s="10" t="n">
        <x:f>N534-O534</x:f>
        <x:v>16.31</x:v>
      </x:c>
      <x:c r="Q534" s="9" t="n">
        <x:f>A534-WEEKDAY(A534,2)+1</x:f>
        <x:v>46279</x:v>
      </x:c>
      <x:c r="R534" s="2" t="str">
        <x:f>IF(AND(A534&gt;='Review'!$B$4,A534&lt;='Review'!$D$4),"Selected","Outside")</x:f>
        <x:v>Outside</x:v>
      </x:c>
    </x:row>
    <x:row r="535" ht="20" customHeight="1">
      <x:c r="A535" s="9" t="n">
        <x:v>46283</x:v>
      </x:c>
      <x:c r="B535" s="2" t="str">
        <x:v>MM-1396</x:v>
      </x:c>
      <x:c r="C535" s="2" t="str">
        <x:v>Email</x:v>
      </x:c>
      <x:c r="D535" s="2" t="str">
        <x:v>APP-003</x:v>
      </x:c>
      <x:c r="E535" s="2" t="str">
        <x:f>_xlfn.IFNA(VLOOKUP(D535,'Products'!$A$7:$I$22,2,FALSE),"Unmapped")</x:f>
        <x:v>Coffee club tee</x:v>
      </x:c>
      <x:c r="F535" s="2" t="str">
        <x:f>_xlfn.IFNA(VLOOKUP(D535,'Products'!$A$7:$I$22,3,FALSE),"Unmapped")</x:f>
        <x:v>Apparel</x:v>
      </x:c>
      <x:c r="G535" s="2" t="n">
        <x:v>1</x:v>
      </x:c>
      <x:c r="H535" s="2" t="n">
        <x:v>0</x:v>
      </x:c>
      <x:c r="I535" s="10" t="n">
        <x:v>29.95</x:v>
      </x:c>
      <x:c r="J535" s="10" t="n">
        <x:v>2.99</x:v>
      </x:c>
      <x:c r="K535" s="10" t="n">
        <x:v>10</x:v>
      </x:c>
      <x:c r="L535" s="10" t="n">
        <x:f>G535*I535</x:f>
        <x:v>29.95</x:v>
      </x:c>
      <x:c r="M535" s="10" t="n">
        <x:f>ROUND((L535-J535)*H535/G535,2)</x:f>
        <x:v>0</x:v>
      </x:c>
      <x:c r="N535" s="10" t="n">
        <x:f>L535-J535-M535</x:f>
        <x:v>26.96</x:v>
      </x:c>
      <x:c r="O535" s="10" t="n">
        <x:f>(G535-H535)*K535</x:f>
        <x:v>10</x:v>
      </x:c>
      <x:c r="P535" s="10" t="n">
        <x:f>N535-O535</x:f>
        <x:v>16.96</x:v>
      </x:c>
      <x:c r="Q535" s="9" t="n">
        <x:f>A535-WEEKDAY(A535,2)+1</x:f>
        <x:v>46279</x:v>
      </x:c>
      <x:c r="R535" s="2" t="str">
        <x:f>IF(AND(A535&gt;='Review'!$B$4,A535&lt;='Review'!$D$4),"Selected","Outside")</x:f>
        <x:v>Outside</x:v>
      </x:c>
    </x:row>
    <x:row r="536" ht="20" customHeight="1">
      <x:c r="A536" s="9" t="n">
        <x:v>46283</x:v>
      </x:c>
      <x:c r="B536" s="2" t="str">
        <x:v>MM-1385</x:v>
      </x:c>
      <x:c r="C536" s="2" t="str">
        <x:v>Direct</x:v>
      </x:c>
      <x:c r="D536" s="2" t="str">
        <x:v>MUG-001</x:v>
      </x:c>
      <x:c r="E536" s="2" t="str">
        <x:f>_xlfn.IFNA(VLOOKUP(D536,'Products'!$A$7:$I$22,2,FALSE),"Unmapped")</x:f>
        <x:v>Everyday ceramic mug</x:v>
      </x:c>
      <x:c r="F536" s="2" t="str">
        <x:f>_xlfn.IFNA(VLOOKUP(D536,'Products'!$A$7:$I$22,3,FALSE),"Unmapped")</x:f>
        <x:v>Drinkware</x:v>
      </x:c>
      <x:c r="G536" s="2" t="n">
        <x:v>1</x:v>
      </x:c>
      <x:c r="H536" s="2" t="n">
        <x:v>0</x:v>
      </x:c>
      <x:c r="I536" s="10" t="n">
        <x:v>18.95</x:v>
      </x:c>
      <x:c r="J536" s="10" t="n">
        <x:v>0</x:v>
      </x:c>
      <x:c r="K536" s="10" t="n">
        <x:v>6.5</x:v>
      </x:c>
      <x:c r="L536" s="10" t="n">
        <x:f>G536*I536</x:f>
        <x:v>18.95</x:v>
      </x:c>
      <x:c r="M536" s="10" t="n">
        <x:f>ROUND((L536-J536)*H536/G536,2)</x:f>
        <x:v>0</x:v>
      </x:c>
      <x:c r="N536" s="10" t="n">
        <x:f>L536-J536-M536</x:f>
        <x:v>18.95</x:v>
      </x:c>
      <x:c r="O536" s="10" t="n">
        <x:f>(G536-H536)*K536</x:f>
        <x:v>6.5</x:v>
      </x:c>
      <x:c r="P536" s="10" t="n">
        <x:f>N536-O536</x:f>
        <x:v>12.45</x:v>
      </x:c>
      <x:c r="Q536" s="9" t="n">
        <x:f>A536-WEEKDAY(A536,2)+1</x:f>
        <x:v>46279</x:v>
      </x:c>
      <x:c r="R536" s="2" t="str">
        <x:f>IF(AND(A536&gt;='Review'!$B$4,A536&lt;='Review'!$D$4),"Selected","Outside")</x:f>
        <x:v>Outside</x:v>
      </x:c>
    </x:row>
    <x:row r="537" ht="20" customHeight="1">
      <x:c r="A537" s="9" t="n">
        <x:v>46283</x:v>
      </x:c>
      <x:c r="B537" s="2" t="str">
        <x:v>MM-1383</x:v>
      </x:c>
      <x:c r="C537" s="2" t="str">
        <x:v>Organic Search</x:v>
      </x:c>
      <x:c r="D537" s="2" t="str">
        <x:v>TOTE-001</x:v>
      </x:c>
      <x:c r="E537" s="2" t="str">
        <x:f>_xlfn.IFNA(VLOOKUP(D537,'Products'!$A$7:$I$22,2,FALSE),"Unmapped")</x:f>
        <x:v>Market canvas tote</x:v>
      </x:c>
      <x:c r="F537" s="2" t="str">
        <x:f>_xlfn.IFNA(VLOOKUP(D537,'Products'!$A$7:$I$22,3,FALSE),"Unmapped")</x:f>
        <x:v>Accessories</x:v>
      </x:c>
      <x:c r="G537" s="2" t="n">
        <x:v>1</x:v>
      </x:c>
      <x:c r="H537" s="2" t="n">
        <x:v>0</x:v>
      </x:c>
      <x:c r="I537" s="10" t="n">
        <x:v>19.95</x:v>
      </x:c>
      <x:c r="J537" s="10" t="n">
        <x:v>0</x:v>
      </x:c>
      <x:c r="K537" s="10" t="n">
        <x:v>6</x:v>
      </x:c>
      <x:c r="L537" s="10" t="n">
        <x:f>G537*I537</x:f>
        <x:v>19.95</x:v>
      </x:c>
      <x:c r="M537" s="10" t="n">
        <x:f>ROUND((L537-J537)*H537/G537,2)</x:f>
        <x:v>0</x:v>
      </x:c>
      <x:c r="N537" s="10" t="n">
        <x:f>L537-J537-M537</x:f>
        <x:v>19.95</x:v>
      </x:c>
      <x:c r="O537" s="10" t="n">
        <x:f>(G537-H537)*K537</x:f>
        <x:v>6</x:v>
      </x:c>
      <x:c r="P537" s="10" t="n">
        <x:f>N537-O537</x:f>
        <x:v>13.95</x:v>
      </x:c>
      <x:c r="Q537" s="9" t="n">
        <x:f>A537-WEEKDAY(A537,2)+1</x:f>
        <x:v>46279</x:v>
      </x:c>
      <x:c r="R537" s="2" t="str">
        <x:f>IF(AND(A537&gt;='Review'!$B$4,A537&lt;='Review'!$D$4),"Selected","Outside")</x:f>
        <x:v>Outside</x:v>
      </x:c>
    </x:row>
    <x:row r="538" ht="20" customHeight="1">
      <x:c r="A538" s="9" t="n">
        <x:v>46283</x:v>
      </x:c>
      <x:c r="B538" s="2" t="str">
        <x:v>MM-1383</x:v>
      </x:c>
      <x:c r="C538" s="2" t="str">
        <x:v>Organic Search</x:v>
      </x:c>
      <x:c r="D538" s="2" t="str">
        <x:v>TUM-001</x:v>
      </x:c>
      <x:c r="E538" s="2" t="str">
        <x:f>_xlfn.IFNA(VLOOKUP(D538,'Products'!$A$7:$I$22,2,FALSE),"Unmapped")</x:f>
        <x:v>Maple travel tumbler</x:v>
      </x:c>
      <x:c r="F538" s="2" t="str">
        <x:f>_xlfn.IFNA(VLOOKUP(D538,'Products'!$A$7:$I$22,3,FALSE),"Unmapped")</x:f>
        <x:v>Drinkware</x:v>
      </x:c>
      <x:c r="G538" s="2" t="n">
        <x:v>1</x:v>
      </x:c>
      <x:c r="H538" s="2" t="n">
        <x:v>0</x:v>
      </x:c>
      <x:c r="I538" s="10" t="n">
        <x:v>32.95</x:v>
      </x:c>
      <x:c r="J538" s="10" t="n">
        <x:v>3.29</x:v>
      </x:c>
      <x:c r="K538" s="10" t="n">
        <x:v>12</x:v>
      </x:c>
      <x:c r="L538" s="10" t="n">
        <x:f>G538*I538</x:f>
        <x:v>32.95</x:v>
      </x:c>
      <x:c r="M538" s="10" t="n">
        <x:f>ROUND((L538-J538)*H538/G538,2)</x:f>
        <x:v>0</x:v>
      </x:c>
      <x:c r="N538" s="10" t="n">
        <x:f>L538-J538-M538</x:f>
        <x:v>29.660000000000004</x:v>
      </x:c>
      <x:c r="O538" s="10" t="n">
        <x:f>(G538-H538)*K538</x:f>
        <x:v>12</x:v>
      </x:c>
      <x:c r="P538" s="10" t="n">
        <x:f>N538-O538</x:f>
        <x:v>17.660000000000004</x:v>
      </x:c>
      <x:c r="Q538" s="9" t="n">
        <x:f>A538-WEEKDAY(A538,2)+1</x:f>
        <x:v>46279</x:v>
      </x:c>
      <x:c r="R538" s="2" t="str">
        <x:f>IF(AND(A538&gt;='Review'!$B$4,A538&lt;='Review'!$D$4),"Selected","Outside")</x:f>
        <x:v>Outside</x:v>
      </x:c>
    </x:row>
    <x:row r="539" ht="20" customHeight="1">
      <x:c r="A539" s="9" t="n">
        <x:v>46283</x:v>
      </x:c>
      <x:c r="B539" s="2" t="str">
        <x:v>MM-1390</x:v>
      </x:c>
      <x:c r="C539" s="2" t="str">
        <x:v>Paid Social</x:v>
      </x:c>
      <x:c r="D539" s="2" t="str">
        <x:v>GFT-002</x:v>
      </x:c>
      <x:c r="E539" s="2" t="str">
        <x:f>_xlfn.IFNA(VLOOKUP(D539,'Products'!$A$7:$I$22,2,FALSE),"Unmapped")</x:f>
        <x:v>Cozy weekend gift box</x:v>
      </x:c>
      <x:c r="F539" s="2" t="str">
        <x:f>_xlfn.IFNA(VLOOKUP(D539,'Products'!$A$7:$I$22,3,FALSE),"Unmapped")</x:f>
        <x:v>Gifts</x:v>
      </x:c>
      <x:c r="G539" s="2" t="n">
        <x:v>1</x:v>
      </x:c>
      <x:c r="H539" s="2" t="n">
        <x:v>0</x:v>
      </x:c>
      <x:c r="I539" s="10" t="n">
        <x:v>79.95</x:v>
      </x:c>
      <x:c r="J539" s="10" t="n">
        <x:v>0</x:v>
      </x:c>
      <x:c r="K539" s="10" t="n">
        <x:v>32</x:v>
      </x:c>
      <x:c r="L539" s="10" t="n">
        <x:f>G539*I539</x:f>
        <x:v>79.95</x:v>
      </x:c>
      <x:c r="M539" s="10" t="n">
        <x:f>ROUND((L539-J539)*H539/G539,2)</x:f>
        <x:v>0</x:v>
      </x:c>
      <x:c r="N539" s="10" t="n">
        <x:f>L539-J539-M539</x:f>
        <x:v>79.95</x:v>
      </x:c>
      <x:c r="O539" s="10" t="n">
        <x:f>(G539-H539)*K539</x:f>
        <x:v>32</x:v>
      </x:c>
      <x:c r="P539" s="10" t="n">
        <x:f>N539-O539</x:f>
        <x:v>47.95</x:v>
      </x:c>
      <x:c r="Q539" s="9" t="n">
        <x:f>A539-WEEKDAY(A539,2)+1</x:f>
        <x:v>46279</x:v>
      </x:c>
      <x:c r="R539" s="2" t="str">
        <x:f>IF(AND(A539&gt;='Review'!$B$4,A539&lt;='Review'!$D$4),"Selected","Outside")</x:f>
        <x:v>Outside</x:v>
      </x:c>
    </x:row>
    <x:row r="540" ht="20" customHeight="1">
      <x:c r="A540" s="9" t="n">
        <x:v>46283</x:v>
      </x:c>
      <x:c r="B540" s="2" t="str">
        <x:v>MM-1390</x:v>
      </x:c>
      <x:c r="C540" s="2" t="str">
        <x:v>Paid Social</x:v>
      </x:c>
      <x:c r="D540" s="2" t="str">
        <x:v>APP-002</x:v>
      </x:c>
      <x:c r="E540" s="2" t="str">
        <x:f>_xlfn.IFNA(VLOOKUP(D540,'Products'!$A$7:$I$22,2,FALSE),"Unmapped")</x:f>
        <x:v>Weekend hoodie</x:v>
      </x:c>
      <x:c r="F540" s="2" t="str">
        <x:f>_xlfn.IFNA(VLOOKUP(D540,'Products'!$A$7:$I$22,3,FALSE),"Unmapped")</x:f>
        <x:v>Apparel</x:v>
      </x:c>
      <x:c r="G540" s="2" t="n">
        <x:v>1</x:v>
      </x:c>
      <x:c r="H540" s="2" t="n">
        <x:v>0</x:v>
      </x:c>
      <x:c r="I540" s="10" t="n">
        <x:v>69.95</x:v>
      </x:c>
      <x:c r="J540" s="10" t="n">
        <x:v>0</x:v>
      </x:c>
      <x:c r="K540" s="10" t="n">
        <x:v>28</x:v>
      </x:c>
      <x:c r="L540" s="10" t="n">
        <x:f>G540*I540</x:f>
        <x:v>69.95</x:v>
      </x:c>
      <x:c r="M540" s="10" t="n">
        <x:f>ROUND((L540-J540)*H540/G540,2)</x:f>
        <x:v>0</x:v>
      </x:c>
      <x:c r="N540" s="10" t="n">
        <x:f>L540-J540-M540</x:f>
        <x:v>69.95</x:v>
      </x:c>
      <x:c r="O540" s="10" t="n">
        <x:f>(G540-H540)*K540</x:f>
        <x:v>28</x:v>
      </x:c>
      <x:c r="P540" s="10" t="n">
        <x:f>N540-O540</x:f>
        <x:v>41.95</x:v>
      </x:c>
      <x:c r="Q540" s="9" t="n">
        <x:f>A540-WEEKDAY(A540,2)+1</x:f>
        <x:v>46279</x:v>
      </x:c>
      <x:c r="R540" s="2" t="str">
        <x:f>IF(AND(A540&gt;='Review'!$B$4,A540&lt;='Review'!$D$4),"Selected","Outside")</x:f>
        <x:v>Outside</x:v>
      </x:c>
    </x:row>
    <x:row r="541" ht="20" customHeight="1">
      <x:c r="A541" s="9" t="n">
        <x:v>46283</x:v>
      </x:c>
      <x:c r="B541" s="2" t="str">
        <x:v>MM-1388</x:v>
      </x:c>
      <x:c r="C541" s="2" t="str">
        <x:v>Paid Social</x:v>
      </x:c>
      <x:c r="D541" s="2" t="str">
        <x:v>APP-002</x:v>
      </x:c>
      <x:c r="E541" s="2" t="str">
        <x:f>_xlfn.IFNA(VLOOKUP(D541,'Products'!$A$7:$I$22,2,FALSE),"Unmapped")</x:f>
        <x:v>Weekend hoodie</x:v>
      </x:c>
      <x:c r="F541" s="2" t="str">
        <x:f>_xlfn.IFNA(VLOOKUP(D541,'Products'!$A$7:$I$22,3,FALSE),"Unmapped")</x:f>
        <x:v>Apparel</x:v>
      </x:c>
      <x:c r="G541" s="2" t="n">
        <x:v>1</x:v>
      </x:c>
      <x:c r="H541" s="2" t="n">
        <x:v>0</x:v>
      </x:c>
      <x:c r="I541" s="10" t="n">
        <x:v>69.95</x:v>
      </x:c>
      <x:c r="J541" s="10" t="n">
        <x:v>0</x:v>
      </x:c>
      <x:c r="K541" s="10" t="n">
        <x:v>28</x:v>
      </x:c>
      <x:c r="L541" s="10" t="n">
        <x:f>G541*I541</x:f>
        <x:v>69.95</x:v>
      </x:c>
      <x:c r="M541" s="10" t="n">
        <x:f>ROUND((L541-J541)*H541/G541,2)</x:f>
        <x:v>0</x:v>
      </x:c>
      <x:c r="N541" s="10" t="n">
        <x:f>L541-J541-M541</x:f>
        <x:v>69.95</x:v>
      </x:c>
      <x:c r="O541" s="10" t="n">
        <x:f>(G541-H541)*K541</x:f>
        <x:v>28</x:v>
      </x:c>
      <x:c r="P541" s="10" t="n">
        <x:f>N541-O541</x:f>
        <x:v>41.95</x:v>
      </x:c>
      <x:c r="Q541" s="9" t="n">
        <x:f>A541-WEEKDAY(A541,2)+1</x:f>
        <x:v>46279</x:v>
      </x:c>
      <x:c r="R541" s="2" t="str">
        <x:f>IF(AND(A541&gt;='Review'!$B$4,A541&lt;='Review'!$D$4),"Selected","Outside")</x:f>
        <x:v>Outside</x:v>
      </x:c>
    </x:row>
    <x:row r="542" ht="20" customHeight="1">
      <x:c r="A542" s="9" t="n">
        <x:v>46283</x:v>
      </x:c>
      <x:c r="B542" s="2" t="str">
        <x:v>MM-1382</x:v>
      </x:c>
      <x:c r="C542" s="2" t="str">
        <x:v>Paid Social</x:v>
      </x:c>
      <x:c r="D542" s="2" t="str">
        <x:v>MUG-002</x:v>
      </x:c>
      <x:c r="E542" s="2" t="str">
        <x:f>_xlfn.IFNA(VLOOKUP(D542,'Products'!$A$7:$I$22,2,FALSE),"Unmapped")</x:f>
        <x:v>Campfire enamel mug</x:v>
      </x:c>
      <x:c r="F542" s="2" t="str">
        <x:f>_xlfn.IFNA(VLOOKUP(D542,'Products'!$A$7:$I$22,3,FALSE),"Unmapped")</x:f>
        <x:v>Drinkware</x:v>
      </x:c>
      <x:c r="G542" s="2" t="n">
        <x:v>3</x:v>
      </x:c>
      <x:c r="H542" s="2" t="n">
        <x:v>0</x:v>
      </x:c>
      <x:c r="I542" s="10" t="n">
        <x:v>22.95</x:v>
      </x:c>
      <x:c r="J542" s="10" t="n">
        <x:v>0</x:v>
      </x:c>
      <x:c r="K542" s="10" t="n">
        <x:v>8.5</x:v>
      </x:c>
      <x:c r="L542" s="10" t="n">
        <x:f>G542*I542</x:f>
        <x:v>68.85</x:v>
      </x:c>
      <x:c r="M542" s="10" t="n">
        <x:f>ROUND((L542-J542)*H542/G542,2)</x:f>
        <x:v>0</x:v>
      </x:c>
      <x:c r="N542" s="10" t="n">
        <x:f>L542-J542-M542</x:f>
        <x:v>68.85</x:v>
      </x:c>
      <x:c r="O542" s="10" t="n">
        <x:f>(G542-H542)*K542</x:f>
        <x:v>25.5</x:v>
      </x:c>
      <x:c r="P542" s="10" t="n">
        <x:f>N542-O542</x:f>
        <x:v>43.349999999999994</x:v>
      </x:c>
      <x:c r="Q542" s="9" t="n">
        <x:f>A542-WEEKDAY(A542,2)+1</x:f>
        <x:v>46279</x:v>
      </x:c>
      <x:c r="R542" s="2" t="str">
        <x:f>IF(AND(A542&gt;='Review'!$B$4,A542&lt;='Review'!$D$4),"Selected","Outside")</x:f>
        <x:v>Outside</x:v>
      </x:c>
    </x:row>
    <x:row r="543" ht="20" customHeight="1">
      <x:c r="A543" s="9" t="n">
        <x:v>46283</x:v>
      </x:c>
      <x:c r="B543" s="2" t="str">
        <x:v>MM-1387</x:v>
      </x:c>
      <x:c r="C543" s="2" t="str">
        <x:v>Organic Search</x:v>
      </x:c>
      <x:c r="D543" s="2" t="str">
        <x:v>MUG-002</x:v>
      </x:c>
      <x:c r="E543" s="2" t="str">
        <x:f>_xlfn.IFNA(VLOOKUP(D543,'Products'!$A$7:$I$22,2,FALSE),"Unmapped")</x:f>
        <x:v>Campfire enamel mug</x:v>
      </x:c>
      <x:c r="F543" s="2" t="str">
        <x:f>_xlfn.IFNA(VLOOKUP(D543,'Products'!$A$7:$I$22,3,FALSE),"Unmapped")</x:f>
        <x:v>Drinkware</x:v>
      </x:c>
      <x:c r="G543" s="2" t="n">
        <x:v>1</x:v>
      </x:c>
      <x:c r="H543" s="2" t="n">
        <x:v>0</x:v>
      </x:c>
      <x:c r="I543" s="10" t="n">
        <x:v>22.95</x:v>
      </x:c>
      <x:c r="J543" s="10" t="n">
        <x:v>0</x:v>
      </x:c>
      <x:c r="K543" s="10" t="n">
        <x:v>8.5</x:v>
      </x:c>
      <x:c r="L543" s="10" t="n">
        <x:f>G543*I543</x:f>
        <x:v>22.95</x:v>
      </x:c>
      <x:c r="M543" s="10" t="n">
        <x:f>ROUND((L543-J543)*H543/G543,2)</x:f>
        <x:v>0</x:v>
      </x:c>
      <x:c r="N543" s="10" t="n">
        <x:f>L543-J543-M543</x:f>
        <x:v>22.95</x:v>
      </x:c>
      <x:c r="O543" s="10" t="n">
        <x:f>(G543-H543)*K543</x:f>
        <x:v>8.5</x:v>
      </x:c>
      <x:c r="P543" s="10" t="n">
        <x:f>N543-O543</x:f>
        <x:v>14.45</x:v>
      </x:c>
      <x:c r="Q543" s="9" t="n">
        <x:f>A543-WEEKDAY(A543,2)+1</x:f>
        <x:v>46279</x:v>
      </x:c>
      <x:c r="R543" s="2" t="str">
        <x:f>IF(AND(A543&gt;='Review'!$B$4,A543&lt;='Review'!$D$4),"Selected","Outside")</x:f>
        <x:v>Outside</x:v>
      </x:c>
    </x:row>
    <x:row r="544" ht="20" customHeight="1">
      <x:c r="A544" s="9" t="n">
        <x:v>46283</x:v>
      </x:c>
      <x:c r="B544" s="2" t="str">
        <x:v>MM-1387</x:v>
      </x:c>
      <x:c r="C544" s="2" t="str">
        <x:v>Organic Search</x:v>
      </x:c>
      <x:c r="D544" s="2" t="str">
        <x:v>BOT-001</x:v>
      </x:c>
      <x:c r="E544" s="2" t="str">
        <x:f>_xlfn.IFNA(VLOOKUP(D544,'Products'!$A$7:$I$22,2,FALSE),"Unmapped")</x:f>
        <x:v>Trail water bottle</x:v>
      </x:c>
      <x:c r="F544" s="2" t="str">
        <x:f>_xlfn.IFNA(VLOOKUP(D544,'Products'!$A$7:$I$22,3,FALSE),"Unmapped")</x:f>
        <x:v>Drinkware</x:v>
      </x:c>
      <x:c r="G544" s="2" t="n">
        <x:v>1</x:v>
      </x:c>
      <x:c r="H544" s="2" t="n">
        <x:v>0</x:v>
      </x:c>
      <x:c r="I544" s="10" t="n">
        <x:v>34.95</x:v>
      </x:c>
      <x:c r="J544" s="10" t="n">
        <x:v>0</x:v>
      </x:c>
      <x:c r="K544" s="10" t="n">
        <x:v>13.5</x:v>
      </x:c>
      <x:c r="L544" s="10" t="n">
        <x:f>G544*I544</x:f>
        <x:v>34.95</x:v>
      </x:c>
      <x:c r="M544" s="10" t="n">
        <x:f>ROUND((L544-J544)*H544/G544,2)</x:f>
        <x:v>0</x:v>
      </x:c>
      <x:c r="N544" s="10" t="n">
        <x:f>L544-J544-M544</x:f>
        <x:v>34.95</x:v>
      </x:c>
      <x:c r="O544" s="10" t="n">
        <x:f>(G544-H544)*K544</x:f>
        <x:v>13.5</x:v>
      </x:c>
      <x:c r="P544" s="10" t="n">
        <x:f>N544-O544</x:f>
        <x:v>21.450000000000003</x:v>
      </x:c>
      <x:c r="Q544" s="9" t="n">
        <x:f>A544-WEEKDAY(A544,2)+1</x:f>
        <x:v>46279</x:v>
      </x:c>
      <x:c r="R544" s="2" t="str">
        <x:f>IF(AND(A544&gt;='Review'!$B$4,A544&lt;='Review'!$D$4),"Selected","Outside")</x:f>
        <x:v>Outside</x:v>
      </x:c>
    </x:row>
    <x:row r="545" ht="20" customHeight="1">
      <x:c r="A545" s="9" t="n">
        <x:v>46283</x:v>
      </x:c>
      <x:c r="B545" s="2" t="str">
        <x:v>MM-1387</x:v>
      </x:c>
      <x:c r="C545" s="2" t="str">
        <x:v>Organic Search</x:v>
      </x:c>
      <x:c r="D545" s="2" t="str">
        <x:v>GFT-002</x:v>
      </x:c>
      <x:c r="E545" s="2" t="str">
        <x:f>_xlfn.IFNA(VLOOKUP(D545,'Products'!$A$7:$I$22,2,FALSE),"Unmapped")</x:f>
        <x:v>Cozy weekend gift box</x:v>
      </x:c>
      <x:c r="F545" s="2" t="str">
        <x:f>_xlfn.IFNA(VLOOKUP(D545,'Products'!$A$7:$I$22,3,FALSE),"Unmapped")</x:f>
        <x:v>Gifts</x:v>
      </x:c>
      <x:c r="G545" s="2" t="n">
        <x:v>2</x:v>
      </x:c>
      <x:c r="H545" s="2" t="n">
        <x:v>0</x:v>
      </x:c>
      <x:c r="I545" s="10" t="n">
        <x:v>79.95</x:v>
      </x:c>
      <x:c r="J545" s="10" t="n">
        <x:v>0</x:v>
      </x:c>
      <x:c r="K545" s="10" t="n">
        <x:v>32</x:v>
      </x:c>
      <x:c r="L545" s="10" t="n">
        <x:f>G545*I545</x:f>
        <x:v>159.9</x:v>
      </x:c>
      <x:c r="M545" s="10" t="n">
        <x:f>ROUND((L545-J545)*H545/G545,2)</x:f>
        <x:v>0</x:v>
      </x:c>
      <x:c r="N545" s="10" t="n">
        <x:f>L545-J545-M545</x:f>
        <x:v>159.9</x:v>
      </x:c>
      <x:c r="O545" s="10" t="n">
        <x:f>(G545-H545)*K545</x:f>
        <x:v>64</x:v>
      </x:c>
      <x:c r="P545" s="10" t="n">
        <x:f>N545-O545</x:f>
        <x:v>95.9</x:v>
      </x:c>
      <x:c r="Q545" s="9" t="n">
        <x:f>A545-WEEKDAY(A545,2)+1</x:f>
        <x:v>46279</x:v>
      </x:c>
      <x:c r="R545" s="2" t="str">
        <x:f>IF(AND(A545&gt;='Review'!$B$4,A545&lt;='Review'!$D$4),"Selected","Outside")</x:f>
        <x:v>Outside</x:v>
      </x:c>
    </x:row>
    <x:row r="546" ht="20" customHeight="1">
      <x:c r="A546" s="9" t="n">
        <x:v>46283</x:v>
      </x:c>
      <x:c r="B546" s="2" t="str">
        <x:v>MM-1389</x:v>
      </x:c>
      <x:c r="C546" s="2" t="str">
        <x:v>Paid Social</x:v>
      </x:c>
      <x:c r="D546" s="2" t="str">
        <x:v>PIN-001</x:v>
      </x:c>
      <x:c r="E546" s="2" t="str">
        <x:f>_xlfn.IFNA(VLOOKUP(D546,'Products'!$A$7:$I$22,2,FALSE),"Unmapped")</x:f>
        <x:v>Coffee enamel pin</x:v>
      </x:c>
      <x:c r="F546" s="2" t="str">
        <x:f>_xlfn.IFNA(VLOOKUP(D546,'Products'!$A$7:$I$22,3,FALSE),"Unmapped")</x:f>
        <x:v>Accessories</x:v>
      </x:c>
      <x:c r="G546" s="2" t="n">
        <x:v>1</x:v>
      </x:c>
      <x:c r="H546" s="2" t="n">
        <x:v>0</x:v>
      </x:c>
      <x:c r="I546" s="10" t="n">
        <x:v>9.95</x:v>
      </x:c>
      <x:c r="J546" s="10" t="n">
        <x:v>0</x:v>
      </x:c>
      <x:c r="K546" s="10" t="n">
        <x:v>2.5</x:v>
      </x:c>
      <x:c r="L546" s="10" t="n">
        <x:f>G546*I546</x:f>
        <x:v>9.95</x:v>
      </x:c>
      <x:c r="M546" s="10" t="n">
        <x:f>ROUND((L546-J546)*H546/G546,2)</x:f>
        <x:v>0</x:v>
      </x:c>
      <x:c r="N546" s="10" t="n">
        <x:f>L546-J546-M546</x:f>
        <x:v>9.95</x:v>
      </x:c>
      <x:c r="O546" s="10" t="n">
        <x:f>(G546-H546)*K546</x:f>
        <x:v>2.5</x:v>
      </x:c>
      <x:c r="P546" s="10" t="n">
        <x:f>N546-O546</x:f>
        <x:v>7.449999999999999</x:v>
      </x:c>
      <x:c r="Q546" s="9" t="n">
        <x:f>A546-WEEKDAY(A546,2)+1</x:f>
        <x:v>46279</x:v>
      </x:c>
      <x:c r="R546" s="2" t="str">
        <x:f>IF(AND(A546&gt;='Review'!$B$4,A546&lt;='Review'!$D$4),"Selected","Outside")</x:f>
        <x:v>Outside</x:v>
      </x:c>
    </x:row>
    <x:row r="547" ht="20" customHeight="1">
      <x:c r="A547" s="9" t="n">
        <x:v>46283</x:v>
      </x:c>
      <x:c r="B547" s="2" t="str">
        <x:v>MM-1389</x:v>
      </x:c>
      <x:c r="C547" s="2" t="str">
        <x:v>Paid Social</x:v>
      </x:c>
      <x:c r="D547" s="2" t="str">
        <x:v>GFT-002</x:v>
      </x:c>
      <x:c r="E547" s="2" t="str">
        <x:f>_xlfn.IFNA(VLOOKUP(D547,'Products'!$A$7:$I$22,2,FALSE),"Unmapped")</x:f>
        <x:v>Cozy weekend gift box</x:v>
      </x:c>
      <x:c r="F547" s="2" t="str">
        <x:f>_xlfn.IFNA(VLOOKUP(D547,'Products'!$A$7:$I$22,3,FALSE),"Unmapped")</x:f>
        <x:v>Gifts</x:v>
      </x:c>
      <x:c r="G547" s="2" t="n">
        <x:v>1</x:v>
      </x:c>
      <x:c r="H547" s="2" t="n">
        <x:v>0</x:v>
      </x:c>
      <x:c r="I547" s="10" t="n">
        <x:v>79.95</x:v>
      </x:c>
      <x:c r="J547" s="10" t="n">
        <x:v>7.99</x:v>
      </x:c>
      <x:c r="K547" s="10" t="n">
        <x:v>32</x:v>
      </x:c>
      <x:c r="L547" s="10" t="n">
        <x:f>G547*I547</x:f>
        <x:v>79.95</x:v>
      </x:c>
      <x:c r="M547" s="10" t="n">
        <x:f>ROUND((L547-J547)*H547/G547,2)</x:f>
        <x:v>0</x:v>
      </x:c>
      <x:c r="N547" s="10" t="n">
        <x:f>L547-J547-M547</x:f>
        <x:v>71.96000000000001</x:v>
      </x:c>
      <x:c r="O547" s="10" t="n">
        <x:f>(G547-H547)*K547</x:f>
        <x:v>32</x:v>
      </x:c>
      <x:c r="P547" s="10" t="n">
        <x:f>N547-O547</x:f>
        <x:v>39.96000000000001</x:v>
      </x:c>
      <x:c r="Q547" s="9" t="n">
        <x:f>A547-WEEKDAY(A547,2)+1</x:f>
        <x:v>46279</x:v>
      </x:c>
      <x:c r="R547" s="2" t="str">
        <x:f>IF(AND(A547&gt;='Review'!$B$4,A547&lt;='Review'!$D$4),"Selected","Outside")</x:f>
        <x:v>Outside</x:v>
      </x:c>
    </x:row>
    <x:row r="548" ht="20" customHeight="1">
      <x:c r="A548" s="9" t="n">
        <x:v>46283</x:v>
      </x:c>
      <x:c r="B548" s="2" t="str">
        <x:v>MM-1395</x:v>
      </x:c>
      <x:c r="C548" s="2" t="str">
        <x:v>Email</x:v>
      </x:c>
      <x:c r="D548" s="2" t="str">
        <x:v>MUG-001</x:v>
      </x:c>
      <x:c r="E548" s="2" t="str">
        <x:f>_xlfn.IFNA(VLOOKUP(D548,'Products'!$A$7:$I$22,2,FALSE),"Unmapped")</x:f>
        <x:v>Everyday ceramic mug</x:v>
      </x:c>
      <x:c r="F548" s="2" t="str">
        <x:f>_xlfn.IFNA(VLOOKUP(D548,'Products'!$A$7:$I$22,3,FALSE),"Unmapped")</x:f>
        <x:v>Drinkware</x:v>
      </x:c>
      <x:c r="G548" s="2" t="n">
        <x:v>3</x:v>
      </x:c>
      <x:c r="H548" s="2" t="n">
        <x:v>0</x:v>
      </x:c>
      <x:c r="I548" s="10" t="n">
        <x:v>18.95</x:v>
      </x:c>
      <x:c r="J548" s="10" t="n">
        <x:v>5.68</x:v>
      </x:c>
      <x:c r="K548" s="10" t="n">
        <x:v>6.5</x:v>
      </x:c>
      <x:c r="L548" s="10" t="n">
        <x:f>G548*I548</x:f>
        <x:v>56.849999999999994</x:v>
      </x:c>
      <x:c r="M548" s="10" t="n">
        <x:f>ROUND((L548-J548)*H548/G548,2)</x:f>
        <x:v>0</x:v>
      </x:c>
      <x:c r="N548" s="10" t="n">
        <x:f>L548-J548-M548</x:f>
        <x:v>51.169999999999995</x:v>
      </x:c>
      <x:c r="O548" s="10" t="n">
        <x:f>(G548-H548)*K548</x:f>
        <x:v>19.5</x:v>
      </x:c>
      <x:c r="P548" s="10" t="n">
        <x:f>N548-O548</x:f>
        <x:v>31.669999999999995</x:v>
      </x:c>
      <x:c r="Q548" s="9" t="n">
        <x:f>A548-WEEKDAY(A548,2)+1</x:f>
        <x:v>46279</x:v>
      </x:c>
      <x:c r="R548" s="2" t="str">
        <x:f>IF(AND(A548&gt;='Review'!$B$4,A548&lt;='Review'!$D$4),"Selected","Outside")</x:f>
        <x:v>Outside</x:v>
      </x:c>
    </x:row>
    <x:row r="549" ht="20" customHeight="1">
      <x:c r="A549" s="9" t="n">
        <x:v>46284</x:v>
      </x:c>
      <x:c r="B549" s="2" t="str">
        <x:v>MM-1404</x:v>
      </x:c>
      <x:c r="C549" s="2" t="str">
        <x:v>Email</x:v>
      </x:c>
      <x:c r="D549" s="2" t="str">
        <x:v>PIN-001</x:v>
      </x:c>
      <x:c r="E549" s="2" t="str">
        <x:f>_xlfn.IFNA(VLOOKUP(D549,'Products'!$A$7:$I$22,2,FALSE),"Unmapped")</x:f>
        <x:v>Coffee enamel pin</x:v>
      </x:c>
      <x:c r="F549" s="2" t="str">
        <x:f>_xlfn.IFNA(VLOOKUP(D549,'Products'!$A$7:$I$22,3,FALSE),"Unmapped")</x:f>
        <x:v>Accessories</x:v>
      </x:c>
      <x:c r="G549" s="2" t="n">
        <x:v>2</x:v>
      </x:c>
      <x:c r="H549" s="2" t="n">
        <x:v>0</x:v>
      </x:c>
      <x:c r="I549" s="10" t="n">
        <x:v>9.95</x:v>
      </x:c>
      <x:c r="J549" s="10" t="n">
        <x:v>1.99</x:v>
      </x:c>
      <x:c r="K549" s="10" t="n">
        <x:v>2.5</x:v>
      </x:c>
      <x:c r="L549" s="10" t="n">
        <x:f>G549*I549</x:f>
        <x:v>19.9</x:v>
      </x:c>
      <x:c r="M549" s="10" t="n">
        <x:f>ROUND((L549-J549)*H549/G549,2)</x:f>
        <x:v>0</x:v>
      </x:c>
      <x:c r="N549" s="10" t="n">
        <x:f>L549-J549-M549</x:f>
        <x:v>17.91</x:v>
      </x:c>
      <x:c r="O549" s="10" t="n">
        <x:f>(G549-H549)*K549</x:f>
        <x:v>5</x:v>
      </x:c>
      <x:c r="P549" s="10" t="n">
        <x:f>N549-O549</x:f>
        <x:v>12.91</x:v>
      </x:c>
      <x:c r="Q549" s="9" t="n">
        <x:f>A549-WEEKDAY(A549,2)+1</x:f>
        <x:v>46279</x:v>
      </x:c>
      <x:c r="R549" s="2" t="str">
        <x:f>IF(AND(A549&gt;='Review'!$B$4,A549&lt;='Review'!$D$4),"Selected","Outside")</x:f>
        <x:v>Outside</x:v>
      </x:c>
    </x:row>
    <x:row r="550" ht="20" customHeight="1">
      <x:c r="A550" s="9" t="n">
        <x:v>46284</x:v>
      </x:c>
      <x:c r="B550" s="2" t="str">
        <x:v>MM-1406</x:v>
      </x:c>
      <x:c r="C550" s="2" t="str">
        <x:v>Direct</x:v>
      </x:c>
      <x:c r="D550" s="2" t="str">
        <x:v>APP-003</x:v>
      </x:c>
      <x:c r="E550" s="2" t="str">
        <x:f>_xlfn.IFNA(VLOOKUP(D550,'Products'!$A$7:$I$22,2,FALSE),"Unmapped")</x:f>
        <x:v>Coffee club tee</x:v>
      </x:c>
      <x:c r="F550" s="2" t="str">
        <x:f>_xlfn.IFNA(VLOOKUP(D550,'Products'!$A$7:$I$22,3,FALSE),"Unmapped")</x:f>
        <x:v>Apparel</x:v>
      </x:c>
      <x:c r="G550" s="2" t="n">
        <x:v>2</x:v>
      </x:c>
      <x:c r="H550" s="2" t="n">
        <x:v>0</x:v>
      </x:c>
      <x:c r="I550" s="10" t="n">
        <x:v>29.95</x:v>
      </x:c>
      <x:c r="J550" s="10" t="n">
        <x:v>0</x:v>
      </x:c>
      <x:c r="K550" s="10" t="n">
        <x:v>10</x:v>
      </x:c>
      <x:c r="L550" s="10" t="n">
        <x:f>G550*I550</x:f>
        <x:v>59.9</x:v>
      </x:c>
      <x:c r="M550" s="10" t="n">
        <x:f>ROUND((L550-J550)*H550/G550,2)</x:f>
        <x:v>0</x:v>
      </x:c>
      <x:c r="N550" s="10" t="n">
        <x:f>L550-J550-M550</x:f>
        <x:v>59.9</x:v>
      </x:c>
      <x:c r="O550" s="10" t="n">
        <x:f>(G550-H550)*K550</x:f>
        <x:v>20</x:v>
      </x:c>
      <x:c r="P550" s="10" t="n">
        <x:f>N550-O550</x:f>
        <x:v>39.9</x:v>
      </x:c>
      <x:c r="Q550" s="9" t="n">
        <x:f>A550-WEEKDAY(A550,2)+1</x:f>
        <x:v>46279</x:v>
      </x:c>
      <x:c r="R550" s="2" t="str">
        <x:f>IF(AND(A550&gt;='Review'!$B$4,A550&lt;='Review'!$D$4),"Selected","Outside")</x:f>
        <x:v>Outside</x:v>
      </x:c>
    </x:row>
    <x:row r="551" ht="20" customHeight="1">
      <x:c r="A551" s="9" t="n">
        <x:v>46284</x:v>
      </x:c>
      <x:c r="B551" s="2" t="str">
        <x:v>MM-1407</x:v>
      </x:c>
      <x:c r="C551" s="2" t="str">
        <x:v>Email</x:v>
      </x:c>
      <x:c r="D551" s="2" t="str">
        <x:v>GFT-001</x:v>
      </x:c>
      <x:c r="E551" s="2" t="str">
        <x:f>_xlfn.IFNA(VLOOKUP(D551,'Products'!$A$7:$I$22,2,FALSE),"Unmapped")</x:f>
        <x:v>Morning ritual gift set</x:v>
      </x:c>
      <x:c r="F551" s="2" t="str">
        <x:f>_xlfn.IFNA(VLOOKUP(D551,'Products'!$A$7:$I$22,3,FALSE),"Unmapped")</x:f>
        <x:v>Gifts</x:v>
      </x:c>
      <x:c r="G551" s="2" t="n">
        <x:v>1</x:v>
      </x:c>
      <x:c r="H551" s="2" t="n">
        <x:v>0</x:v>
      </x:c>
      <x:c r="I551" s="10" t="n">
        <x:v>59.95</x:v>
      </x:c>
      <x:c r="J551" s="10" t="n">
        <x:v>5.99</x:v>
      </x:c>
      <x:c r="K551" s="10" t="n">
        <x:v>24</x:v>
      </x:c>
      <x:c r="L551" s="10" t="n">
        <x:f>G551*I551</x:f>
        <x:v>59.95</x:v>
      </x:c>
      <x:c r="M551" s="10" t="n">
        <x:f>ROUND((L551-J551)*H551/G551,2)</x:f>
        <x:v>0</x:v>
      </x:c>
      <x:c r="N551" s="10" t="n">
        <x:f>L551-J551-M551</x:f>
        <x:v>53.96</x:v>
      </x:c>
      <x:c r="O551" s="10" t="n">
        <x:f>(G551-H551)*K551</x:f>
        <x:v>24</x:v>
      </x:c>
      <x:c r="P551" s="10" t="n">
        <x:f>N551-O551</x:f>
        <x:v>29.96</x:v>
      </x:c>
      <x:c r="Q551" s="9" t="n">
        <x:f>A551-WEEKDAY(A551,2)+1</x:f>
        <x:v>46279</x:v>
      </x:c>
      <x:c r="R551" s="2" t="str">
        <x:f>IF(AND(A551&gt;='Review'!$B$4,A551&lt;='Review'!$D$4),"Selected","Outside")</x:f>
        <x:v>Outside</x:v>
      </x:c>
    </x:row>
    <x:row r="552" ht="20" customHeight="1">
      <x:c r="A552" s="9" t="n">
        <x:v>46284</x:v>
      </x:c>
      <x:c r="B552" s="2" t="str">
        <x:v>MM-1400</x:v>
      </x:c>
      <x:c r="C552" s="2" t="str">
        <x:v>Organic Search</x:v>
      </x:c>
      <x:c r="D552" s="2" t="str">
        <x:v>TUM-002</x:v>
      </x:c>
      <x:c r="E552" s="2" t="str">
        <x:f>_xlfn.IFNA(VLOOKUP(D552,'Products'!$A$7:$I$22,2,FALSE),"Unmapped")</x:f>
        <x:v>Cold brew glass cup</x:v>
      </x:c>
      <x:c r="F552" s="2" t="str">
        <x:f>_xlfn.IFNA(VLOOKUP(D552,'Products'!$A$7:$I$22,3,FALSE),"Unmapped")</x:f>
        <x:v>Drinkware</x:v>
      </x:c>
      <x:c r="G552" s="2" t="n">
        <x:v>1</x:v>
      </x:c>
      <x:c r="H552" s="2" t="n">
        <x:v>0</x:v>
      </x:c>
      <x:c r="I552" s="10" t="n">
        <x:v>24.95</x:v>
      </x:c>
      <x:c r="J552" s="10" t="n">
        <x:v>0</x:v>
      </x:c>
      <x:c r="K552" s="10" t="n">
        <x:v>9</x:v>
      </x:c>
      <x:c r="L552" s="10" t="n">
        <x:f>G552*I552</x:f>
        <x:v>24.95</x:v>
      </x:c>
      <x:c r="M552" s="10" t="n">
        <x:f>ROUND((L552-J552)*H552/G552,2)</x:f>
        <x:v>0</x:v>
      </x:c>
      <x:c r="N552" s="10" t="n">
        <x:f>L552-J552-M552</x:f>
        <x:v>24.95</x:v>
      </x:c>
      <x:c r="O552" s="10" t="n">
        <x:f>(G552-H552)*K552</x:f>
        <x:v>9</x:v>
      </x:c>
      <x:c r="P552" s="10" t="n">
        <x:f>N552-O552</x:f>
        <x:v>15.95</x:v>
      </x:c>
      <x:c r="Q552" s="9" t="n">
        <x:f>A552-WEEKDAY(A552,2)+1</x:f>
        <x:v>46279</x:v>
      </x:c>
      <x:c r="R552" s="2" t="str">
        <x:f>IF(AND(A552&gt;='Review'!$B$4,A552&lt;='Review'!$D$4),"Selected","Outside")</x:f>
        <x:v>Outside</x:v>
      </x:c>
    </x:row>
    <x:row r="553" ht="20" customHeight="1">
      <x:c r="A553" s="9" t="n">
        <x:v>46284</x:v>
      </x:c>
      <x:c r="B553" s="2" t="str">
        <x:v>MM-1398</x:v>
      </x:c>
      <x:c r="C553" s="2" t="str">
        <x:v>Paid Social</x:v>
      </x:c>
      <x:c r="D553" s="2" t="str">
        <x:v>TOTE-001</x:v>
      </x:c>
      <x:c r="E553" s="2" t="str">
        <x:f>_xlfn.IFNA(VLOOKUP(D553,'Products'!$A$7:$I$22,2,FALSE),"Unmapped")</x:f>
        <x:v>Market canvas tote</x:v>
      </x:c>
      <x:c r="F553" s="2" t="str">
        <x:f>_xlfn.IFNA(VLOOKUP(D553,'Products'!$A$7:$I$22,3,FALSE),"Unmapped")</x:f>
        <x:v>Accessories</x:v>
      </x:c>
      <x:c r="G553" s="2" t="n">
        <x:v>1</x:v>
      </x:c>
      <x:c r="H553" s="2" t="n">
        <x:v>0</x:v>
      </x:c>
      <x:c r="I553" s="10" t="n">
        <x:v>19.95</x:v>
      </x:c>
      <x:c r="J553" s="10" t="n">
        <x:v>0</x:v>
      </x:c>
      <x:c r="K553" s="10" t="n">
        <x:v>6</x:v>
      </x:c>
      <x:c r="L553" s="10" t="n">
        <x:f>G553*I553</x:f>
        <x:v>19.95</x:v>
      </x:c>
      <x:c r="M553" s="10" t="n">
        <x:f>ROUND((L553-J553)*H553/G553,2)</x:f>
        <x:v>0</x:v>
      </x:c>
      <x:c r="N553" s="10" t="n">
        <x:f>L553-J553-M553</x:f>
        <x:v>19.95</x:v>
      </x:c>
      <x:c r="O553" s="10" t="n">
        <x:f>(G553-H553)*K553</x:f>
        <x:v>6</x:v>
      </x:c>
      <x:c r="P553" s="10" t="n">
        <x:f>N553-O553</x:f>
        <x:v>13.95</x:v>
      </x:c>
      <x:c r="Q553" s="9" t="n">
        <x:f>A553-WEEKDAY(A553,2)+1</x:f>
        <x:v>46279</x:v>
      </x:c>
      <x:c r="R553" s="2" t="str">
        <x:f>IF(AND(A553&gt;='Review'!$B$4,A553&lt;='Review'!$D$4),"Selected","Outside")</x:f>
        <x:v>Outside</x:v>
      </x:c>
    </x:row>
    <x:row r="554" ht="20" customHeight="1">
      <x:c r="A554" s="9" t="n">
        <x:v>46284</x:v>
      </x:c>
      <x:c r="B554" s="2" t="str">
        <x:v>MM-1398</x:v>
      </x:c>
      <x:c r="C554" s="2" t="str">
        <x:v>Paid Social</x:v>
      </x:c>
      <x:c r="D554" s="2" t="str">
        <x:v>MUG-002</x:v>
      </x:c>
      <x:c r="E554" s="2" t="str">
        <x:f>_xlfn.IFNA(VLOOKUP(D554,'Products'!$A$7:$I$22,2,FALSE),"Unmapped")</x:f>
        <x:v>Campfire enamel mug</x:v>
      </x:c>
      <x:c r="F554" s="2" t="str">
        <x:f>_xlfn.IFNA(VLOOKUP(D554,'Products'!$A$7:$I$22,3,FALSE),"Unmapped")</x:f>
        <x:v>Drinkware</x:v>
      </x:c>
      <x:c r="G554" s="2" t="n">
        <x:v>1</x:v>
      </x:c>
      <x:c r="H554" s="2" t="n">
        <x:v>0</x:v>
      </x:c>
      <x:c r="I554" s="10" t="n">
        <x:v>22.95</x:v>
      </x:c>
      <x:c r="J554" s="10" t="n">
        <x:v>0</x:v>
      </x:c>
      <x:c r="K554" s="10" t="n">
        <x:v>8.5</x:v>
      </x:c>
      <x:c r="L554" s="10" t="n">
        <x:f>G554*I554</x:f>
        <x:v>22.95</x:v>
      </x:c>
      <x:c r="M554" s="10" t="n">
        <x:f>ROUND((L554-J554)*H554/G554,2)</x:f>
        <x:v>0</x:v>
      </x:c>
      <x:c r="N554" s="10" t="n">
        <x:f>L554-J554-M554</x:f>
        <x:v>22.95</x:v>
      </x:c>
      <x:c r="O554" s="10" t="n">
        <x:f>(G554-H554)*K554</x:f>
        <x:v>8.5</x:v>
      </x:c>
      <x:c r="P554" s="10" t="n">
        <x:f>N554-O554</x:f>
        <x:v>14.45</x:v>
      </x:c>
      <x:c r="Q554" s="9" t="n">
        <x:f>A554-WEEKDAY(A554,2)+1</x:f>
        <x:v>46279</x:v>
      </x:c>
      <x:c r="R554" s="2" t="str">
        <x:f>IF(AND(A554&gt;='Review'!$B$4,A554&lt;='Review'!$D$4),"Selected","Outside")</x:f>
        <x:v>Outside</x:v>
      </x:c>
    </x:row>
    <x:row r="555" ht="20" customHeight="1">
      <x:c r="A555" s="9" t="n">
        <x:v>46284</x:v>
      </x:c>
      <x:c r="B555" s="2" t="str">
        <x:v>MM-1403</x:v>
      </x:c>
      <x:c r="C555" s="2" t="str">
        <x:v>Email</x:v>
      </x:c>
      <x:c r="D555" s="2" t="str">
        <x:v>TUM-002</x:v>
      </x:c>
      <x:c r="E555" s="2" t="str">
        <x:f>_xlfn.IFNA(VLOOKUP(D555,'Products'!$A$7:$I$22,2,FALSE),"Unmapped")</x:f>
        <x:v>Cold brew glass cup</x:v>
      </x:c>
      <x:c r="F555" s="2" t="str">
        <x:f>_xlfn.IFNA(VLOOKUP(D555,'Products'!$A$7:$I$22,3,FALSE),"Unmapped")</x:f>
        <x:v>Drinkware</x:v>
      </x:c>
      <x:c r="G555" s="2" t="n">
        <x:v>1</x:v>
      </x:c>
      <x:c r="H555" s="2" t="n">
        <x:v>0</x:v>
      </x:c>
      <x:c r="I555" s="10" t="n">
        <x:v>24.95</x:v>
      </x:c>
      <x:c r="J555" s="10" t="n">
        <x:v>2.49</x:v>
      </x:c>
      <x:c r="K555" s="10" t="n">
        <x:v>9</x:v>
      </x:c>
      <x:c r="L555" s="10" t="n">
        <x:f>G555*I555</x:f>
        <x:v>24.95</x:v>
      </x:c>
      <x:c r="M555" s="10" t="n">
        <x:f>ROUND((L555-J555)*H555/G555,2)</x:f>
        <x:v>0</x:v>
      </x:c>
      <x:c r="N555" s="10" t="n">
        <x:f>L555-J555-M555</x:f>
        <x:v>22.46</x:v>
      </x:c>
      <x:c r="O555" s="10" t="n">
        <x:f>(G555-H555)*K555</x:f>
        <x:v>9</x:v>
      </x:c>
      <x:c r="P555" s="10" t="n">
        <x:f>N555-O555</x:f>
        <x:v>13.46</x:v>
      </x:c>
      <x:c r="Q555" s="9" t="n">
        <x:f>A555-WEEKDAY(A555,2)+1</x:f>
        <x:v>46279</x:v>
      </x:c>
      <x:c r="R555" s="2" t="str">
        <x:f>IF(AND(A555&gt;='Review'!$B$4,A555&lt;='Review'!$D$4),"Selected","Outside")</x:f>
        <x:v>Outside</x:v>
      </x:c>
    </x:row>
    <x:row r="556" ht="20" customHeight="1">
      <x:c r="A556" s="9" t="n">
        <x:v>46284</x:v>
      </x:c>
      <x:c r="B556" s="2" t="str">
        <x:v>MM-1412</x:v>
      </x:c>
      <x:c r="C556" s="2" t="str">
        <x:v>Email</x:v>
      </x:c>
      <x:c r="D556" s="2" t="str">
        <x:v>APP-003</x:v>
      </x:c>
      <x:c r="E556" s="2" t="str">
        <x:f>_xlfn.IFNA(VLOOKUP(D556,'Products'!$A$7:$I$22,2,FALSE),"Unmapped")</x:f>
        <x:v>Coffee club tee</x:v>
      </x:c>
      <x:c r="F556" s="2" t="str">
        <x:f>_xlfn.IFNA(VLOOKUP(D556,'Products'!$A$7:$I$22,3,FALSE),"Unmapped")</x:f>
        <x:v>Apparel</x:v>
      </x:c>
      <x:c r="G556" s="2" t="n">
        <x:v>1</x:v>
      </x:c>
      <x:c r="H556" s="2" t="n">
        <x:v>0</x:v>
      </x:c>
      <x:c r="I556" s="10" t="n">
        <x:v>29.95</x:v>
      </x:c>
      <x:c r="J556" s="10" t="n">
        <x:v>2.99</x:v>
      </x:c>
      <x:c r="K556" s="10" t="n">
        <x:v>10</x:v>
      </x:c>
      <x:c r="L556" s="10" t="n">
        <x:f>G556*I556</x:f>
        <x:v>29.95</x:v>
      </x:c>
      <x:c r="M556" s="10" t="n">
        <x:f>ROUND((L556-J556)*H556/G556,2)</x:f>
        <x:v>0</x:v>
      </x:c>
      <x:c r="N556" s="10" t="n">
        <x:f>L556-J556-M556</x:f>
        <x:v>26.96</x:v>
      </x:c>
      <x:c r="O556" s="10" t="n">
        <x:f>(G556-H556)*K556</x:f>
        <x:v>10</x:v>
      </x:c>
      <x:c r="P556" s="10" t="n">
        <x:f>N556-O556</x:f>
        <x:v>16.96</x:v>
      </x:c>
      <x:c r="Q556" s="9" t="n">
        <x:f>A556-WEEKDAY(A556,2)+1</x:f>
        <x:v>46279</x:v>
      </x:c>
      <x:c r="R556" s="2" t="str">
        <x:f>IF(AND(A556&gt;='Review'!$B$4,A556&lt;='Review'!$D$4),"Selected","Outside")</x:f>
        <x:v>Outside</x:v>
      </x:c>
    </x:row>
    <x:row r="557" ht="20" customHeight="1">
      <x:c r="A557" s="9" t="n">
        <x:v>46284</x:v>
      </x:c>
      <x:c r="B557" s="2" t="str">
        <x:v>MM-1412</x:v>
      </x:c>
      <x:c r="C557" s="2" t="str">
        <x:v>Email</x:v>
      </x:c>
      <x:c r="D557" s="2" t="str">
        <x:v>TUM-002</x:v>
      </x:c>
      <x:c r="E557" s="2" t="str">
        <x:f>_xlfn.IFNA(VLOOKUP(D557,'Products'!$A$7:$I$22,2,FALSE),"Unmapped")</x:f>
        <x:v>Cold brew glass cup</x:v>
      </x:c>
      <x:c r="F557" s="2" t="str">
        <x:f>_xlfn.IFNA(VLOOKUP(D557,'Products'!$A$7:$I$22,3,FALSE),"Unmapped")</x:f>
        <x:v>Drinkware</x:v>
      </x:c>
      <x:c r="G557" s="2" t="n">
        <x:v>1</x:v>
      </x:c>
      <x:c r="H557" s="2" t="n">
        <x:v>0</x:v>
      </x:c>
      <x:c r="I557" s="10" t="n">
        <x:v>24.95</x:v>
      </x:c>
      <x:c r="J557" s="10" t="n">
        <x:v>2.49</x:v>
      </x:c>
      <x:c r="K557" s="10" t="n">
        <x:v>9</x:v>
      </x:c>
      <x:c r="L557" s="10" t="n">
        <x:f>G557*I557</x:f>
        <x:v>24.95</x:v>
      </x:c>
      <x:c r="M557" s="10" t="n">
        <x:f>ROUND((L557-J557)*H557/G557,2)</x:f>
        <x:v>0</x:v>
      </x:c>
      <x:c r="N557" s="10" t="n">
        <x:f>L557-J557-M557</x:f>
        <x:v>22.46</x:v>
      </x:c>
      <x:c r="O557" s="10" t="n">
        <x:f>(G557-H557)*K557</x:f>
        <x:v>9</x:v>
      </x:c>
      <x:c r="P557" s="10" t="n">
        <x:f>N557-O557</x:f>
        <x:v>13.46</x:v>
      </x:c>
      <x:c r="Q557" s="9" t="n">
        <x:f>A557-WEEKDAY(A557,2)+1</x:f>
        <x:v>46279</x:v>
      </x:c>
      <x:c r="R557" s="2" t="str">
        <x:f>IF(AND(A557&gt;='Review'!$B$4,A557&lt;='Review'!$D$4),"Selected","Outside")</x:f>
        <x:v>Outside</x:v>
      </x:c>
    </x:row>
    <x:row r="558" ht="20" customHeight="1">
      <x:c r="A558" s="9" t="n">
        <x:v>46284</x:v>
      </x:c>
      <x:c r="B558" s="2" t="str">
        <x:v>MM-1405</x:v>
      </x:c>
      <x:c r="C558" s="2" t="str">
        <x:v>Direct</x:v>
      </x:c>
      <x:c r="D558" s="2" t="str">
        <x:v>TUM-002</x:v>
      </x:c>
      <x:c r="E558" s="2" t="str">
        <x:f>_xlfn.IFNA(VLOOKUP(D558,'Products'!$A$7:$I$22,2,FALSE),"Unmapped")</x:f>
        <x:v>Cold brew glass cup</x:v>
      </x:c>
      <x:c r="F558" s="2" t="str">
        <x:f>_xlfn.IFNA(VLOOKUP(D558,'Products'!$A$7:$I$22,3,FALSE),"Unmapped")</x:f>
        <x:v>Drinkware</x:v>
      </x:c>
      <x:c r="G558" s="2" t="n">
        <x:v>2</x:v>
      </x:c>
      <x:c r="H558" s="2" t="n">
        <x:v>0</x:v>
      </x:c>
      <x:c r="I558" s="10" t="n">
        <x:v>24.95</x:v>
      </x:c>
      <x:c r="J558" s="10" t="n">
        <x:v>0</x:v>
      </x:c>
      <x:c r="K558" s="10" t="n">
        <x:v>9</x:v>
      </x:c>
      <x:c r="L558" s="10" t="n">
        <x:f>G558*I558</x:f>
        <x:v>49.9</x:v>
      </x:c>
      <x:c r="M558" s="10" t="n">
        <x:f>ROUND((L558-J558)*H558/G558,2)</x:f>
        <x:v>0</x:v>
      </x:c>
      <x:c r="N558" s="10" t="n">
        <x:f>L558-J558-M558</x:f>
        <x:v>49.9</x:v>
      </x:c>
      <x:c r="O558" s="10" t="n">
        <x:f>(G558-H558)*K558</x:f>
        <x:v>18</x:v>
      </x:c>
      <x:c r="P558" s="10" t="n">
        <x:f>N558-O558</x:f>
        <x:v>31.9</x:v>
      </x:c>
      <x:c r="Q558" s="9" t="n">
        <x:f>A558-WEEKDAY(A558,2)+1</x:f>
        <x:v>46279</x:v>
      </x:c>
      <x:c r="R558" s="2" t="str">
        <x:f>IF(AND(A558&gt;='Review'!$B$4,A558&lt;='Review'!$D$4),"Selected","Outside")</x:f>
        <x:v>Outside</x:v>
      </x:c>
    </x:row>
    <x:row r="559" ht="20" customHeight="1">
      <x:c r="A559" s="9" t="n">
        <x:v>46284</x:v>
      </x:c>
      <x:c r="B559" s="2" t="str">
        <x:v>MM-1405</x:v>
      </x:c>
      <x:c r="C559" s="2" t="str">
        <x:v>Direct</x:v>
      </x:c>
      <x:c r="D559" s="2" t="str">
        <x:v>APP-003</x:v>
      </x:c>
      <x:c r="E559" s="2" t="str">
        <x:f>_xlfn.IFNA(VLOOKUP(D559,'Products'!$A$7:$I$22,2,FALSE),"Unmapped")</x:f>
        <x:v>Coffee club tee</x:v>
      </x:c>
      <x:c r="F559" s="2" t="str">
        <x:f>_xlfn.IFNA(VLOOKUP(D559,'Products'!$A$7:$I$22,3,FALSE),"Unmapped")</x:f>
        <x:v>Apparel</x:v>
      </x:c>
      <x:c r="G559" s="2" t="n">
        <x:v>1</x:v>
      </x:c>
      <x:c r="H559" s="2" t="n">
        <x:v>0</x:v>
      </x:c>
      <x:c r="I559" s="10" t="n">
        <x:v>29.95</x:v>
      </x:c>
      <x:c r="J559" s="10" t="n">
        <x:v>2.99</x:v>
      </x:c>
      <x:c r="K559" s="10" t="n">
        <x:v>10</x:v>
      </x:c>
      <x:c r="L559" s="10" t="n">
        <x:f>G559*I559</x:f>
        <x:v>29.95</x:v>
      </x:c>
      <x:c r="M559" s="10" t="n">
        <x:f>ROUND((L559-J559)*H559/G559,2)</x:f>
        <x:v>0</x:v>
      </x:c>
      <x:c r="N559" s="10" t="n">
        <x:f>L559-J559-M559</x:f>
        <x:v>26.96</x:v>
      </x:c>
      <x:c r="O559" s="10" t="n">
        <x:f>(G559-H559)*K559</x:f>
        <x:v>10</x:v>
      </x:c>
      <x:c r="P559" s="10" t="n">
        <x:f>N559-O559</x:f>
        <x:v>16.96</x:v>
      </x:c>
      <x:c r="Q559" s="9" t="n">
        <x:f>A559-WEEKDAY(A559,2)+1</x:f>
        <x:v>46279</x:v>
      </x:c>
      <x:c r="R559" s="2" t="str">
        <x:f>IF(AND(A559&gt;='Review'!$B$4,A559&lt;='Review'!$D$4),"Selected","Outside")</x:f>
        <x:v>Outside</x:v>
      </x:c>
    </x:row>
    <x:row r="560" ht="20" customHeight="1">
      <x:c r="A560" s="9" t="n">
        <x:v>46284</x:v>
      </x:c>
      <x:c r="B560" s="2" t="str">
        <x:v>MM-1417</x:v>
      </x:c>
      <x:c r="C560" s="2" t="str">
        <x:v>Direct</x:v>
      </x:c>
      <x:c r="D560" s="2" t="str">
        <x:v>APP-001</x:v>
      </x:c>
      <x:c r="E560" s="2" t="str">
        <x:f>_xlfn.IFNA(VLOOKUP(D560,'Products'!$A$7:$I$22,2,FALSE),"Unmapped")</x:f>
        <x:v>Everyday crewneck</x:v>
      </x:c>
      <x:c r="F560" s="2" t="str">
        <x:f>_xlfn.IFNA(VLOOKUP(D560,'Products'!$A$7:$I$22,3,FALSE),"Unmapped")</x:f>
        <x:v>Apparel</x:v>
      </x:c>
      <x:c r="G560" s="2" t="n">
        <x:v>1</x:v>
      </x:c>
      <x:c r="H560" s="2" t="n">
        <x:v>0</x:v>
      </x:c>
      <x:c r="I560" s="10" t="n">
        <x:v>54.95</x:v>
      </x:c>
      <x:c r="J560" s="10" t="n">
        <x:v>0</x:v>
      </x:c>
      <x:c r="K560" s="10" t="n">
        <x:v>22</x:v>
      </x:c>
      <x:c r="L560" s="10" t="n">
        <x:f>G560*I560</x:f>
        <x:v>54.95</x:v>
      </x:c>
      <x:c r="M560" s="10" t="n">
        <x:f>ROUND((L560-J560)*H560/G560,2)</x:f>
        <x:v>0</x:v>
      </x:c>
      <x:c r="N560" s="10" t="n">
        <x:f>L560-J560-M560</x:f>
        <x:v>54.95</x:v>
      </x:c>
      <x:c r="O560" s="10" t="n">
        <x:f>(G560-H560)*K560</x:f>
        <x:v>22</x:v>
      </x:c>
      <x:c r="P560" s="10" t="n">
        <x:f>N560-O560</x:f>
        <x:v>32.95</x:v>
      </x:c>
      <x:c r="Q560" s="9" t="n">
        <x:f>A560-WEEKDAY(A560,2)+1</x:f>
        <x:v>46279</x:v>
      </x:c>
      <x:c r="R560" s="2" t="str">
        <x:f>IF(AND(A560&gt;='Review'!$B$4,A560&lt;='Review'!$D$4),"Selected","Outside")</x:f>
        <x:v>Outside</x:v>
      </x:c>
    </x:row>
    <x:row r="561" ht="20" customHeight="1">
      <x:c r="A561" s="9" t="n">
        <x:v>46284</x:v>
      </x:c>
      <x:c r="B561" s="2" t="str">
        <x:v>MM-1411</x:v>
      </x:c>
      <x:c r="C561" s="2" t="str">
        <x:v>Email</x:v>
      </x:c>
      <x:c r="D561" s="2" t="str">
        <x:v>TOTE-001</x:v>
      </x:c>
      <x:c r="E561" s="2" t="str">
        <x:f>_xlfn.IFNA(VLOOKUP(D561,'Products'!$A$7:$I$22,2,FALSE),"Unmapped")</x:f>
        <x:v>Market canvas tote</x:v>
      </x:c>
      <x:c r="F561" s="2" t="str">
        <x:f>_xlfn.IFNA(VLOOKUP(D561,'Products'!$A$7:$I$22,3,FALSE),"Unmapped")</x:f>
        <x:v>Accessories</x:v>
      </x:c>
      <x:c r="G561" s="2" t="n">
        <x:v>2</x:v>
      </x:c>
      <x:c r="H561" s="2" t="n">
        <x:v>0</x:v>
      </x:c>
      <x:c r="I561" s="10" t="n">
        <x:v>19.95</x:v>
      </x:c>
      <x:c r="J561" s="10" t="n">
        <x:v>3.99</x:v>
      </x:c>
      <x:c r="K561" s="10" t="n">
        <x:v>6</x:v>
      </x:c>
      <x:c r="L561" s="10" t="n">
        <x:f>G561*I561</x:f>
        <x:v>39.9</x:v>
      </x:c>
      <x:c r="M561" s="10" t="n">
        <x:f>ROUND((L561-J561)*H561/G561,2)</x:f>
        <x:v>0</x:v>
      </x:c>
      <x:c r="N561" s="10" t="n">
        <x:f>L561-J561-M561</x:f>
        <x:v>35.91</x:v>
      </x:c>
      <x:c r="O561" s="10" t="n">
        <x:f>(G561-H561)*K561</x:f>
        <x:v>12</x:v>
      </x:c>
      <x:c r="P561" s="10" t="n">
        <x:f>N561-O561</x:f>
        <x:v>23.909999999999997</x:v>
      </x:c>
      <x:c r="Q561" s="9" t="n">
        <x:f>A561-WEEKDAY(A561,2)+1</x:f>
        <x:v>46279</x:v>
      </x:c>
      <x:c r="R561" s="2" t="str">
        <x:f>IF(AND(A561&gt;='Review'!$B$4,A561&lt;='Review'!$D$4),"Selected","Outside")</x:f>
        <x:v>Outside</x:v>
      </x:c>
    </x:row>
    <x:row r="562" ht="20" customHeight="1">
      <x:c r="A562" s="9" t="n">
        <x:v>46284</x:v>
      </x:c>
      <x:c r="B562" s="2" t="str">
        <x:v>MM-1416</x:v>
      </x:c>
      <x:c r="C562" s="2" t="str">
        <x:v>Direct</x:v>
      </x:c>
      <x:c r="D562" s="2" t="str">
        <x:v>BOT-001</x:v>
      </x:c>
      <x:c r="E562" s="2" t="str">
        <x:f>_xlfn.IFNA(VLOOKUP(D562,'Products'!$A$7:$I$22,2,FALSE),"Unmapped")</x:f>
        <x:v>Trail water bottle</x:v>
      </x:c>
      <x:c r="F562" s="2" t="str">
        <x:f>_xlfn.IFNA(VLOOKUP(D562,'Products'!$A$7:$I$22,3,FALSE),"Unmapped")</x:f>
        <x:v>Drinkware</x:v>
      </x:c>
      <x:c r="G562" s="2" t="n">
        <x:v>1</x:v>
      </x:c>
      <x:c r="H562" s="2" t="n">
        <x:v>0</x:v>
      </x:c>
      <x:c r="I562" s="10" t="n">
        <x:v>34.95</x:v>
      </x:c>
      <x:c r="J562" s="10" t="n">
        <x:v>0</x:v>
      </x:c>
      <x:c r="K562" s="10" t="n">
        <x:v>13.5</x:v>
      </x:c>
      <x:c r="L562" s="10" t="n">
        <x:f>G562*I562</x:f>
        <x:v>34.95</x:v>
      </x:c>
      <x:c r="M562" s="10" t="n">
        <x:f>ROUND((L562-J562)*H562/G562,2)</x:f>
        <x:v>0</x:v>
      </x:c>
      <x:c r="N562" s="10" t="n">
        <x:f>L562-J562-M562</x:f>
        <x:v>34.95</x:v>
      </x:c>
      <x:c r="O562" s="10" t="n">
        <x:f>(G562-H562)*K562</x:f>
        <x:v>13.5</x:v>
      </x:c>
      <x:c r="P562" s="10" t="n">
        <x:f>N562-O562</x:f>
        <x:v>21.450000000000003</x:v>
      </x:c>
      <x:c r="Q562" s="9" t="n">
        <x:f>A562-WEEKDAY(A562,2)+1</x:f>
        <x:v>46279</x:v>
      </x:c>
      <x:c r="R562" s="2" t="str">
        <x:f>IF(AND(A562&gt;='Review'!$B$4,A562&lt;='Review'!$D$4),"Selected","Outside")</x:f>
        <x:v>Outside</x:v>
      </x:c>
    </x:row>
    <x:row r="563" ht="20" customHeight="1">
      <x:c r="A563" s="9" t="n">
        <x:v>46284</x:v>
      </x:c>
      <x:c r="B563" s="2" t="str">
        <x:v>MM-1399</x:v>
      </x:c>
      <x:c r="C563" s="2" t="str">
        <x:v>Email</x:v>
      </x:c>
      <x:c r="D563" s="2" t="str">
        <x:v>TUM-001</x:v>
      </x:c>
      <x:c r="E563" s="2" t="str">
        <x:f>_xlfn.IFNA(VLOOKUP(D563,'Products'!$A$7:$I$22,2,FALSE),"Unmapped")</x:f>
        <x:v>Maple travel tumbler</x:v>
      </x:c>
      <x:c r="F563" s="2" t="str">
        <x:f>_xlfn.IFNA(VLOOKUP(D563,'Products'!$A$7:$I$22,3,FALSE),"Unmapped")</x:f>
        <x:v>Drinkware</x:v>
      </x:c>
      <x:c r="G563" s="2" t="n">
        <x:v>1</x:v>
      </x:c>
      <x:c r="H563" s="2" t="n">
        <x:v>0</x:v>
      </x:c>
      <x:c r="I563" s="10" t="n">
        <x:v>32.95</x:v>
      </x:c>
      <x:c r="J563" s="10" t="n">
        <x:v>3.29</x:v>
      </x:c>
      <x:c r="K563" s="10" t="n">
        <x:v>12</x:v>
      </x:c>
      <x:c r="L563" s="10" t="n">
        <x:f>G563*I563</x:f>
        <x:v>32.95</x:v>
      </x:c>
      <x:c r="M563" s="10" t="n">
        <x:f>ROUND((L563-J563)*H563/G563,2)</x:f>
        <x:v>0</x:v>
      </x:c>
      <x:c r="N563" s="10" t="n">
        <x:f>L563-J563-M563</x:f>
        <x:v>29.660000000000004</x:v>
      </x:c>
      <x:c r="O563" s="10" t="n">
        <x:f>(G563-H563)*K563</x:f>
        <x:v>12</x:v>
      </x:c>
      <x:c r="P563" s="10" t="n">
        <x:f>N563-O563</x:f>
        <x:v>17.660000000000004</x:v>
      </x:c>
      <x:c r="Q563" s="9" t="n">
        <x:f>A563-WEEKDAY(A563,2)+1</x:f>
        <x:v>46279</x:v>
      </x:c>
      <x:c r="R563" s="2" t="str">
        <x:f>IF(AND(A563&gt;='Review'!$B$4,A563&lt;='Review'!$D$4),"Selected","Outside")</x:f>
        <x:v>Outside</x:v>
      </x:c>
    </x:row>
    <x:row r="564" ht="20" customHeight="1">
      <x:c r="A564" s="9" t="n">
        <x:v>46284</x:v>
      </x:c>
      <x:c r="B564" s="2" t="str">
        <x:v>MM-1408</x:v>
      </x:c>
      <x:c r="C564" s="2" t="str">
        <x:v>Organic Search</x:v>
      </x:c>
      <x:c r="D564" s="2" t="str">
        <x:v>HAT-001</x:v>
      </x:c>
      <x:c r="E564" s="2" t="str">
        <x:f>_xlfn.IFNA(VLOOKUP(D564,'Products'!$A$7:$I$22,2,FALSE),"Unmapped")</x:f>
        <x:v>Classic canvas cap</x:v>
      </x:c>
      <x:c r="F564" s="2" t="str">
        <x:f>_xlfn.IFNA(VLOOKUP(D564,'Products'!$A$7:$I$22,3,FALSE),"Unmapped")</x:f>
        <x:v>Accessories</x:v>
      </x:c>
      <x:c r="G564" s="2" t="n">
        <x:v>1</x:v>
      </x:c>
      <x:c r="H564" s="2" t="n">
        <x:v>0</x:v>
      </x:c>
      <x:c r="I564" s="10" t="n">
        <x:v>24.95</x:v>
      </x:c>
      <x:c r="J564" s="10" t="n">
        <x:v>0</x:v>
      </x:c>
      <x:c r="K564" s="10" t="n">
        <x:v>8.5</x:v>
      </x:c>
      <x:c r="L564" s="10" t="n">
        <x:f>G564*I564</x:f>
        <x:v>24.95</x:v>
      </x:c>
      <x:c r="M564" s="10" t="n">
        <x:f>ROUND((L564-J564)*H564/G564,2)</x:f>
        <x:v>0</x:v>
      </x:c>
      <x:c r="N564" s="10" t="n">
        <x:f>L564-J564-M564</x:f>
        <x:v>24.95</x:v>
      </x:c>
      <x:c r="O564" s="10" t="n">
        <x:f>(G564-H564)*K564</x:f>
        <x:v>8.5</x:v>
      </x:c>
      <x:c r="P564" s="10" t="n">
        <x:f>N564-O564</x:f>
        <x:v>16.45</x:v>
      </x:c>
      <x:c r="Q564" s="9" t="n">
        <x:f>A564-WEEKDAY(A564,2)+1</x:f>
        <x:v>46279</x:v>
      </x:c>
      <x:c r="R564" s="2" t="str">
        <x:f>IF(AND(A564&gt;='Review'!$B$4,A564&lt;='Review'!$D$4),"Selected","Outside")</x:f>
        <x:v>Outside</x:v>
      </x:c>
    </x:row>
    <x:row r="565" ht="20" customHeight="1">
      <x:c r="A565" s="9" t="n">
        <x:v>46284</x:v>
      </x:c>
      <x:c r="B565" s="2" t="str">
        <x:v>MM-1413</x:v>
      </x:c>
      <x:c r="C565" s="2" t="str">
        <x:v>Paid Social</x:v>
      </x:c>
      <x:c r="D565" s="2" t="str">
        <x:v>TOTE-001</x:v>
      </x:c>
      <x:c r="E565" s="2" t="str">
        <x:f>_xlfn.IFNA(VLOOKUP(D565,'Products'!$A$7:$I$22,2,FALSE),"Unmapped")</x:f>
        <x:v>Market canvas tote</x:v>
      </x:c>
      <x:c r="F565" s="2" t="str">
        <x:f>_xlfn.IFNA(VLOOKUP(D565,'Products'!$A$7:$I$22,3,FALSE),"Unmapped")</x:f>
        <x:v>Accessories</x:v>
      </x:c>
      <x:c r="G565" s="2" t="n">
        <x:v>1</x:v>
      </x:c>
      <x:c r="H565" s="2" t="n">
        <x:v>0</x:v>
      </x:c>
      <x:c r="I565" s="10" t="n">
        <x:v>19.95</x:v>
      </x:c>
      <x:c r="J565" s="10" t="n">
        <x:v>1.99</x:v>
      </x:c>
      <x:c r="K565" s="10" t="n">
        <x:v>6</x:v>
      </x:c>
      <x:c r="L565" s="10" t="n">
        <x:f>G565*I565</x:f>
        <x:v>19.95</x:v>
      </x:c>
      <x:c r="M565" s="10" t="n">
        <x:f>ROUND((L565-J565)*H565/G565,2)</x:f>
        <x:v>0</x:v>
      </x:c>
      <x:c r="N565" s="10" t="n">
        <x:f>L565-J565-M565</x:f>
        <x:v>17.96</x:v>
      </x:c>
      <x:c r="O565" s="10" t="n">
        <x:f>(G565-H565)*K565</x:f>
        <x:v>6</x:v>
      </x:c>
      <x:c r="P565" s="10" t="n">
        <x:f>N565-O565</x:f>
        <x:v>11.96</x:v>
      </x:c>
      <x:c r="Q565" s="9" t="n">
        <x:f>A565-WEEKDAY(A565,2)+1</x:f>
        <x:v>46279</x:v>
      </x:c>
      <x:c r="R565" s="2" t="str">
        <x:f>IF(AND(A565&gt;='Review'!$B$4,A565&lt;='Review'!$D$4),"Selected","Outside")</x:f>
        <x:v>Outside</x:v>
      </x:c>
    </x:row>
    <x:row r="566" ht="20" customHeight="1">
      <x:c r="A566" s="9" t="n">
        <x:v>46284</x:v>
      </x:c>
      <x:c r="B566" s="2" t="str">
        <x:v>MM-1413</x:v>
      </x:c>
      <x:c r="C566" s="2" t="str">
        <x:v>Paid Social</x:v>
      </x:c>
      <x:c r="D566" s="2" t="str">
        <x:v>APP-002</x:v>
      </x:c>
      <x:c r="E566" s="2" t="str">
        <x:f>_xlfn.IFNA(VLOOKUP(D566,'Products'!$A$7:$I$22,2,FALSE),"Unmapped")</x:f>
        <x:v>Weekend hoodie</x:v>
      </x:c>
      <x:c r="F566" s="2" t="str">
        <x:f>_xlfn.IFNA(VLOOKUP(D566,'Products'!$A$7:$I$22,3,FALSE),"Unmapped")</x:f>
        <x:v>Apparel</x:v>
      </x:c>
      <x:c r="G566" s="2" t="n">
        <x:v>3</x:v>
      </x:c>
      <x:c r="H566" s="2" t="n">
        <x:v>0</x:v>
      </x:c>
      <x:c r="I566" s="10" t="n">
        <x:v>69.95</x:v>
      </x:c>
      <x:c r="J566" s="10" t="n">
        <x:v>0</x:v>
      </x:c>
      <x:c r="K566" s="10" t="n">
        <x:v>28</x:v>
      </x:c>
      <x:c r="L566" s="10" t="n">
        <x:f>G566*I566</x:f>
        <x:v>209.85000000000002</x:v>
      </x:c>
      <x:c r="M566" s="10" t="n">
        <x:f>ROUND((L566-J566)*H566/G566,2)</x:f>
        <x:v>0</x:v>
      </x:c>
      <x:c r="N566" s="10" t="n">
        <x:f>L566-J566-M566</x:f>
        <x:v>209.85000000000002</x:v>
      </x:c>
      <x:c r="O566" s="10" t="n">
        <x:f>(G566-H566)*K566</x:f>
        <x:v>84</x:v>
      </x:c>
      <x:c r="P566" s="10" t="n">
        <x:f>N566-O566</x:f>
        <x:v>125.85000000000002</x:v>
      </x:c>
      <x:c r="Q566" s="9" t="n">
        <x:f>A566-WEEKDAY(A566,2)+1</x:f>
        <x:v>46279</x:v>
      </x:c>
      <x:c r="R566" s="2" t="str">
        <x:f>IF(AND(A566&gt;='Review'!$B$4,A566&lt;='Review'!$D$4),"Selected","Outside")</x:f>
        <x:v>Outside</x:v>
      </x:c>
    </x:row>
    <x:row r="567" ht="20" customHeight="1">
      <x:c r="A567" s="9" t="n">
        <x:v>46284</x:v>
      </x:c>
      <x:c r="B567" s="2" t="str">
        <x:v>MM-1409</x:v>
      </x:c>
      <x:c r="C567" s="2" t="str">
        <x:v>Direct</x:v>
      </x:c>
      <x:c r="D567" s="2" t="str">
        <x:v>BOT-001</x:v>
      </x:c>
      <x:c r="E567" s="2" t="str">
        <x:f>_xlfn.IFNA(VLOOKUP(D567,'Products'!$A$7:$I$22,2,FALSE),"Unmapped")</x:f>
        <x:v>Trail water bottle</x:v>
      </x:c>
      <x:c r="F567" s="2" t="str">
        <x:f>_xlfn.IFNA(VLOOKUP(D567,'Products'!$A$7:$I$22,3,FALSE),"Unmapped")</x:f>
        <x:v>Drinkware</x:v>
      </x:c>
      <x:c r="G567" s="2" t="n">
        <x:v>1</x:v>
      </x:c>
      <x:c r="H567" s="2" t="n">
        <x:v>0</x:v>
      </x:c>
      <x:c r="I567" s="10" t="n">
        <x:v>34.95</x:v>
      </x:c>
      <x:c r="J567" s="10" t="n">
        <x:v>0</x:v>
      </x:c>
      <x:c r="K567" s="10" t="n">
        <x:v>13.5</x:v>
      </x:c>
      <x:c r="L567" s="10" t="n">
        <x:f>G567*I567</x:f>
        <x:v>34.95</x:v>
      </x:c>
      <x:c r="M567" s="10" t="n">
        <x:f>ROUND((L567-J567)*H567/G567,2)</x:f>
        <x:v>0</x:v>
      </x:c>
      <x:c r="N567" s="10" t="n">
        <x:f>L567-J567-M567</x:f>
        <x:v>34.95</x:v>
      </x:c>
      <x:c r="O567" s="10" t="n">
        <x:f>(G567-H567)*K567</x:f>
        <x:v>13.5</x:v>
      </x:c>
      <x:c r="P567" s="10" t="n">
        <x:f>N567-O567</x:f>
        <x:v>21.450000000000003</x:v>
      </x:c>
      <x:c r="Q567" s="9" t="n">
        <x:f>A567-WEEKDAY(A567,2)+1</x:f>
        <x:v>46279</x:v>
      </x:c>
      <x:c r="R567" s="2" t="str">
        <x:f>IF(AND(A567&gt;='Review'!$B$4,A567&lt;='Review'!$D$4),"Selected","Outside")</x:f>
        <x:v>Outside</x:v>
      </x:c>
    </x:row>
    <x:row r="568" ht="20" customHeight="1">
      <x:c r="A568" s="9" t="n">
        <x:v>46284</x:v>
      </x:c>
      <x:c r="B568" s="2" t="str">
        <x:v>MM-1415</x:v>
      </x:c>
      <x:c r="C568" s="2" t="str">
        <x:v>Email</x:v>
      </x:c>
      <x:c r="D568" s="2" t="str">
        <x:v>MUG-001</x:v>
      </x:c>
      <x:c r="E568" s="2" t="str">
        <x:f>_xlfn.IFNA(VLOOKUP(D568,'Products'!$A$7:$I$22,2,FALSE),"Unmapped")</x:f>
        <x:v>Everyday ceramic mug</x:v>
      </x:c>
      <x:c r="F568" s="2" t="str">
        <x:f>_xlfn.IFNA(VLOOKUP(D568,'Products'!$A$7:$I$22,3,FALSE),"Unmapped")</x:f>
        <x:v>Drinkware</x:v>
      </x:c>
      <x:c r="G568" s="2" t="n">
        <x:v>1</x:v>
      </x:c>
      <x:c r="H568" s="2" t="n">
        <x:v>0</x:v>
      </x:c>
      <x:c r="I568" s="10" t="n">
        <x:v>18.95</x:v>
      </x:c>
      <x:c r="J568" s="10" t="n">
        <x:v>1.89</x:v>
      </x:c>
      <x:c r="K568" s="10" t="n">
        <x:v>6.5</x:v>
      </x:c>
      <x:c r="L568" s="10" t="n">
        <x:f>G568*I568</x:f>
        <x:v>18.95</x:v>
      </x:c>
      <x:c r="M568" s="10" t="n">
        <x:f>ROUND((L568-J568)*H568/G568,2)</x:f>
        <x:v>0</x:v>
      </x:c>
      <x:c r="N568" s="10" t="n">
        <x:f>L568-J568-M568</x:f>
        <x:v>17.06</x:v>
      </x:c>
      <x:c r="O568" s="10" t="n">
        <x:f>(G568-H568)*K568</x:f>
        <x:v>6.5</x:v>
      </x:c>
      <x:c r="P568" s="10" t="n">
        <x:f>N568-O568</x:f>
        <x:v>10.559999999999999</x:v>
      </x:c>
      <x:c r="Q568" s="9" t="n">
        <x:f>A568-WEEKDAY(A568,2)+1</x:f>
        <x:v>46279</x:v>
      </x:c>
      <x:c r="R568" s="2" t="str">
        <x:f>IF(AND(A568&gt;='Review'!$B$4,A568&lt;='Review'!$D$4),"Selected","Outside")</x:f>
        <x:v>Outside</x:v>
      </x:c>
    </x:row>
    <x:row r="569" ht="20" customHeight="1">
      <x:c r="A569" s="9" t="n">
        <x:v>46284</x:v>
      </x:c>
      <x:c r="B569" s="2" t="str">
        <x:v>MM-1418</x:v>
      </x:c>
      <x:c r="C569" s="2" t="str">
        <x:v>Direct</x:v>
      </x:c>
      <x:c r="D569" s="2" t="str">
        <x:v>APP-002</x:v>
      </x:c>
      <x:c r="E569" s="2" t="str">
        <x:f>_xlfn.IFNA(VLOOKUP(D569,'Products'!$A$7:$I$22,2,FALSE),"Unmapped")</x:f>
        <x:v>Weekend hoodie</x:v>
      </x:c>
      <x:c r="F569" s="2" t="str">
        <x:f>_xlfn.IFNA(VLOOKUP(D569,'Products'!$A$7:$I$22,3,FALSE),"Unmapped")</x:f>
        <x:v>Apparel</x:v>
      </x:c>
      <x:c r="G569" s="2" t="n">
        <x:v>2</x:v>
      </x:c>
      <x:c r="H569" s="2" t="n">
        <x:v>0</x:v>
      </x:c>
      <x:c r="I569" s="10" t="n">
        <x:v>69.95</x:v>
      </x:c>
      <x:c r="J569" s="10" t="n">
        <x:v>13.99</x:v>
      </x:c>
      <x:c r="K569" s="10" t="n">
        <x:v>28</x:v>
      </x:c>
      <x:c r="L569" s="10" t="n">
        <x:f>G569*I569</x:f>
        <x:v>139.9</x:v>
      </x:c>
      <x:c r="M569" s="10" t="n">
        <x:f>ROUND((L569-J569)*H569/G569,2)</x:f>
        <x:v>0</x:v>
      </x:c>
      <x:c r="N569" s="10" t="n">
        <x:f>L569-J569-M569</x:f>
        <x:v>125.91000000000001</x:v>
      </x:c>
      <x:c r="O569" s="10" t="n">
        <x:f>(G569-H569)*K569</x:f>
        <x:v>56</x:v>
      </x:c>
      <x:c r="P569" s="10" t="n">
        <x:f>N569-O569</x:f>
        <x:v>69.91000000000001</x:v>
      </x:c>
      <x:c r="Q569" s="9" t="n">
        <x:f>A569-WEEKDAY(A569,2)+1</x:f>
        <x:v>46279</x:v>
      </x:c>
      <x:c r="R569" s="2" t="str">
        <x:f>IF(AND(A569&gt;='Review'!$B$4,A569&lt;='Review'!$D$4),"Selected","Outside")</x:f>
        <x:v>Outside</x:v>
      </x:c>
    </x:row>
    <x:row r="570" ht="20" customHeight="1">
      <x:c r="A570" s="9" t="n">
        <x:v>46284</x:v>
      </x:c>
      <x:c r="B570" s="2" t="str">
        <x:v>MM-1402</x:v>
      </x:c>
      <x:c r="C570" s="2" t="str">
        <x:v>Email</x:v>
      </x:c>
      <x:c r="D570" s="2" t="str">
        <x:v>APP-002</x:v>
      </x:c>
      <x:c r="E570" s="2" t="str">
        <x:f>_xlfn.IFNA(VLOOKUP(D570,'Products'!$A$7:$I$22,2,FALSE),"Unmapped")</x:f>
        <x:v>Weekend hoodie</x:v>
      </x:c>
      <x:c r="F570" s="2" t="str">
        <x:f>_xlfn.IFNA(VLOOKUP(D570,'Products'!$A$7:$I$22,3,FALSE),"Unmapped")</x:f>
        <x:v>Apparel</x:v>
      </x:c>
      <x:c r="G570" s="2" t="n">
        <x:v>1</x:v>
      </x:c>
      <x:c r="H570" s="2" t="n">
        <x:v>0</x:v>
      </x:c>
      <x:c r="I570" s="10" t="n">
        <x:v>69.95</x:v>
      </x:c>
      <x:c r="J570" s="10" t="n">
        <x:v>6.99</x:v>
      </x:c>
      <x:c r="K570" s="10" t="n">
        <x:v>28</x:v>
      </x:c>
      <x:c r="L570" s="10" t="n">
        <x:f>G570*I570</x:f>
        <x:v>69.95</x:v>
      </x:c>
      <x:c r="M570" s="10" t="n">
        <x:f>ROUND((L570-J570)*H570/G570,2)</x:f>
        <x:v>0</x:v>
      </x:c>
      <x:c r="N570" s="10" t="n">
        <x:f>L570-J570-M570</x:f>
        <x:v>62.96</x:v>
      </x:c>
      <x:c r="O570" s="10" t="n">
        <x:f>(G570-H570)*K570</x:f>
        <x:v>28</x:v>
      </x:c>
      <x:c r="P570" s="10" t="n">
        <x:f>N570-O570</x:f>
        <x:v>34.96</x:v>
      </x:c>
      <x:c r="Q570" s="9" t="n">
        <x:f>A570-WEEKDAY(A570,2)+1</x:f>
        <x:v>46279</x:v>
      </x:c>
      <x:c r="R570" s="2" t="str">
        <x:f>IF(AND(A570&gt;='Review'!$B$4,A570&lt;='Review'!$D$4),"Selected","Outside")</x:f>
        <x:v>Outside</x:v>
      </x:c>
    </x:row>
    <x:row r="571" ht="20" customHeight="1">
      <x:c r="A571" s="9" t="n">
        <x:v>46284</x:v>
      </x:c>
      <x:c r="B571" s="2" t="str">
        <x:v>MM-1402</x:v>
      </x:c>
      <x:c r="C571" s="2" t="str">
        <x:v>Email</x:v>
      </x:c>
      <x:c r="D571" s="2" t="str">
        <x:v>MUG-002</x:v>
      </x:c>
      <x:c r="E571" s="2" t="str">
        <x:f>_xlfn.IFNA(VLOOKUP(D571,'Products'!$A$7:$I$22,2,FALSE),"Unmapped")</x:f>
        <x:v>Campfire enamel mug</x:v>
      </x:c>
      <x:c r="F571" s="2" t="str">
        <x:f>_xlfn.IFNA(VLOOKUP(D571,'Products'!$A$7:$I$22,3,FALSE),"Unmapped")</x:f>
        <x:v>Drinkware</x:v>
      </x:c>
      <x:c r="G571" s="2" t="n">
        <x:v>1</x:v>
      </x:c>
      <x:c r="H571" s="2" t="n">
        <x:v>0</x:v>
      </x:c>
      <x:c r="I571" s="10" t="n">
        <x:v>22.95</x:v>
      </x:c>
      <x:c r="J571" s="10" t="n">
        <x:v>2.29</x:v>
      </x:c>
      <x:c r="K571" s="10" t="n">
        <x:v>8.5</x:v>
      </x:c>
      <x:c r="L571" s="10" t="n">
        <x:f>G571*I571</x:f>
        <x:v>22.95</x:v>
      </x:c>
      <x:c r="M571" s="10" t="n">
        <x:f>ROUND((L571-J571)*H571/G571,2)</x:f>
        <x:v>0</x:v>
      </x:c>
      <x:c r="N571" s="10" t="n">
        <x:f>L571-J571-M571</x:f>
        <x:v>20.66</x:v>
      </x:c>
      <x:c r="O571" s="10" t="n">
        <x:f>(G571-H571)*K571</x:f>
        <x:v>8.5</x:v>
      </x:c>
      <x:c r="P571" s="10" t="n">
        <x:f>N571-O571</x:f>
        <x:v>12.16</x:v>
      </x:c>
      <x:c r="Q571" s="9" t="n">
        <x:f>A571-WEEKDAY(A571,2)+1</x:f>
        <x:v>46279</x:v>
      </x:c>
      <x:c r="R571" s="2" t="str">
        <x:f>IF(AND(A571&gt;='Review'!$B$4,A571&lt;='Review'!$D$4),"Selected","Outside")</x:f>
        <x:v>Outside</x:v>
      </x:c>
    </x:row>
    <x:row r="572" ht="20" customHeight="1">
      <x:c r="A572" s="9" t="n">
        <x:v>46284</x:v>
      </x:c>
      <x:c r="B572" s="2" t="str">
        <x:v>MM-1410</x:v>
      </x:c>
      <x:c r="C572" s="2" t="str">
        <x:v>Organic Search</x:v>
      </x:c>
      <x:c r="D572" s="2" t="str">
        <x:v>TOTE-001</x:v>
      </x:c>
      <x:c r="E572" s="2" t="str">
        <x:f>_xlfn.IFNA(VLOOKUP(D572,'Products'!$A$7:$I$22,2,FALSE),"Unmapped")</x:f>
        <x:v>Market canvas tote</x:v>
      </x:c>
      <x:c r="F572" s="2" t="str">
        <x:f>_xlfn.IFNA(VLOOKUP(D572,'Products'!$A$7:$I$22,3,FALSE),"Unmapped")</x:f>
        <x:v>Accessories</x:v>
      </x:c>
      <x:c r="G572" s="2" t="n">
        <x:v>2</x:v>
      </x:c>
      <x:c r="H572" s="2" t="n">
        <x:v>0</x:v>
      </x:c>
      <x:c r="I572" s="10" t="n">
        <x:v>19.95</x:v>
      </x:c>
      <x:c r="J572" s="10" t="n">
        <x:v>0</x:v>
      </x:c>
      <x:c r="K572" s="10" t="n">
        <x:v>6</x:v>
      </x:c>
      <x:c r="L572" s="10" t="n">
        <x:f>G572*I572</x:f>
        <x:v>39.9</x:v>
      </x:c>
      <x:c r="M572" s="10" t="n">
        <x:f>ROUND((L572-J572)*H572/G572,2)</x:f>
        <x:v>0</x:v>
      </x:c>
      <x:c r="N572" s="10" t="n">
        <x:f>L572-J572-M572</x:f>
        <x:v>39.9</x:v>
      </x:c>
      <x:c r="O572" s="10" t="n">
        <x:f>(G572-H572)*K572</x:f>
        <x:v>12</x:v>
      </x:c>
      <x:c r="P572" s="10" t="n">
        <x:f>N572-O572</x:f>
        <x:v>27.9</x:v>
      </x:c>
      <x:c r="Q572" s="9" t="n">
        <x:f>A572-WEEKDAY(A572,2)+1</x:f>
        <x:v>46279</x:v>
      </x:c>
      <x:c r="R572" s="2" t="str">
        <x:f>IF(AND(A572&gt;='Review'!$B$4,A572&lt;='Review'!$D$4),"Selected","Outside")</x:f>
        <x:v>Outside</x:v>
      </x:c>
    </x:row>
    <x:row r="573" ht="20" customHeight="1">
      <x:c r="A573" s="9" t="n">
        <x:v>46284</x:v>
      </x:c>
      <x:c r="B573" s="2" t="str">
        <x:v>MM-1414</x:v>
      </x:c>
      <x:c r="C573" s="2" t="str">
        <x:v>Direct</x:v>
      </x:c>
      <x:c r="D573" s="2" t="str">
        <x:v>MUG-001</x:v>
      </x:c>
      <x:c r="E573" s="2" t="str">
        <x:f>_xlfn.IFNA(VLOOKUP(D573,'Products'!$A$7:$I$22,2,FALSE),"Unmapped")</x:f>
        <x:v>Everyday ceramic mug</x:v>
      </x:c>
      <x:c r="F573" s="2" t="str">
        <x:f>_xlfn.IFNA(VLOOKUP(D573,'Products'!$A$7:$I$22,3,FALSE),"Unmapped")</x:f>
        <x:v>Drinkware</x:v>
      </x:c>
      <x:c r="G573" s="2" t="n">
        <x:v>1</x:v>
      </x:c>
      <x:c r="H573" s="2" t="n">
        <x:v>0</x:v>
      </x:c>
      <x:c r="I573" s="10" t="n">
        <x:v>18.95</x:v>
      </x:c>
      <x:c r="J573" s="10" t="n">
        <x:v>0</x:v>
      </x:c>
      <x:c r="K573" s="10" t="n">
        <x:v>6.5</x:v>
      </x:c>
      <x:c r="L573" s="10" t="n">
        <x:f>G573*I573</x:f>
        <x:v>18.95</x:v>
      </x:c>
      <x:c r="M573" s="10" t="n">
        <x:f>ROUND((L573-J573)*H573/G573,2)</x:f>
        <x:v>0</x:v>
      </x:c>
      <x:c r="N573" s="10" t="n">
        <x:f>L573-J573-M573</x:f>
        <x:v>18.95</x:v>
      </x:c>
      <x:c r="O573" s="10" t="n">
        <x:f>(G573-H573)*K573</x:f>
        <x:v>6.5</x:v>
      </x:c>
      <x:c r="P573" s="10" t="n">
        <x:f>N573-O573</x:f>
        <x:v>12.45</x:v>
      </x:c>
      <x:c r="Q573" s="9" t="n">
        <x:f>A573-WEEKDAY(A573,2)+1</x:f>
        <x:v>46279</x:v>
      </x:c>
      <x:c r="R573" s="2" t="str">
        <x:f>IF(AND(A573&gt;='Review'!$B$4,A573&lt;='Review'!$D$4),"Selected","Outside")</x:f>
        <x:v>Outside</x:v>
      </x:c>
    </x:row>
    <x:row r="574" ht="20" customHeight="1">
      <x:c r="A574" s="9" t="n">
        <x:v>46284</x:v>
      </x:c>
      <x:c r="B574" s="2" t="str">
        <x:v>MM-1414</x:v>
      </x:c>
      <x:c r="C574" s="2" t="str">
        <x:v>Direct</x:v>
      </x:c>
      <x:c r="D574" s="2" t="str">
        <x:v>PIN-001</x:v>
      </x:c>
      <x:c r="E574" s="2" t="str">
        <x:f>_xlfn.IFNA(VLOOKUP(D574,'Products'!$A$7:$I$22,2,FALSE),"Unmapped")</x:f>
        <x:v>Coffee enamel pin</x:v>
      </x:c>
      <x:c r="F574" s="2" t="str">
        <x:f>_xlfn.IFNA(VLOOKUP(D574,'Products'!$A$7:$I$22,3,FALSE),"Unmapped")</x:f>
        <x:v>Accessories</x:v>
      </x:c>
      <x:c r="G574" s="2" t="n">
        <x:v>1</x:v>
      </x:c>
      <x:c r="H574" s="2" t="n">
        <x:v>0</x:v>
      </x:c>
      <x:c r="I574" s="10" t="n">
        <x:v>9.95</x:v>
      </x:c>
      <x:c r="J574" s="10" t="n">
        <x:v>0</x:v>
      </x:c>
      <x:c r="K574" s="10" t="n">
        <x:v>2.5</x:v>
      </x:c>
      <x:c r="L574" s="10" t="n">
        <x:f>G574*I574</x:f>
        <x:v>9.95</x:v>
      </x:c>
      <x:c r="M574" s="10" t="n">
        <x:f>ROUND((L574-J574)*H574/G574,2)</x:f>
        <x:v>0</x:v>
      </x:c>
      <x:c r="N574" s="10" t="n">
        <x:f>L574-J574-M574</x:f>
        <x:v>9.95</x:v>
      </x:c>
      <x:c r="O574" s="10" t="n">
        <x:f>(G574-H574)*K574</x:f>
        <x:v>2.5</x:v>
      </x:c>
      <x:c r="P574" s="10" t="n">
        <x:f>N574-O574</x:f>
        <x:v>7.449999999999999</x:v>
      </x:c>
      <x:c r="Q574" s="9" t="n">
        <x:f>A574-WEEKDAY(A574,2)+1</x:f>
        <x:v>46279</x:v>
      </x:c>
      <x:c r="R574" s="2" t="str">
        <x:f>IF(AND(A574&gt;='Review'!$B$4,A574&lt;='Review'!$D$4),"Selected","Outside")</x:f>
        <x:v>Outside</x:v>
      </x:c>
    </x:row>
    <x:row r="575" ht="20" customHeight="1">
      <x:c r="A575" s="9" t="n">
        <x:v>46284</x:v>
      </x:c>
      <x:c r="B575" s="2" t="str">
        <x:v>MM-1414</x:v>
      </x:c>
      <x:c r="C575" s="2" t="str">
        <x:v>Direct</x:v>
      </x:c>
      <x:c r="D575" s="2" t="str">
        <x:v>GFT-001</x:v>
      </x:c>
      <x:c r="E575" s="2" t="str">
        <x:f>_xlfn.IFNA(VLOOKUP(D575,'Products'!$A$7:$I$22,2,FALSE),"Unmapped")</x:f>
        <x:v>Morning ritual gift set</x:v>
      </x:c>
      <x:c r="F575" s="2" t="str">
        <x:f>_xlfn.IFNA(VLOOKUP(D575,'Products'!$A$7:$I$22,3,FALSE),"Unmapped")</x:f>
        <x:v>Gifts</x:v>
      </x:c>
      <x:c r="G575" s="2" t="n">
        <x:v>1</x:v>
      </x:c>
      <x:c r="H575" s="2" t="n">
        <x:v>0</x:v>
      </x:c>
      <x:c r="I575" s="10" t="n">
        <x:v>59.95</x:v>
      </x:c>
      <x:c r="J575" s="10" t="n">
        <x:v>0</x:v>
      </x:c>
      <x:c r="K575" s="10" t="n">
        <x:v>24</x:v>
      </x:c>
      <x:c r="L575" s="10" t="n">
        <x:f>G575*I575</x:f>
        <x:v>59.95</x:v>
      </x:c>
      <x:c r="M575" s="10" t="n">
        <x:f>ROUND((L575-J575)*H575/G575,2)</x:f>
        <x:v>0</x:v>
      </x:c>
      <x:c r="N575" s="10" t="n">
        <x:f>L575-J575-M575</x:f>
        <x:v>59.95</x:v>
      </x:c>
      <x:c r="O575" s="10" t="n">
        <x:f>(G575-H575)*K575</x:f>
        <x:v>24</x:v>
      </x:c>
      <x:c r="P575" s="10" t="n">
        <x:f>N575-O575</x:f>
        <x:v>35.95</x:v>
      </x:c>
      <x:c r="Q575" s="9" t="n">
        <x:f>A575-WEEKDAY(A575,2)+1</x:f>
        <x:v>46279</x:v>
      </x:c>
      <x:c r="R575" s="2" t="str">
        <x:f>IF(AND(A575&gt;='Review'!$B$4,A575&lt;='Review'!$D$4),"Selected","Outside")</x:f>
        <x:v>Outside</x:v>
      </x:c>
    </x:row>
    <x:row r="576" ht="20" customHeight="1">
      <x:c r="A576" s="9" t="n">
        <x:v>46285</x:v>
      </x:c>
      <x:c r="B576" s="2" t="str">
        <x:v>MM-1424</x:v>
      </x:c>
      <x:c r="C576" s="2" t="str">
        <x:v>Organic Search</x:v>
      </x:c>
      <x:c r="D576" s="2" t="str">
        <x:v>PIN-001</x:v>
      </x:c>
      <x:c r="E576" s="2" t="str">
        <x:f>_xlfn.IFNA(VLOOKUP(D576,'Products'!$A$7:$I$22,2,FALSE),"Unmapped")</x:f>
        <x:v>Coffee enamel pin</x:v>
      </x:c>
      <x:c r="F576" s="2" t="str">
        <x:f>_xlfn.IFNA(VLOOKUP(D576,'Products'!$A$7:$I$22,3,FALSE),"Unmapped")</x:f>
        <x:v>Accessories</x:v>
      </x:c>
      <x:c r="G576" s="2" t="n">
        <x:v>1</x:v>
      </x:c>
      <x:c r="H576" s="2" t="n">
        <x:v>0</x:v>
      </x:c>
      <x:c r="I576" s="10" t="n">
        <x:v>9.95</x:v>
      </x:c>
      <x:c r="J576" s="10" t="n">
        <x:v>0</x:v>
      </x:c>
      <x:c r="K576" s="10" t="n">
        <x:v>2.5</x:v>
      </x:c>
      <x:c r="L576" s="10" t="n">
        <x:f>G576*I576</x:f>
        <x:v>9.95</x:v>
      </x:c>
      <x:c r="M576" s="10" t="n">
        <x:f>ROUND((L576-J576)*H576/G576,2)</x:f>
        <x:v>0</x:v>
      </x:c>
      <x:c r="N576" s="10" t="n">
        <x:f>L576-J576-M576</x:f>
        <x:v>9.95</x:v>
      </x:c>
      <x:c r="O576" s="10" t="n">
        <x:f>(G576-H576)*K576</x:f>
        <x:v>2.5</x:v>
      </x:c>
      <x:c r="P576" s="10" t="n">
        <x:f>N576-O576</x:f>
        <x:v>7.449999999999999</x:v>
      </x:c>
      <x:c r="Q576" s="9" t="n">
        <x:f>A576-WEEKDAY(A576,2)+1</x:f>
        <x:v>46279</x:v>
      </x:c>
      <x:c r="R576" s="2" t="str">
        <x:f>IF(AND(A576&gt;='Review'!$B$4,A576&lt;='Review'!$D$4),"Selected","Outside")</x:f>
        <x:v>Outside</x:v>
      </x:c>
    </x:row>
    <x:row r="577" ht="20" customHeight="1">
      <x:c r="A577" s="9" t="n">
        <x:v>46285</x:v>
      </x:c>
      <x:c r="B577" s="2" t="str">
        <x:v>MM-1427</x:v>
      </x:c>
      <x:c r="C577" s="2" t="str">
        <x:v>Paid Social</x:v>
      </x:c>
      <x:c r="D577" s="2" t="str">
        <x:v>MUG-002</x:v>
      </x:c>
      <x:c r="E577" s="2" t="str">
        <x:f>_xlfn.IFNA(VLOOKUP(D577,'Products'!$A$7:$I$22,2,FALSE),"Unmapped")</x:f>
        <x:v>Campfire enamel mug</x:v>
      </x:c>
      <x:c r="F577" s="2" t="str">
        <x:f>_xlfn.IFNA(VLOOKUP(D577,'Products'!$A$7:$I$22,3,FALSE),"Unmapped")</x:f>
        <x:v>Drinkware</x:v>
      </x:c>
      <x:c r="G577" s="2" t="n">
        <x:v>1</x:v>
      </x:c>
      <x:c r="H577" s="2" t="n">
        <x:v>1</x:v>
      </x:c>
      <x:c r="I577" s="10" t="n">
        <x:v>22.95</x:v>
      </x:c>
      <x:c r="J577" s="10" t="n">
        <x:v>0</x:v>
      </x:c>
      <x:c r="K577" s="10" t="n">
        <x:v>8.5</x:v>
      </x:c>
      <x:c r="L577" s="10" t="n">
        <x:f>G577*I577</x:f>
        <x:v>22.95</x:v>
      </x:c>
      <x:c r="M577" s="10" t="n">
        <x:f>ROUND((L577-J577)*H577/G577,2)</x:f>
        <x:v>22.95</x:v>
      </x:c>
      <x:c r="N577" s="10" t="n">
        <x:f>L577-J577-M577</x:f>
        <x:v>0</x:v>
      </x:c>
      <x:c r="O577" s="10" t="n">
        <x:f>(G577-H577)*K577</x:f>
        <x:v>0</x:v>
      </x:c>
      <x:c r="P577" s="10" t="n">
        <x:f>N577-O577</x:f>
        <x:v>0</x:v>
      </x:c>
      <x:c r="Q577" s="9" t="n">
        <x:f>A577-WEEKDAY(A577,2)+1</x:f>
        <x:v>46279</x:v>
      </x:c>
      <x:c r="R577" s="2" t="str">
        <x:f>IF(AND(A577&gt;='Review'!$B$4,A577&lt;='Review'!$D$4),"Selected","Outside")</x:f>
        <x:v>Outside</x:v>
      </x:c>
    </x:row>
    <x:row r="578" ht="20" customHeight="1">
      <x:c r="A578" s="9" t="n">
        <x:v>46285</x:v>
      </x:c>
      <x:c r="B578" s="2" t="str">
        <x:v>MM-1422</x:v>
      </x:c>
      <x:c r="C578" s="2" t="str">
        <x:v>Organic Search</x:v>
      </x:c>
      <x:c r="D578" s="2" t="str">
        <x:v>BOT-001</x:v>
      </x:c>
      <x:c r="E578" s="2" t="str">
        <x:f>_xlfn.IFNA(VLOOKUP(D578,'Products'!$A$7:$I$22,2,FALSE),"Unmapped")</x:f>
        <x:v>Trail water bottle</x:v>
      </x:c>
      <x:c r="F578" s="2" t="str">
        <x:f>_xlfn.IFNA(VLOOKUP(D578,'Products'!$A$7:$I$22,3,FALSE),"Unmapped")</x:f>
        <x:v>Drinkware</x:v>
      </x:c>
      <x:c r="G578" s="2" t="n">
        <x:v>1</x:v>
      </x:c>
      <x:c r="H578" s="2" t="n">
        <x:v>0</x:v>
      </x:c>
      <x:c r="I578" s="10" t="n">
        <x:v>34.95</x:v>
      </x:c>
      <x:c r="J578" s="10" t="n">
        <x:v>0</x:v>
      </x:c>
      <x:c r="K578" s="10" t="n">
        <x:v>13.5</x:v>
      </x:c>
      <x:c r="L578" s="10" t="n">
        <x:f>G578*I578</x:f>
        <x:v>34.95</x:v>
      </x:c>
      <x:c r="M578" s="10" t="n">
        <x:f>ROUND((L578-J578)*H578/G578,2)</x:f>
        <x:v>0</x:v>
      </x:c>
      <x:c r="N578" s="10" t="n">
        <x:f>L578-J578-M578</x:f>
        <x:v>34.95</x:v>
      </x:c>
      <x:c r="O578" s="10" t="n">
        <x:f>(G578-H578)*K578</x:f>
        <x:v>13.5</x:v>
      </x:c>
      <x:c r="P578" s="10" t="n">
        <x:f>N578-O578</x:f>
        <x:v>21.450000000000003</x:v>
      </x:c>
      <x:c r="Q578" s="9" t="n">
        <x:f>A578-WEEKDAY(A578,2)+1</x:f>
        <x:v>46279</x:v>
      </x:c>
      <x:c r="R578" s="2" t="str">
        <x:f>IF(AND(A578&gt;='Review'!$B$4,A578&lt;='Review'!$D$4),"Selected","Outside")</x:f>
        <x:v>Outside</x:v>
      </x:c>
    </x:row>
    <x:row r="579" ht="20" customHeight="1">
      <x:c r="A579" s="9" t="n">
        <x:v>46285</x:v>
      </x:c>
      <x:c r="B579" s="2" t="str">
        <x:v>MM-1429</x:v>
      </x:c>
      <x:c r="C579" s="2" t="str">
        <x:v>Paid Social</x:v>
      </x:c>
      <x:c r="D579" s="2" t="str">
        <x:v>BOT-001</x:v>
      </x:c>
      <x:c r="E579" s="2" t="str">
        <x:f>_xlfn.IFNA(VLOOKUP(D579,'Products'!$A$7:$I$22,2,FALSE),"Unmapped")</x:f>
        <x:v>Trail water bottle</x:v>
      </x:c>
      <x:c r="F579" s="2" t="str">
        <x:f>_xlfn.IFNA(VLOOKUP(D579,'Products'!$A$7:$I$22,3,FALSE),"Unmapped")</x:f>
        <x:v>Drinkware</x:v>
      </x:c>
      <x:c r="G579" s="2" t="n">
        <x:v>1</x:v>
      </x:c>
      <x:c r="H579" s="2" t="n">
        <x:v>0</x:v>
      </x:c>
      <x:c r="I579" s="10" t="n">
        <x:v>34.95</x:v>
      </x:c>
      <x:c r="J579" s="10" t="n">
        <x:v>3.49</x:v>
      </x:c>
      <x:c r="K579" s="10" t="n">
        <x:v>13.5</x:v>
      </x:c>
      <x:c r="L579" s="10" t="n">
        <x:f>G579*I579</x:f>
        <x:v>34.95</x:v>
      </x:c>
      <x:c r="M579" s="10" t="n">
        <x:f>ROUND((L579-J579)*H579/G579,2)</x:f>
        <x:v>0</x:v>
      </x:c>
      <x:c r="N579" s="10" t="n">
        <x:f>L579-J579-M579</x:f>
        <x:v>31.46</x:v>
      </x:c>
      <x:c r="O579" s="10" t="n">
        <x:f>(G579-H579)*K579</x:f>
        <x:v>13.5</x:v>
      </x:c>
      <x:c r="P579" s="10" t="n">
        <x:f>N579-O579</x:f>
        <x:v>17.96</x:v>
      </x:c>
      <x:c r="Q579" s="9" t="n">
        <x:f>A579-WEEKDAY(A579,2)+1</x:f>
        <x:v>46279</x:v>
      </x:c>
      <x:c r="R579" s="2" t="str">
        <x:f>IF(AND(A579&gt;='Review'!$B$4,A579&lt;='Review'!$D$4),"Selected","Outside")</x:f>
        <x:v>Outside</x:v>
      </x:c>
    </x:row>
    <x:row r="580" ht="20" customHeight="1">
      <x:c r="A580" s="9" t="n">
        <x:v>46285</x:v>
      </x:c>
      <x:c r="B580" s="2" t="str">
        <x:v>MM-1421</x:v>
      </x:c>
      <x:c r="C580" s="2" t="str">
        <x:v>Email</x:v>
      </x:c>
      <x:c r="D580" s="2" t="str">
        <x:v>PIN-001</x:v>
      </x:c>
      <x:c r="E580" s="2" t="str">
        <x:f>_xlfn.IFNA(VLOOKUP(D580,'Products'!$A$7:$I$22,2,FALSE),"Unmapped")</x:f>
        <x:v>Coffee enamel pin</x:v>
      </x:c>
      <x:c r="F580" s="2" t="str">
        <x:f>_xlfn.IFNA(VLOOKUP(D580,'Products'!$A$7:$I$22,3,FALSE),"Unmapped")</x:f>
        <x:v>Accessories</x:v>
      </x:c>
      <x:c r="G580" s="2" t="n">
        <x:v>3</x:v>
      </x:c>
      <x:c r="H580" s="2" t="n">
        <x:v>0</x:v>
      </x:c>
      <x:c r="I580" s="10" t="n">
        <x:v>9.95</x:v>
      </x:c>
      <x:c r="J580" s="10" t="n">
        <x:v>2.98</x:v>
      </x:c>
      <x:c r="K580" s="10" t="n">
        <x:v>2.5</x:v>
      </x:c>
      <x:c r="L580" s="10" t="n">
        <x:f>G580*I580</x:f>
        <x:v>29.849999999999998</x:v>
      </x:c>
      <x:c r="M580" s="10" t="n">
        <x:f>ROUND((L580-J580)*H580/G580,2)</x:f>
        <x:v>0</x:v>
      </x:c>
      <x:c r="N580" s="10" t="n">
        <x:f>L580-J580-M580</x:f>
        <x:v>26.869999999999997</x:v>
      </x:c>
      <x:c r="O580" s="10" t="n">
        <x:f>(G580-H580)*K580</x:f>
        <x:v>7.5</x:v>
      </x:c>
      <x:c r="P580" s="10" t="n">
        <x:f>N580-O580</x:f>
        <x:v>19.369999999999997</x:v>
      </x:c>
      <x:c r="Q580" s="9" t="n">
        <x:f>A580-WEEKDAY(A580,2)+1</x:f>
        <x:v>46279</x:v>
      </x:c>
      <x:c r="R580" s="2" t="str">
        <x:f>IF(AND(A580&gt;='Review'!$B$4,A580&lt;='Review'!$D$4),"Selected","Outside")</x:f>
        <x:v>Outside</x:v>
      </x:c>
    </x:row>
    <x:row r="581" ht="20" customHeight="1">
      <x:c r="A581" s="9" t="n">
        <x:v>46285</x:v>
      </x:c>
      <x:c r="B581" s="2" t="str">
        <x:v>MM-1421</x:v>
      </x:c>
      <x:c r="C581" s="2" t="str">
        <x:v>Email</x:v>
      </x:c>
      <x:c r="D581" s="2" t="str">
        <x:v>GFT-001</x:v>
      </x:c>
      <x:c r="E581" s="2" t="str">
        <x:f>_xlfn.IFNA(VLOOKUP(D581,'Products'!$A$7:$I$22,2,FALSE),"Unmapped")</x:f>
        <x:v>Morning ritual gift set</x:v>
      </x:c>
      <x:c r="F581" s="2" t="str">
        <x:f>_xlfn.IFNA(VLOOKUP(D581,'Products'!$A$7:$I$22,3,FALSE),"Unmapped")</x:f>
        <x:v>Gifts</x:v>
      </x:c>
      <x:c r="G581" s="2" t="n">
        <x:v>1</x:v>
      </x:c>
      <x:c r="H581" s="2" t="n">
        <x:v>0</x:v>
      </x:c>
      <x:c r="I581" s="10" t="n">
        <x:v>59.95</x:v>
      </x:c>
      <x:c r="J581" s="10" t="n">
        <x:v>5.99</x:v>
      </x:c>
      <x:c r="K581" s="10" t="n">
        <x:v>24</x:v>
      </x:c>
      <x:c r="L581" s="10" t="n">
        <x:f>G581*I581</x:f>
        <x:v>59.95</x:v>
      </x:c>
      <x:c r="M581" s="10" t="n">
        <x:f>ROUND((L581-J581)*H581/G581,2)</x:f>
        <x:v>0</x:v>
      </x:c>
      <x:c r="N581" s="10" t="n">
        <x:f>L581-J581-M581</x:f>
        <x:v>53.96</x:v>
      </x:c>
      <x:c r="O581" s="10" t="n">
        <x:f>(G581-H581)*K581</x:f>
        <x:v>24</x:v>
      </x:c>
      <x:c r="P581" s="10" t="n">
        <x:f>N581-O581</x:f>
        <x:v>29.96</x:v>
      </x:c>
      <x:c r="Q581" s="9" t="n">
        <x:f>A581-WEEKDAY(A581,2)+1</x:f>
        <x:v>46279</x:v>
      </x:c>
      <x:c r="R581" s="2" t="str">
        <x:f>IF(AND(A581&gt;='Review'!$B$4,A581&lt;='Review'!$D$4),"Selected","Outside")</x:f>
        <x:v>Outside</x:v>
      </x:c>
    </x:row>
    <x:row r="582" ht="20" customHeight="1">
      <x:c r="A582" s="9" t="n">
        <x:v>46285</x:v>
      </x:c>
      <x:c r="B582" s="2" t="str">
        <x:v>MM-1421</x:v>
      </x:c>
      <x:c r="C582" s="2" t="str">
        <x:v>Email</x:v>
      </x:c>
      <x:c r="D582" s="2" t="str">
        <x:v>GFT-002</x:v>
      </x:c>
      <x:c r="E582" s="2" t="str">
        <x:f>_xlfn.IFNA(VLOOKUP(D582,'Products'!$A$7:$I$22,2,FALSE),"Unmapped")</x:f>
        <x:v>Cozy weekend gift box</x:v>
      </x:c>
      <x:c r="F582" s="2" t="str">
        <x:f>_xlfn.IFNA(VLOOKUP(D582,'Products'!$A$7:$I$22,3,FALSE),"Unmapped")</x:f>
        <x:v>Gifts</x:v>
      </x:c>
      <x:c r="G582" s="2" t="n">
        <x:v>1</x:v>
      </x:c>
      <x:c r="H582" s="2" t="n">
        <x:v>0</x:v>
      </x:c>
      <x:c r="I582" s="10" t="n">
        <x:v>79.95</x:v>
      </x:c>
      <x:c r="J582" s="10" t="n">
        <x:v>7.99</x:v>
      </x:c>
      <x:c r="K582" s="10" t="n">
        <x:v>32</x:v>
      </x:c>
      <x:c r="L582" s="10" t="n">
        <x:f>G582*I582</x:f>
        <x:v>79.95</x:v>
      </x:c>
      <x:c r="M582" s="10" t="n">
        <x:f>ROUND((L582-J582)*H582/G582,2)</x:f>
        <x:v>0</x:v>
      </x:c>
      <x:c r="N582" s="10" t="n">
        <x:f>L582-J582-M582</x:f>
        <x:v>71.96000000000001</x:v>
      </x:c>
      <x:c r="O582" s="10" t="n">
        <x:f>(G582-H582)*K582</x:f>
        <x:v>32</x:v>
      </x:c>
      <x:c r="P582" s="10" t="n">
        <x:f>N582-O582</x:f>
        <x:v>39.96000000000001</x:v>
      </x:c>
      <x:c r="Q582" s="9" t="n">
        <x:f>A582-WEEKDAY(A582,2)+1</x:f>
        <x:v>46279</x:v>
      </x:c>
      <x:c r="R582" s="2" t="str">
        <x:f>IF(AND(A582&gt;='Review'!$B$4,A582&lt;='Review'!$D$4),"Selected","Outside")</x:f>
        <x:v>Outside</x:v>
      </x:c>
    </x:row>
    <x:row r="583" ht="20" customHeight="1">
      <x:c r="A583" s="9" t="n">
        <x:v>46285</x:v>
      </x:c>
      <x:c r="B583" s="2" t="str">
        <x:v>MM-1425</x:v>
      </x:c>
      <x:c r="C583" s="2" t="str">
        <x:v>Paid Social</x:v>
      </x:c>
      <x:c r="D583" s="2" t="str">
        <x:v>PIN-001</x:v>
      </x:c>
      <x:c r="E583" s="2" t="str">
        <x:f>_xlfn.IFNA(VLOOKUP(D583,'Products'!$A$7:$I$22,2,FALSE),"Unmapped")</x:f>
        <x:v>Coffee enamel pin</x:v>
      </x:c>
      <x:c r="F583" s="2" t="str">
        <x:f>_xlfn.IFNA(VLOOKUP(D583,'Products'!$A$7:$I$22,3,FALSE),"Unmapped")</x:f>
        <x:v>Accessories</x:v>
      </x:c>
      <x:c r="G583" s="2" t="n">
        <x:v>1</x:v>
      </x:c>
      <x:c r="H583" s="2" t="n">
        <x:v>0</x:v>
      </x:c>
      <x:c r="I583" s="10" t="n">
        <x:v>9.95</x:v>
      </x:c>
      <x:c r="J583" s="10" t="n">
        <x:v>0</x:v>
      </x:c>
      <x:c r="K583" s="10" t="n">
        <x:v>2.5</x:v>
      </x:c>
      <x:c r="L583" s="10" t="n">
        <x:f>G583*I583</x:f>
        <x:v>9.95</x:v>
      </x:c>
      <x:c r="M583" s="10" t="n">
        <x:f>ROUND((L583-J583)*H583/G583,2)</x:f>
        <x:v>0</x:v>
      </x:c>
      <x:c r="N583" s="10" t="n">
        <x:f>L583-J583-M583</x:f>
        <x:v>9.95</x:v>
      </x:c>
      <x:c r="O583" s="10" t="n">
        <x:f>(G583-H583)*K583</x:f>
        <x:v>2.5</x:v>
      </x:c>
      <x:c r="P583" s="10" t="n">
        <x:f>N583-O583</x:f>
        <x:v>7.449999999999999</x:v>
      </x:c>
      <x:c r="Q583" s="9" t="n">
        <x:f>A583-WEEKDAY(A583,2)+1</x:f>
        <x:v>46279</x:v>
      </x:c>
      <x:c r="R583" s="2" t="str">
        <x:f>IF(AND(A583&gt;='Review'!$B$4,A583&lt;='Review'!$D$4),"Selected","Outside")</x:f>
        <x:v>Outside</x:v>
      </x:c>
    </x:row>
    <x:row r="584" ht="20" customHeight="1">
      <x:c r="A584" s="9" t="n">
        <x:v>46285</x:v>
      </x:c>
      <x:c r="B584" s="2" t="str">
        <x:v>MM-1430</x:v>
      </x:c>
      <x:c r="C584" s="2" t="str">
        <x:v>Email</x:v>
      </x:c>
      <x:c r="D584" s="2" t="str">
        <x:v>GFT-002</x:v>
      </x:c>
      <x:c r="E584" s="2" t="str">
        <x:f>_xlfn.IFNA(VLOOKUP(D584,'Products'!$A$7:$I$22,2,FALSE),"Unmapped")</x:f>
        <x:v>Cozy weekend gift box</x:v>
      </x:c>
      <x:c r="F584" s="2" t="str">
        <x:f>_xlfn.IFNA(VLOOKUP(D584,'Products'!$A$7:$I$22,3,FALSE),"Unmapped")</x:f>
        <x:v>Gifts</x:v>
      </x:c>
      <x:c r="G584" s="2" t="n">
        <x:v>3</x:v>
      </x:c>
      <x:c r="H584" s="2" t="n">
        <x:v>0</x:v>
      </x:c>
      <x:c r="I584" s="10" t="n">
        <x:v>79.95</x:v>
      </x:c>
      <x:c r="J584" s="10" t="n">
        <x:v>23.98</x:v>
      </x:c>
      <x:c r="K584" s="10" t="n">
        <x:v>32</x:v>
      </x:c>
      <x:c r="L584" s="10" t="n">
        <x:f>G584*I584</x:f>
        <x:v>239.85000000000002</x:v>
      </x:c>
      <x:c r="M584" s="10" t="n">
        <x:f>ROUND((L584-J584)*H584/G584,2)</x:f>
        <x:v>0</x:v>
      </x:c>
      <x:c r="N584" s="10" t="n">
        <x:f>L584-J584-M584</x:f>
        <x:v>215.87000000000003</x:v>
      </x:c>
      <x:c r="O584" s="10" t="n">
        <x:f>(G584-H584)*K584</x:f>
        <x:v>96</x:v>
      </x:c>
      <x:c r="P584" s="10" t="n">
        <x:f>N584-O584</x:f>
        <x:v>119.87000000000003</x:v>
      </x:c>
      <x:c r="Q584" s="9" t="n">
        <x:f>A584-WEEKDAY(A584,2)+1</x:f>
        <x:v>46279</x:v>
      </x:c>
      <x:c r="R584" s="2" t="str">
        <x:f>IF(AND(A584&gt;='Review'!$B$4,A584&lt;='Review'!$D$4),"Selected","Outside")</x:f>
        <x:v>Outside</x:v>
      </x:c>
    </x:row>
    <x:row r="585" ht="20" customHeight="1">
      <x:c r="A585" s="9" t="n">
        <x:v>46285</x:v>
      </x:c>
      <x:c r="B585" s="2" t="str">
        <x:v>MM-1430</x:v>
      </x:c>
      <x:c r="C585" s="2" t="str">
        <x:v>Email</x:v>
      </x:c>
      <x:c r="D585" s="2" t="str">
        <x:v>TUM-001</x:v>
      </x:c>
      <x:c r="E585" s="2" t="str">
        <x:f>_xlfn.IFNA(VLOOKUP(D585,'Products'!$A$7:$I$22,2,FALSE),"Unmapped")</x:f>
        <x:v>Maple travel tumbler</x:v>
      </x:c>
      <x:c r="F585" s="2" t="str">
        <x:f>_xlfn.IFNA(VLOOKUP(D585,'Products'!$A$7:$I$22,3,FALSE),"Unmapped")</x:f>
        <x:v>Drinkware</x:v>
      </x:c>
      <x:c r="G585" s="2" t="n">
        <x:v>1</x:v>
      </x:c>
      <x:c r="H585" s="2" t="n">
        <x:v>0</x:v>
      </x:c>
      <x:c r="I585" s="10" t="n">
        <x:v>32.95</x:v>
      </x:c>
      <x:c r="J585" s="10" t="n">
        <x:v>3.29</x:v>
      </x:c>
      <x:c r="K585" s="10" t="n">
        <x:v>12</x:v>
      </x:c>
      <x:c r="L585" s="10" t="n">
        <x:f>G585*I585</x:f>
        <x:v>32.95</x:v>
      </x:c>
      <x:c r="M585" s="10" t="n">
        <x:f>ROUND((L585-J585)*H585/G585,2)</x:f>
        <x:v>0</x:v>
      </x:c>
      <x:c r="N585" s="10" t="n">
        <x:f>L585-J585-M585</x:f>
        <x:v>29.660000000000004</x:v>
      </x:c>
      <x:c r="O585" s="10" t="n">
        <x:f>(G585-H585)*K585</x:f>
        <x:v>12</x:v>
      </x:c>
      <x:c r="P585" s="10" t="n">
        <x:f>N585-O585</x:f>
        <x:v>17.660000000000004</x:v>
      </x:c>
      <x:c r="Q585" s="9" t="n">
        <x:f>A585-WEEKDAY(A585,2)+1</x:f>
        <x:v>46279</x:v>
      </x:c>
      <x:c r="R585" s="2" t="str">
        <x:f>IF(AND(A585&gt;='Review'!$B$4,A585&lt;='Review'!$D$4),"Selected","Outside")</x:f>
        <x:v>Outside</x:v>
      </x:c>
    </x:row>
    <x:row r="586" ht="20" customHeight="1">
      <x:c r="A586" s="9" t="n">
        <x:v>46285</x:v>
      </x:c>
      <x:c r="B586" s="2" t="str">
        <x:v>MM-1430</x:v>
      </x:c>
      <x:c r="C586" s="2" t="str">
        <x:v>Email</x:v>
      </x:c>
      <x:c r="D586" s="2" t="str">
        <x:v>PIN-001</x:v>
      </x:c>
      <x:c r="E586" s="2" t="str">
        <x:f>_xlfn.IFNA(VLOOKUP(D586,'Products'!$A$7:$I$22,2,FALSE),"Unmapped")</x:f>
        <x:v>Coffee enamel pin</x:v>
      </x:c>
      <x:c r="F586" s="2" t="str">
        <x:f>_xlfn.IFNA(VLOOKUP(D586,'Products'!$A$7:$I$22,3,FALSE),"Unmapped")</x:f>
        <x:v>Accessories</x:v>
      </x:c>
      <x:c r="G586" s="2" t="n">
        <x:v>1</x:v>
      </x:c>
      <x:c r="H586" s="2" t="n">
        <x:v>0</x:v>
      </x:c>
      <x:c r="I586" s="10" t="n">
        <x:v>9.95</x:v>
      </x:c>
      <x:c r="J586" s="10" t="n">
        <x:v>0.99</x:v>
      </x:c>
      <x:c r="K586" s="10" t="n">
        <x:v>2.5</x:v>
      </x:c>
      <x:c r="L586" s="10" t="n">
        <x:f>G586*I586</x:f>
        <x:v>9.95</x:v>
      </x:c>
      <x:c r="M586" s="10" t="n">
        <x:f>ROUND((L586-J586)*H586/G586,2)</x:f>
        <x:v>0</x:v>
      </x:c>
      <x:c r="N586" s="10" t="n">
        <x:f>L586-J586-M586</x:f>
        <x:v>8.959999999999999</x:v>
      </x:c>
      <x:c r="O586" s="10" t="n">
        <x:f>(G586-H586)*K586</x:f>
        <x:v>2.5</x:v>
      </x:c>
      <x:c r="P586" s="10" t="n">
        <x:f>N586-O586</x:f>
        <x:v>6.459999999999999</x:v>
      </x:c>
      <x:c r="Q586" s="9" t="n">
        <x:f>A586-WEEKDAY(A586,2)+1</x:f>
        <x:v>46279</x:v>
      </x:c>
      <x:c r="R586" s="2" t="str">
        <x:f>IF(AND(A586&gt;='Review'!$B$4,A586&lt;='Review'!$D$4),"Selected","Outside")</x:f>
        <x:v>Outside</x:v>
      </x:c>
    </x:row>
    <x:row r="587" ht="20" customHeight="1">
      <x:c r="A587" s="9" t="n">
        <x:v>46285</x:v>
      </x:c>
      <x:c r="B587" s="2" t="str">
        <x:v>MM-1432</x:v>
      </x:c>
      <x:c r="C587" s="2" t="str">
        <x:v>Direct</x:v>
      </x:c>
      <x:c r="D587" s="2" t="str">
        <x:v>GFT-002</x:v>
      </x:c>
      <x:c r="E587" s="2" t="str">
        <x:f>_xlfn.IFNA(VLOOKUP(D587,'Products'!$A$7:$I$22,2,FALSE),"Unmapped")</x:f>
        <x:v>Cozy weekend gift box</x:v>
      </x:c>
      <x:c r="F587" s="2" t="str">
        <x:f>_xlfn.IFNA(VLOOKUP(D587,'Products'!$A$7:$I$22,3,FALSE),"Unmapped")</x:f>
        <x:v>Gifts</x:v>
      </x:c>
      <x:c r="G587" s="2" t="n">
        <x:v>3</x:v>
      </x:c>
      <x:c r="H587" s="2" t="n">
        <x:v>0</x:v>
      </x:c>
      <x:c r="I587" s="10" t="n">
        <x:v>79.95</x:v>
      </x:c>
      <x:c r="J587" s="10" t="n">
        <x:v>0</x:v>
      </x:c>
      <x:c r="K587" s="10" t="n">
        <x:v>32</x:v>
      </x:c>
      <x:c r="L587" s="10" t="n">
        <x:f>G587*I587</x:f>
        <x:v>239.85000000000002</x:v>
      </x:c>
      <x:c r="M587" s="10" t="n">
        <x:f>ROUND((L587-J587)*H587/G587,2)</x:f>
        <x:v>0</x:v>
      </x:c>
      <x:c r="N587" s="10" t="n">
        <x:f>L587-J587-M587</x:f>
        <x:v>239.85000000000002</x:v>
      </x:c>
      <x:c r="O587" s="10" t="n">
        <x:f>(G587-H587)*K587</x:f>
        <x:v>96</x:v>
      </x:c>
      <x:c r="P587" s="10" t="n">
        <x:f>N587-O587</x:f>
        <x:v>143.85000000000002</x:v>
      </x:c>
      <x:c r="Q587" s="9" t="n">
        <x:f>A587-WEEKDAY(A587,2)+1</x:f>
        <x:v>46279</x:v>
      </x:c>
      <x:c r="R587" s="2" t="str">
        <x:f>IF(AND(A587&gt;='Review'!$B$4,A587&lt;='Review'!$D$4),"Selected","Outside")</x:f>
        <x:v>Outside</x:v>
      </x:c>
    </x:row>
    <x:row r="588" ht="20" customHeight="1">
      <x:c r="A588" s="9" t="n">
        <x:v>46285</x:v>
      </x:c>
      <x:c r="B588" s="2" t="str">
        <x:v>MM-1432</x:v>
      </x:c>
      <x:c r="C588" s="2" t="str">
        <x:v>Direct</x:v>
      </x:c>
      <x:c r="D588" s="2" t="str">
        <x:v>MUG-002</x:v>
      </x:c>
      <x:c r="E588" s="2" t="str">
        <x:f>_xlfn.IFNA(VLOOKUP(D588,'Products'!$A$7:$I$22,2,FALSE),"Unmapped")</x:f>
        <x:v>Campfire enamel mug</x:v>
      </x:c>
      <x:c r="F588" s="2" t="str">
        <x:f>_xlfn.IFNA(VLOOKUP(D588,'Products'!$A$7:$I$22,3,FALSE),"Unmapped")</x:f>
        <x:v>Drinkware</x:v>
      </x:c>
      <x:c r="G588" s="2" t="n">
        <x:v>1</x:v>
      </x:c>
      <x:c r="H588" s="2" t="n">
        <x:v>0</x:v>
      </x:c>
      <x:c r="I588" s="10" t="n">
        <x:v>22.95</x:v>
      </x:c>
      <x:c r="J588" s="10" t="n">
        <x:v>0</x:v>
      </x:c>
      <x:c r="K588" s="10" t="n">
        <x:v>8.5</x:v>
      </x:c>
      <x:c r="L588" s="10" t="n">
        <x:f>G588*I588</x:f>
        <x:v>22.95</x:v>
      </x:c>
      <x:c r="M588" s="10" t="n">
        <x:f>ROUND((L588-J588)*H588/G588,2)</x:f>
        <x:v>0</x:v>
      </x:c>
      <x:c r="N588" s="10" t="n">
        <x:f>L588-J588-M588</x:f>
        <x:v>22.95</x:v>
      </x:c>
      <x:c r="O588" s="10" t="n">
        <x:f>(G588-H588)*K588</x:f>
        <x:v>8.5</x:v>
      </x:c>
      <x:c r="P588" s="10" t="n">
        <x:f>N588-O588</x:f>
        <x:v>14.45</x:v>
      </x:c>
      <x:c r="Q588" s="9" t="n">
        <x:f>A588-WEEKDAY(A588,2)+1</x:f>
        <x:v>46279</x:v>
      </x:c>
      <x:c r="R588" s="2" t="str">
        <x:f>IF(AND(A588&gt;='Review'!$B$4,A588&lt;='Review'!$D$4),"Selected","Outside")</x:f>
        <x:v>Outside</x:v>
      </x:c>
    </x:row>
    <x:row r="589" ht="20" customHeight="1">
      <x:c r="A589" s="9" t="n">
        <x:v>46285</x:v>
      </x:c>
      <x:c r="B589" s="2" t="str">
        <x:v>MM-1419</x:v>
      </x:c>
      <x:c r="C589" s="2" t="str">
        <x:v>Email</x:v>
      </x:c>
      <x:c r="D589" s="2" t="str">
        <x:v>MUG-001</x:v>
      </x:c>
      <x:c r="E589" s="2" t="str">
        <x:f>_xlfn.IFNA(VLOOKUP(D589,'Products'!$A$7:$I$22,2,FALSE),"Unmapped")</x:f>
        <x:v>Everyday ceramic mug</x:v>
      </x:c>
      <x:c r="F589" s="2" t="str">
        <x:f>_xlfn.IFNA(VLOOKUP(D589,'Products'!$A$7:$I$22,3,FALSE),"Unmapped")</x:f>
        <x:v>Drinkware</x:v>
      </x:c>
      <x:c r="G589" s="2" t="n">
        <x:v>1</x:v>
      </x:c>
      <x:c r="H589" s="2" t="n">
        <x:v>0</x:v>
      </x:c>
      <x:c r="I589" s="10" t="n">
        <x:v>18.95</x:v>
      </x:c>
      <x:c r="J589" s="10" t="n">
        <x:v>1.89</x:v>
      </x:c>
      <x:c r="K589" s="10" t="n">
        <x:v>6.5</x:v>
      </x:c>
      <x:c r="L589" s="10" t="n">
        <x:f>G589*I589</x:f>
        <x:v>18.95</x:v>
      </x:c>
      <x:c r="M589" s="10" t="n">
        <x:f>ROUND((L589-J589)*H589/G589,2)</x:f>
        <x:v>0</x:v>
      </x:c>
      <x:c r="N589" s="10" t="n">
        <x:f>L589-J589-M589</x:f>
        <x:v>17.06</x:v>
      </x:c>
      <x:c r="O589" s="10" t="n">
        <x:f>(G589-H589)*K589</x:f>
        <x:v>6.5</x:v>
      </x:c>
      <x:c r="P589" s="10" t="n">
        <x:f>N589-O589</x:f>
        <x:v>10.559999999999999</x:v>
      </x:c>
      <x:c r="Q589" s="9" t="n">
        <x:f>A589-WEEKDAY(A589,2)+1</x:f>
        <x:v>46279</x:v>
      </x:c>
      <x:c r="R589" s="2" t="str">
        <x:f>IF(AND(A589&gt;='Review'!$B$4,A589&lt;='Review'!$D$4),"Selected","Outside")</x:f>
        <x:v>Outside</x:v>
      </x:c>
    </x:row>
    <x:row r="590" ht="20" customHeight="1">
      <x:c r="A590" s="9" t="n">
        <x:v>46285</x:v>
      </x:c>
      <x:c r="B590" s="2" t="str">
        <x:v>MM-1431</x:v>
      </x:c>
      <x:c r="C590" s="2" t="str">
        <x:v>Paid Social</x:v>
      </x:c>
      <x:c r="D590" s="2" t="str">
        <x:v>PIN-001</x:v>
      </x:c>
      <x:c r="E590" s="2" t="str">
        <x:f>_xlfn.IFNA(VLOOKUP(D590,'Products'!$A$7:$I$22,2,FALSE),"Unmapped")</x:f>
        <x:v>Coffee enamel pin</x:v>
      </x:c>
      <x:c r="F590" s="2" t="str">
        <x:f>_xlfn.IFNA(VLOOKUP(D590,'Products'!$A$7:$I$22,3,FALSE),"Unmapped")</x:f>
        <x:v>Accessories</x:v>
      </x:c>
      <x:c r="G590" s="2" t="n">
        <x:v>1</x:v>
      </x:c>
      <x:c r="H590" s="2" t="n">
        <x:v>0</x:v>
      </x:c>
      <x:c r="I590" s="10" t="n">
        <x:v>9.95</x:v>
      </x:c>
      <x:c r="J590" s="10" t="n">
        <x:v>0.99</x:v>
      </x:c>
      <x:c r="K590" s="10" t="n">
        <x:v>2.5</x:v>
      </x:c>
      <x:c r="L590" s="10" t="n">
        <x:f>G590*I590</x:f>
        <x:v>9.95</x:v>
      </x:c>
      <x:c r="M590" s="10" t="n">
        <x:f>ROUND((L590-J590)*H590/G590,2)</x:f>
        <x:v>0</x:v>
      </x:c>
      <x:c r="N590" s="10" t="n">
        <x:f>L590-J590-M590</x:f>
        <x:v>8.959999999999999</x:v>
      </x:c>
      <x:c r="O590" s="10" t="n">
        <x:f>(G590-H590)*K590</x:f>
        <x:v>2.5</x:v>
      </x:c>
      <x:c r="P590" s="10" t="n">
        <x:f>N590-O590</x:f>
        <x:v>6.459999999999999</x:v>
      </x:c>
      <x:c r="Q590" s="9" t="n">
        <x:f>A590-WEEKDAY(A590,2)+1</x:f>
        <x:v>46279</x:v>
      </x:c>
      <x:c r="R590" s="2" t="str">
        <x:f>IF(AND(A590&gt;='Review'!$B$4,A590&lt;='Review'!$D$4),"Selected","Outside")</x:f>
        <x:v>Outside</x:v>
      </x:c>
    </x:row>
    <x:row r="591" ht="20" customHeight="1">
      <x:c r="A591" s="9" t="n">
        <x:v>46285</x:v>
      </x:c>
      <x:c r="B591" s="2" t="str">
        <x:v>MM-1435</x:v>
      </x:c>
      <x:c r="C591" s="2" t="str">
        <x:v>Paid Social</x:v>
      </x:c>
      <x:c r="D591" s="2" t="str">
        <x:v>APP-002</x:v>
      </x:c>
      <x:c r="E591" s="2" t="str">
        <x:f>_xlfn.IFNA(VLOOKUP(D591,'Products'!$A$7:$I$22,2,FALSE),"Unmapped")</x:f>
        <x:v>Weekend hoodie</x:v>
      </x:c>
      <x:c r="F591" s="2" t="str">
        <x:f>_xlfn.IFNA(VLOOKUP(D591,'Products'!$A$7:$I$22,3,FALSE),"Unmapped")</x:f>
        <x:v>Apparel</x:v>
      </x:c>
      <x:c r="G591" s="2" t="n">
        <x:v>1</x:v>
      </x:c>
      <x:c r="H591" s="2" t="n">
        <x:v>0</x:v>
      </x:c>
      <x:c r="I591" s="10" t="n">
        <x:v>69.95</x:v>
      </x:c>
      <x:c r="J591" s="10" t="n">
        <x:v>0</x:v>
      </x:c>
      <x:c r="K591" s="10" t="n">
        <x:v>28</x:v>
      </x:c>
      <x:c r="L591" s="10" t="n">
        <x:f>G591*I591</x:f>
        <x:v>69.95</x:v>
      </x:c>
      <x:c r="M591" s="10" t="n">
        <x:f>ROUND((L591-J591)*H591/G591,2)</x:f>
        <x:v>0</x:v>
      </x:c>
      <x:c r="N591" s="10" t="n">
        <x:f>L591-J591-M591</x:f>
        <x:v>69.95</x:v>
      </x:c>
      <x:c r="O591" s="10" t="n">
        <x:f>(G591-H591)*K591</x:f>
        <x:v>28</x:v>
      </x:c>
      <x:c r="P591" s="10" t="n">
        <x:f>N591-O591</x:f>
        <x:v>41.95</x:v>
      </x:c>
      <x:c r="Q591" s="9" t="n">
        <x:f>A591-WEEKDAY(A591,2)+1</x:f>
        <x:v>46279</x:v>
      </x:c>
      <x:c r="R591" s="2" t="str">
        <x:f>IF(AND(A591&gt;='Review'!$B$4,A591&lt;='Review'!$D$4),"Selected","Outside")</x:f>
        <x:v>Outside</x:v>
      </x:c>
    </x:row>
    <x:row r="592" ht="20" customHeight="1">
      <x:c r="A592" s="9" t="n">
        <x:v>46285</x:v>
      </x:c>
      <x:c r="B592" s="2" t="str">
        <x:v>MM-1433</x:v>
      </x:c>
      <x:c r="C592" s="2" t="str">
        <x:v>Email</x:v>
      </x:c>
      <x:c r="D592" s="2" t="str">
        <x:v>APP-002</x:v>
      </x:c>
      <x:c r="E592" s="2" t="str">
        <x:f>_xlfn.IFNA(VLOOKUP(D592,'Products'!$A$7:$I$22,2,FALSE),"Unmapped")</x:f>
        <x:v>Weekend hoodie</x:v>
      </x:c>
      <x:c r="F592" s="2" t="str">
        <x:f>_xlfn.IFNA(VLOOKUP(D592,'Products'!$A$7:$I$22,3,FALSE),"Unmapped")</x:f>
        <x:v>Apparel</x:v>
      </x:c>
      <x:c r="G592" s="2" t="n">
        <x:v>1</x:v>
      </x:c>
      <x:c r="H592" s="2" t="n">
        <x:v>0</x:v>
      </x:c>
      <x:c r="I592" s="10" t="n">
        <x:v>69.95</x:v>
      </x:c>
      <x:c r="J592" s="10" t="n">
        <x:v>6.99</x:v>
      </x:c>
      <x:c r="K592" s="10" t="n">
        <x:v>28</x:v>
      </x:c>
      <x:c r="L592" s="10" t="n">
        <x:f>G592*I592</x:f>
        <x:v>69.95</x:v>
      </x:c>
      <x:c r="M592" s="10" t="n">
        <x:f>ROUND((L592-J592)*H592/G592,2)</x:f>
        <x:v>0</x:v>
      </x:c>
      <x:c r="N592" s="10" t="n">
        <x:f>L592-J592-M592</x:f>
        <x:v>62.96</x:v>
      </x:c>
      <x:c r="O592" s="10" t="n">
        <x:f>(G592-H592)*K592</x:f>
        <x:v>28</x:v>
      </x:c>
      <x:c r="P592" s="10" t="n">
        <x:f>N592-O592</x:f>
        <x:v>34.96</x:v>
      </x:c>
      <x:c r="Q592" s="9" t="n">
        <x:f>A592-WEEKDAY(A592,2)+1</x:f>
        <x:v>46279</x:v>
      </x:c>
      <x:c r="R592" s="2" t="str">
        <x:f>IF(AND(A592&gt;='Review'!$B$4,A592&lt;='Review'!$D$4),"Selected","Outside")</x:f>
        <x:v>Outside</x:v>
      </x:c>
    </x:row>
    <x:row r="593" ht="20" customHeight="1">
      <x:c r="A593" s="9" t="n">
        <x:v>46285</x:v>
      </x:c>
      <x:c r="B593" s="2" t="str">
        <x:v>MM-1433</x:v>
      </x:c>
      <x:c r="C593" s="2" t="str">
        <x:v>Email</x:v>
      </x:c>
      <x:c r="D593" s="2" t="str">
        <x:v>GFT-002</x:v>
      </x:c>
      <x:c r="E593" s="2" t="str">
        <x:f>_xlfn.IFNA(VLOOKUP(D593,'Products'!$A$7:$I$22,2,FALSE),"Unmapped")</x:f>
        <x:v>Cozy weekend gift box</x:v>
      </x:c>
      <x:c r="F593" s="2" t="str">
        <x:f>_xlfn.IFNA(VLOOKUP(D593,'Products'!$A$7:$I$22,3,FALSE),"Unmapped")</x:f>
        <x:v>Gifts</x:v>
      </x:c>
      <x:c r="G593" s="2" t="n">
        <x:v>1</x:v>
      </x:c>
      <x:c r="H593" s="2" t="n">
        <x:v>0</x:v>
      </x:c>
      <x:c r="I593" s="10" t="n">
        <x:v>79.95</x:v>
      </x:c>
      <x:c r="J593" s="10" t="n">
        <x:v>7.99</x:v>
      </x:c>
      <x:c r="K593" s="10" t="n">
        <x:v>32</x:v>
      </x:c>
      <x:c r="L593" s="10" t="n">
        <x:f>G593*I593</x:f>
        <x:v>79.95</x:v>
      </x:c>
      <x:c r="M593" s="10" t="n">
        <x:f>ROUND((L593-J593)*H593/G593,2)</x:f>
        <x:v>0</x:v>
      </x:c>
      <x:c r="N593" s="10" t="n">
        <x:f>L593-J593-M593</x:f>
        <x:v>71.96000000000001</x:v>
      </x:c>
      <x:c r="O593" s="10" t="n">
        <x:f>(G593-H593)*K593</x:f>
        <x:v>32</x:v>
      </x:c>
      <x:c r="P593" s="10" t="n">
        <x:f>N593-O593</x:f>
        <x:v>39.96000000000001</x:v>
      </x:c>
      <x:c r="Q593" s="9" t="n">
        <x:f>A593-WEEKDAY(A593,2)+1</x:f>
        <x:v>46279</x:v>
      </x:c>
      <x:c r="R593" s="2" t="str">
        <x:f>IF(AND(A593&gt;='Review'!$B$4,A593&lt;='Review'!$D$4),"Selected","Outside")</x:f>
        <x:v>Outside</x:v>
      </x:c>
    </x:row>
    <x:row r="594" ht="20" customHeight="1">
      <x:c r="A594" s="9" t="n">
        <x:v>46285</x:v>
      </x:c>
      <x:c r="B594" s="2" t="str">
        <x:v>MM-1436</x:v>
      </x:c>
      <x:c r="C594" s="2" t="str">
        <x:v>Direct</x:v>
      </x:c>
      <x:c r="D594" s="2" t="str">
        <x:v>TUM-002</x:v>
      </x:c>
      <x:c r="E594" s="2" t="str">
        <x:f>_xlfn.IFNA(VLOOKUP(D594,'Products'!$A$7:$I$22,2,FALSE),"Unmapped")</x:f>
        <x:v>Cold brew glass cup</x:v>
      </x:c>
      <x:c r="F594" s="2" t="str">
        <x:f>_xlfn.IFNA(VLOOKUP(D594,'Products'!$A$7:$I$22,3,FALSE),"Unmapped")</x:f>
        <x:v>Drinkware</x:v>
      </x:c>
      <x:c r="G594" s="2" t="n">
        <x:v>2</x:v>
      </x:c>
      <x:c r="H594" s="2" t="n">
        <x:v>1</x:v>
      </x:c>
      <x:c r="I594" s="10" t="n">
        <x:v>24.95</x:v>
      </x:c>
      <x:c r="J594" s="10" t="n">
        <x:v>0</x:v>
      </x:c>
      <x:c r="K594" s="10" t="n">
        <x:v>9</x:v>
      </x:c>
      <x:c r="L594" s="10" t="n">
        <x:f>G594*I594</x:f>
        <x:v>49.9</x:v>
      </x:c>
      <x:c r="M594" s="10" t="n">
        <x:f>ROUND((L594-J594)*H594/G594,2)</x:f>
        <x:v>24.95</x:v>
      </x:c>
      <x:c r="N594" s="10" t="n">
        <x:f>L594-J594-M594</x:f>
        <x:v>24.95</x:v>
      </x:c>
      <x:c r="O594" s="10" t="n">
        <x:f>(G594-H594)*K594</x:f>
        <x:v>9</x:v>
      </x:c>
      <x:c r="P594" s="10" t="n">
        <x:f>N594-O594</x:f>
        <x:v>15.95</x:v>
      </x:c>
      <x:c r="Q594" s="9" t="n">
        <x:f>A594-WEEKDAY(A594,2)+1</x:f>
        <x:v>46279</x:v>
      </x:c>
      <x:c r="R594" s="2" t="str">
        <x:f>IF(AND(A594&gt;='Review'!$B$4,A594&lt;='Review'!$D$4),"Selected","Outside")</x:f>
        <x:v>Outside</x:v>
      </x:c>
    </x:row>
    <x:row r="595" ht="20" customHeight="1">
      <x:c r="A595" s="9" t="n">
        <x:v>46285</x:v>
      </x:c>
      <x:c r="B595" s="2" t="str">
        <x:v>MM-1426</x:v>
      </x:c>
      <x:c r="C595" s="2" t="str">
        <x:v>Organic Search</x:v>
      </x:c>
      <x:c r="D595" s="2" t="str">
        <x:v>GFT-001</x:v>
      </x:c>
      <x:c r="E595" s="2" t="str">
        <x:f>_xlfn.IFNA(VLOOKUP(D595,'Products'!$A$7:$I$22,2,FALSE),"Unmapped")</x:f>
        <x:v>Morning ritual gift set</x:v>
      </x:c>
      <x:c r="F595" s="2" t="str">
        <x:f>_xlfn.IFNA(VLOOKUP(D595,'Products'!$A$7:$I$22,3,FALSE),"Unmapped")</x:f>
        <x:v>Gifts</x:v>
      </x:c>
      <x:c r="G595" s="2" t="n">
        <x:v>1</x:v>
      </x:c>
      <x:c r="H595" s="2" t="n">
        <x:v>0</x:v>
      </x:c>
      <x:c r="I595" s="10" t="n">
        <x:v>59.95</x:v>
      </x:c>
      <x:c r="J595" s="10" t="n">
        <x:v>0</x:v>
      </x:c>
      <x:c r="K595" s="10" t="n">
        <x:v>24</x:v>
      </x:c>
      <x:c r="L595" s="10" t="n">
        <x:f>G595*I595</x:f>
        <x:v>59.95</x:v>
      </x:c>
      <x:c r="M595" s="10" t="n">
        <x:f>ROUND((L595-J595)*H595/G595,2)</x:f>
        <x:v>0</x:v>
      </x:c>
      <x:c r="N595" s="10" t="n">
        <x:f>L595-J595-M595</x:f>
        <x:v>59.95</x:v>
      </x:c>
      <x:c r="O595" s="10" t="n">
        <x:f>(G595-H595)*K595</x:f>
        <x:v>24</x:v>
      </x:c>
      <x:c r="P595" s="10" t="n">
        <x:f>N595-O595</x:f>
        <x:v>35.95</x:v>
      </x:c>
      <x:c r="Q595" s="9" t="n">
        <x:f>A595-WEEKDAY(A595,2)+1</x:f>
        <x:v>46279</x:v>
      </x:c>
      <x:c r="R595" s="2" t="str">
        <x:f>IF(AND(A595&gt;='Review'!$B$4,A595&lt;='Review'!$D$4),"Selected","Outside")</x:f>
        <x:v>Outside</x:v>
      </x:c>
    </x:row>
    <x:row r="596" ht="20" customHeight="1">
      <x:c r="A596" s="9" t="n">
        <x:v>46285</x:v>
      </x:c>
      <x:c r="B596" s="2" t="str">
        <x:v>MM-1426</x:v>
      </x:c>
      <x:c r="C596" s="2" t="str">
        <x:v>Organic Search</x:v>
      </x:c>
      <x:c r="D596" s="2" t="str">
        <x:v>MUG-002</x:v>
      </x:c>
      <x:c r="E596" s="2" t="str">
        <x:f>_xlfn.IFNA(VLOOKUP(D596,'Products'!$A$7:$I$22,2,FALSE),"Unmapped")</x:f>
        <x:v>Campfire enamel mug</x:v>
      </x:c>
      <x:c r="F596" s="2" t="str">
        <x:f>_xlfn.IFNA(VLOOKUP(D596,'Products'!$A$7:$I$22,3,FALSE),"Unmapped")</x:f>
        <x:v>Drinkware</x:v>
      </x:c>
      <x:c r="G596" s="2" t="n">
        <x:v>1</x:v>
      </x:c>
      <x:c r="H596" s="2" t="n">
        <x:v>0</x:v>
      </x:c>
      <x:c r="I596" s="10" t="n">
        <x:v>22.95</x:v>
      </x:c>
      <x:c r="J596" s="10" t="n">
        <x:v>0</x:v>
      </x:c>
      <x:c r="K596" s="10" t="n">
        <x:v>8.5</x:v>
      </x:c>
      <x:c r="L596" s="10" t="n">
        <x:f>G596*I596</x:f>
        <x:v>22.95</x:v>
      </x:c>
      <x:c r="M596" s="10" t="n">
        <x:f>ROUND((L596-J596)*H596/G596,2)</x:f>
        <x:v>0</x:v>
      </x:c>
      <x:c r="N596" s="10" t="n">
        <x:f>L596-J596-M596</x:f>
        <x:v>22.95</x:v>
      </x:c>
      <x:c r="O596" s="10" t="n">
        <x:f>(G596-H596)*K596</x:f>
        <x:v>8.5</x:v>
      </x:c>
      <x:c r="P596" s="10" t="n">
        <x:f>N596-O596</x:f>
        <x:v>14.45</x:v>
      </x:c>
      <x:c r="Q596" s="9" t="n">
        <x:f>A596-WEEKDAY(A596,2)+1</x:f>
        <x:v>46279</x:v>
      </x:c>
      <x:c r="R596" s="2" t="str">
        <x:f>IF(AND(A596&gt;='Review'!$B$4,A596&lt;='Review'!$D$4),"Selected","Outside")</x:f>
        <x:v>Outside</x:v>
      </x:c>
    </x:row>
    <x:row r="597" ht="20" customHeight="1">
      <x:c r="A597" s="9" t="n">
        <x:v>46285</x:v>
      </x:c>
      <x:c r="B597" s="2" t="str">
        <x:v>MM-1426</x:v>
      </x:c>
      <x:c r="C597" s="2" t="str">
        <x:v>Organic Search</x:v>
      </x:c>
      <x:c r="D597" s="2" t="str">
        <x:v>BOT-001</x:v>
      </x:c>
      <x:c r="E597" s="2" t="str">
        <x:f>_xlfn.IFNA(VLOOKUP(D597,'Products'!$A$7:$I$22,2,FALSE),"Unmapped")</x:f>
        <x:v>Trail water bottle</x:v>
      </x:c>
      <x:c r="F597" s="2" t="str">
        <x:f>_xlfn.IFNA(VLOOKUP(D597,'Products'!$A$7:$I$22,3,FALSE),"Unmapped")</x:f>
        <x:v>Drinkware</x:v>
      </x:c>
      <x:c r="G597" s="2" t="n">
        <x:v>1</x:v>
      </x:c>
      <x:c r="H597" s="2" t="n">
        <x:v>0</x:v>
      </x:c>
      <x:c r="I597" s="10" t="n">
        <x:v>34.95</x:v>
      </x:c>
      <x:c r="J597" s="10" t="n">
        <x:v>0</x:v>
      </x:c>
      <x:c r="K597" s="10" t="n">
        <x:v>13.5</x:v>
      </x:c>
      <x:c r="L597" s="10" t="n">
        <x:f>G597*I597</x:f>
        <x:v>34.95</x:v>
      </x:c>
      <x:c r="M597" s="10" t="n">
        <x:f>ROUND((L597-J597)*H597/G597,2)</x:f>
        <x:v>0</x:v>
      </x:c>
      <x:c r="N597" s="10" t="n">
        <x:f>L597-J597-M597</x:f>
        <x:v>34.95</x:v>
      </x:c>
      <x:c r="O597" s="10" t="n">
        <x:f>(G597-H597)*K597</x:f>
        <x:v>13.5</x:v>
      </x:c>
      <x:c r="P597" s="10" t="n">
        <x:f>N597-O597</x:f>
        <x:v>21.450000000000003</x:v>
      </x:c>
      <x:c r="Q597" s="9" t="n">
        <x:f>A597-WEEKDAY(A597,2)+1</x:f>
        <x:v>46279</x:v>
      </x:c>
      <x:c r="R597" s="2" t="str">
        <x:f>IF(AND(A597&gt;='Review'!$B$4,A597&lt;='Review'!$D$4),"Selected","Outside")</x:f>
        <x:v>Outside</x:v>
      </x:c>
    </x:row>
    <x:row r="598" ht="20" customHeight="1">
      <x:c r="A598" s="9" t="n">
        <x:v>46285</x:v>
      </x:c>
      <x:c r="B598" s="2" t="str">
        <x:v>MM-1428</x:v>
      </x:c>
      <x:c r="C598" s="2" t="str">
        <x:v>Paid Social</x:v>
      </x:c>
      <x:c r="D598" s="2" t="str">
        <x:v>APP-001</x:v>
      </x:c>
      <x:c r="E598" s="2" t="str">
        <x:f>_xlfn.IFNA(VLOOKUP(D598,'Products'!$A$7:$I$22,2,FALSE),"Unmapped")</x:f>
        <x:v>Everyday crewneck</x:v>
      </x:c>
      <x:c r="F598" s="2" t="str">
        <x:f>_xlfn.IFNA(VLOOKUP(D598,'Products'!$A$7:$I$22,3,FALSE),"Unmapped")</x:f>
        <x:v>Apparel</x:v>
      </x:c>
      <x:c r="G598" s="2" t="n">
        <x:v>1</x:v>
      </x:c>
      <x:c r="H598" s="2" t="n">
        <x:v>0</x:v>
      </x:c>
      <x:c r="I598" s="10" t="n">
        <x:v>54.95</x:v>
      </x:c>
      <x:c r="J598" s="10" t="n">
        <x:v>0</x:v>
      </x:c>
      <x:c r="K598" s="10" t="n">
        <x:v>22</x:v>
      </x:c>
      <x:c r="L598" s="10" t="n">
        <x:f>G598*I598</x:f>
        <x:v>54.95</x:v>
      </x:c>
      <x:c r="M598" s="10" t="n">
        <x:f>ROUND((L598-J598)*H598/G598,2)</x:f>
        <x:v>0</x:v>
      </x:c>
      <x:c r="N598" s="10" t="n">
        <x:f>L598-J598-M598</x:f>
        <x:v>54.95</x:v>
      </x:c>
      <x:c r="O598" s="10" t="n">
        <x:f>(G598-H598)*K598</x:f>
        <x:v>22</x:v>
      </x:c>
      <x:c r="P598" s="10" t="n">
        <x:f>N598-O598</x:f>
        <x:v>32.95</x:v>
      </x:c>
      <x:c r="Q598" s="9" t="n">
        <x:f>A598-WEEKDAY(A598,2)+1</x:f>
        <x:v>46279</x:v>
      </x:c>
      <x:c r="R598" s="2" t="str">
        <x:f>IF(AND(A598&gt;='Review'!$B$4,A598&lt;='Review'!$D$4),"Selected","Outside")</x:f>
        <x:v>Outside</x:v>
      </x:c>
    </x:row>
    <x:row r="599" ht="20" customHeight="1">
      <x:c r="A599" s="9" t="n">
        <x:v>46285</x:v>
      </x:c>
      <x:c r="B599" s="2" t="str">
        <x:v>MM-1434</x:v>
      </x:c>
      <x:c r="C599" s="2" t="str">
        <x:v>Organic Search</x:v>
      </x:c>
      <x:c r="D599" s="2" t="str">
        <x:v>TUM-001</x:v>
      </x:c>
      <x:c r="E599" s="2" t="str">
        <x:f>_xlfn.IFNA(VLOOKUP(D599,'Products'!$A$7:$I$22,2,FALSE),"Unmapped")</x:f>
        <x:v>Maple travel tumbler</x:v>
      </x:c>
      <x:c r="F599" s="2" t="str">
        <x:f>_xlfn.IFNA(VLOOKUP(D599,'Products'!$A$7:$I$22,3,FALSE),"Unmapped")</x:f>
        <x:v>Drinkware</x:v>
      </x:c>
      <x:c r="G599" s="2" t="n">
        <x:v>1</x:v>
      </x:c>
      <x:c r="H599" s="2" t="n">
        <x:v>0</x:v>
      </x:c>
      <x:c r="I599" s="10" t="n">
        <x:v>32.95</x:v>
      </x:c>
      <x:c r="J599" s="10" t="n">
        <x:v>0</x:v>
      </x:c>
      <x:c r="K599" s="10" t="n">
        <x:v>12</x:v>
      </x:c>
      <x:c r="L599" s="10" t="n">
        <x:f>G599*I599</x:f>
        <x:v>32.95</x:v>
      </x:c>
      <x:c r="M599" s="10" t="n">
        <x:f>ROUND((L599-J599)*H599/G599,2)</x:f>
        <x:v>0</x:v>
      </x:c>
      <x:c r="N599" s="10" t="n">
        <x:f>L599-J599-M599</x:f>
        <x:v>32.95</x:v>
      </x:c>
      <x:c r="O599" s="10" t="n">
        <x:f>(G599-H599)*K599</x:f>
        <x:v>12</x:v>
      </x:c>
      <x:c r="P599" s="10" t="n">
        <x:f>N599-O599</x:f>
        <x:v>20.950000000000003</x:v>
      </x:c>
      <x:c r="Q599" s="9" t="n">
        <x:f>A599-WEEKDAY(A599,2)+1</x:f>
        <x:v>46279</x:v>
      </x:c>
      <x:c r="R599" s="2" t="str">
        <x:f>IF(AND(A599&gt;='Review'!$B$4,A599&lt;='Review'!$D$4),"Selected","Outside")</x:f>
        <x:v>Outside</x:v>
      </x:c>
    </x:row>
    <x:row r="600" ht="20" customHeight="1">
      <x:c r="A600" s="9" t="n">
        <x:v>46285</x:v>
      </x:c>
      <x:c r="B600" s="2" t="str">
        <x:v>MM-1437</x:v>
      </x:c>
      <x:c r="C600" s="2" t="str">
        <x:v>Paid Social</x:v>
      </x:c>
      <x:c r="D600" s="2" t="str">
        <x:v>APP-001</x:v>
      </x:c>
      <x:c r="E600" s="2" t="str">
        <x:f>_xlfn.IFNA(VLOOKUP(D600,'Products'!$A$7:$I$22,2,FALSE),"Unmapped")</x:f>
        <x:v>Everyday crewneck</x:v>
      </x:c>
      <x:c r="F600" s="2" t="str">
        <x:f>_xlfn.IFNA(VLOOKUP(D600,'Products'!$A$7:$I$22,3,FALSE),"Unmapped")</x:f>
        <x:v>Apparel</x:v>
      </x:c>
      <x:c r="G600" s="2" t="n">
        <x:v>1</x:v>
      </x:c>
      <x:c r="H600" s="2" t="n">
        <x:v>0</x:v>
      </x:c>
      <x:c r="I600" s="10" t="n">
        <x:v>54.95</x:v>
      </x:c>
      <x:c r="J600" s="10" t="n">
        <x:v>0</x:v>
      </x:c>
      <x:c r="K600" s="10" t="n">
        <x:v>22</x:v>
      </x:c>
      <x:c r="L600" s="10" t="n">
        <x:f>G600*I600</x:f>
        <x:v>54.95</x:v>
      </x:c>
      <x:c r="M600" s="10" t="n">
        <x:f>ROUND((L600-J600)*H600/G600,2)</x:f>
        <x:v>0</x:v>
      </x:c>
      <x:c r="N600" s="10" t="n">
        <x:f>L600-J600-M600</x:f>
        <x:v>54.95</x:v>
      </x:c>
      <x:c r="O600" s="10" t="n">
        <x:f>(G600-H600)*K600</x:f>
        <x:v>22</x:v>
      </x:c>
      <x:c r="P600" s="10" t="n">
        <x:f>N600-O600</x:f>
        <x:v>32.95</x:v>
      </x:c>
      <x:c r="Q600" s="9" t="n">
        <x:f>A600-WEEKDAY(A600,2)+1</x:f>
        <x:v>46279</x:v>
      </x:c>
      <x:c r="R600" s="2" t="str">
        <x:f>IF(AND(A600&gt;='Review'!$B$4,A600&lt;='Review'!$D$4),"Selected","Outside")</x:f>
        <x:v>Outside</x:v>
      </x:c>
    </x:row>
    <x:row r="601" ht="20" customHeight="1">
      <x:c r="A601" s="9" t="n">
        <x:v>46285</x:v>
      </x:c>
      <x:c r="B601" s="2" t="str">
        <x:v>MM-1420</x:v>
      </x:c>
      <x:c r="C601" s="2" t="str">
        <x:v>Organic Search</x:v>
      </x:c>
      <x:c r="D601" s="2" t="str">
        <x:v>HAT-001</x:v>
      </x:c>
      <x:c r="E601" s="2" t="str">
        <x:f>_xlfn.IFNA(VLOOKUP(D601,'Products'!$A$7:$I$22,2,FALSE),"Unmapped")</x:f>
        <x:v>Classic canvas cap</x:v>
      </x:c>
      <x:c r="F601" s="2" t="str">
        <x:f>_xlfn.IFNA(VLOOKUP(D601,'Products'!$A$7:$I$22,3,FALSE),"Unmapped")</x:f>
        <x:v>Accessories</x:v>
      </x:c>
      <x:c r="G601" s="2" t="n">
        <x:v>2</x:v>
      </x:c>
      <x:c r="H601" s="2" t="n">
        <x:v>0</x:v>
      </x:c>
      <x:c r="I601" s="10" t="n">
        <x:v>24.95</x:v>
      </x:c>
      <x:c r="J601" s="10" t="n">
        <x:v>0</x:v>
      </x:c>
      <x:c r="K601" s="10" t="n">
        <x:v>8.5</x:v>
      </x:c>
      <x:c r="L601" s="10" t="n">
        <x:f>G601*I601</x:f>
        <x:v>49.9</x:v>
      </x:c>
      <x:c r="M601" s="10" t="n">
        <x:f>ROUND((L601-J601)*H601/G601,2)</x:f>
        <x:v>0</x:v>
      </x:c>
      <x:c r="N601" s="10" t="n">
        <x:f>L601-J601-M601</x:f>
        <x:v>49.9</x:v>
      </x:c>
      <x:c r="O601" s="10" t="n">
        <x:f>(G601-H601)*K601</x:f>
        <x:v>17</x:v>
      </x:c>
      <x:c r="P601" s="10" t="n">
        <x:f>N601-O601</x:f>
        <x:v>32.9</x:v>
      </x:c>
      <x:c r="Q601" s="9" t="n">
        <x:f>A601-WEEKDAY(A601,2)+1</x:f>
        <x:v>46279</x:v>
      </x:c>
      <x:c r="R601" s="2" t="str">
        <x:f>IF(AND(A601&gt;='Review'!$B$4,A601&lt;='Review'!$D$4),"Selected","Outside")</x:f>
        <x:v>Outside</x:v>
      </x:c>
    </x:row>
    <x:row r="602" ht="20" customHeight="1">
      <x:c r="A602" s="9" t="n">
        <x:v>46285</x:v>
      </x:c>
      <x:c r="B602" s="2" t="str">
        <x:v>MM-1420</x:v>
      </x:c>
      <x:c r="C602" s="2" t="str">
        <x:v>Organic Search</x:v>
      </x:c>
      <x:c r="D602" s="2" t="str">
        <x:v>APP-002</x:v>
      </x:c>
      <x:c r="E602" s="2" t="str">
        <x:f>_xlfn.IFNA(VLOOKUP(D602,'Products'!$A$7:$I$22,2,FALSE),"Unmapped")</x:f>
        <x:v>Weekend hoodie</x:v>
      </x:c>
      <x:c r="F602" s="2" t="str">
        <x:f>_xlfn.IFNA(VLOOKUP(D602,'Products'!$A$7:$I$22,3,FALSE),"Unmapped")</x:f>
        <x:v>Apparel</x:v>
      </x:c>
      <x:c r="G602" s="2" t="n">
        <x:v>2</x:v>
      </x:c>
      <x:c r="H602" s="2" t="n">
        <x:v>0</x:v>
      </x:c>
      <x:c r="I602" s="10" t="n">
        <x:v>69.95</x:v>
      </x:c>
      <x:c r="J602" s="10" t="n">
        <x:v>0</x:v>
      </x:c>
      <x:c r="K602" s="10" t="n">
        <x:v>28</x:v>
      </x:c>
      <x:c r="L602" s="10" t="n">
        <x:f>G602*I602</x:f>
        <x:v>139.9</x:v>
      </x:c>
      <x:c r="M602" s="10" t="n">
        <x:f>ROUND((L602-J602)*H602/G602,2)</x:f>
        <x:v>0</x:v>
      </x:c>
      <x:c r="N602" s="10" t="n">
        <x:f>L602-J602-M602</x:f>
        <x:v>139.9</x:v>
      </x:c>
      <x:c r="O602" s="10" t="n">
        <x:f>(G602-H602)*K602</x:f>
        <x:v>56</x:v>
      </x:c>
      <x:c r="P602" s="10" t="n">
        <x:f>N602-O602</x:f>
        <x:v>83.9</x:v>
      </x:c>
      <x:c r="Q602" s="9" t="n">
        <x:f>A602-WEEKDAY(A602,2)+1</x:f>
        <x:v>46279</x:v>
      </x:c>
      <x:c r="R602" s="2" t="str">
        <x:f>IF(AND(A602&gt;='Review'!$B$4,A602&lt;='Review'!$D$4),"Selected","Outside")</x:f>
        <x:v>Outside</x:v>
      </x:c>
    </x:row>
    <x:row r="603" ht="20" customHeight="1">
      <x:c r="A603" s="9" t="n">
        <x:v>46286</x:v>
      </x:c>
      <x:c r="B603" s="2" t="str">
        <x:v>MM-1441</x:v>
      </x:c>
      <x:c r="C603" s="2" t="str">
        <x:v>Organic Search</x:v>
      </x:c>
      <x:c r="D603" s="2" t="str">
        <x:v>PIN-001</x:v>
      </x:c>
      <x:c r="E603" s="2" t="str">
        <x:f>_xlfn.IFNA(VLOOKUP(D603,'Products'!$A$7:$I$22,2,FALSE),"Unmapped")</x:f>
        <x:v>Coffee enamel pin</x:v>
      </x:c>
      <x:c r="F603" s="2" t="str">
        <x:f>_xlfn.IFNA(VLOOKUP(D603,'Products'!$A$7:$I$22,3,FALSE),"Unmapped")</x:f>
        <x:v>Accessories</x:v>
      </x:c>
      <x:c r="G603" s="2" t="n">
        <x:v>1</x:v>
      </x:c>
      <x:c r="H603" s="2" t="n">
        <x:v>0</x:v>
      </x:c>
      <x:c r="I603" s="10" t="n">
        <x:v>9.95</x:v>
      </x:c>
      <x:c r="J603" s="10" t="n">
        <x:v>0</x:v>
      </x:c>
      <x:c r="K603" s="10" t="n">
        <x:v>2.5</x:v>
      </x:c>
      <x:c r="L603" s="10" t="n">
        <x:f>G603*I603</x:f>
        <x:v>9.95</x:v>
      </x:c>
      <x:c r="M603" s="10" t="n">
        <x:f>ROUND((L603-J603)*H603/G603,2)</x:f>
        <x:v>0</x:v>
      </x:c>
      <x:c r="N603" s="10" t="n">
        <x:f>L603-J603-M603</x:f>
        <x:v>9.95</x:v>
      </x:c>
      <x:c r="O603" s="10" t="n">
        <x:f>(G603-H603)*K603</x:f>
        <x:v>2.5</x:v>
      </x:c>
      <x:c r="P603" s="10" t="n">
        <x:f>N603-O603</x:f>
        <x:v>7.449999999999999</x:v>
      </x:c>
      <x:c r="Q603" s="9" t="n">
        <x:f>A603-WEEKDAY(A603,2)+1</x:f>
        <x:v>46286</x:v>
      </x:c>
      <x:c r="R603" s="2" t="str">
        <x:f>IF(AND(A603&gt;='Review'!$B$4,A603&lt;='Review'!$D$4),"Selected","Outside")</x:f>
        <x:v>Outside</x:v>
      </x:c>
    </x:row>
    <x:row r="604" ht="20" customHeight="1">
      <x:c r="A604" s="9" t="n">
        <x:v>46286</x:v>
      </x:c>
      <x:c r="B604" s="2" t="str">
        <x:v>MM-1442</x:v>
      </x:c>
      <x:c r="C604" s="2" t="str">
        <x:v>Direct</x:v>
      </x:c>
      <x:c r="D604" s="2" t="str">
        <x:v>KEY-001</x:v>
      </x:c>
      <x:c r="E604" s="2" t="str">
        <x:f>_xlfn.IFNA(VLOOKUP(D604,'Products'!$A$7:$I$22,2,FALSE),"Unmapped")</x:f>
        <x:v>Maple keyring</x:v>
      </x:c>
      <x:c r="F604" s="2" t="str">
        <x:f>_xlfn.IFNA(VLOOKUP(D604,'Products'!$A$7:$I$22,3,FALSE),"Unmapped")</x:f>
        <x:v>Accessories</x:v>
      </x:c>
      <x:c r="G604" s="2" t="n">
        <x:v>1</x:v>
      </x:c>
      <x:c r="H604" s="2" t="n">
        <x:v>0</x:v>
      </x:c>
      <x:c r="I604" s="10" t="n">
        <x:v>12.95</x:v>
      </x:c>
      <x:c r="J604" s="10" t="n">
        <x:v>0</x:v>
      </x:c>
      <x:c r="K604" s="10" t="n">
        <x:v>3.5</x:v>
      </x:c>
      <x:c r="L604" s="10" t="n">
        <x:f>G604*I604</x:f>
        <x:v>12.95</x:v>
      </x:c>
      <x:c r="M604" s="10" t="n">
        <x:f>ROUND((L604-J604)*H604/G604,2)</x:f>
        <x:v>0</x:v>
      </x:c>
      <x:c r="N604" s="10" t="n">
        <x:f>L604-J604-M604</x:f>
        <x:v>12.95</x:v>
      </x:c>
      <x:c r="O604" s="10" t="n">
        <x:f>(G604-H604)*K604</x:f>
        <x:v>3.5</x:v>
      </x:c>
      <x:c r="P604" s="10" t="n">
        <x:f>N604-O604</x:f>
        <x:v>9.45</x:v>
      </x:c>
      <x:c r="Q604" s="9" t="n">
        <x:f>A604-WEEKDAY(A604,2)+1</x:f>
        <x:v>46286</x:v>
      </x:c>
      <x:c r="R604" s="2" t="str">
        <x:f>IF(AND(A604&gt;='Review'!$B$4,A604&lt;='Review'!$D$4),"Selected","Outside")</x:f>
        <x:v>Outside</x:v>
      </x:c>
    </x:row>
    <x:row r="605" ht="20" customHeight="1">
      <x:c r="A605" s="9" t="n">
        <x:v>46286</x:v>
      </x:c>
      <x:c r="B605" s="2" t="str">
        <x:v>MM-1450</x:v>
      </x:c>
      <x:c r="C605" s="2" t="str">
        <x:v>Organic Search</x:v>
      </x:c>
      <x:c r="D605" s="2" t="str">
        <x:v>KEY-001</x:v>
      </x:c>
      <x:c r="E605" s="2" t="str">
        <x:f>_xlfn.IFNA(VLOOKUP(D605,'Products'!$A$7:$I$22,2,FALSE),"Unmapped")</x:f>
        <x:v>Maple keyring</x:v>
      </x:c>
      <x:c r="F605" s="2" t="str">
        <x:f>_xlfn.IFNA(VLOOKUP(D605,'Products'!$A$7:$I$22,3,FALSE),"Unmapped")</x:f>
        <x:v>Accessories</x:v>
      </x:c>
      <x:c r="G605" s="2" t="n">
        <x:v>2</x:v>
      </x:c>
      <x:c r="H605" s="2" t="n">
        <x:v>0</x:v>
      </x:c>
      <x:c r="I605" s="10" t="n">
        <x:v>12.95</x:v>
      </x:c>
      <x:c r="J605" s="10" t="n">
        <x:v>0</x:v>
      </x:c>
      <x:c r="K605" s="10" t="n">
        <x:v>3.5</x:v>
      </x:c>
      <x:c r="L605" s="10" t="n">
        <x:f>G605*I605</x:f>
        <x:v>25.9</x:v>
      </x:c>
      <x:c r="M605" s="10" t="n">
        <x:f>ROUND((L605-J605)*H605/G605,2)</x:f>
        <x:v>0</x:v>
      </x:c>
      <x:c r="N605" s="10" t="n">
        <x:f>L605-J605-M605</x:f>
        <x:v>25.9</x:v>
      </x:c>
      <x:c r="O605" s="10" t="n">
        <x:f>(G605-H605)*K605</x:f>
        <x:v>7</x:v>
      </x:c>
      <x:c r="P605" s="10" t="n">
        <x:f>N605-O605</x:f>
        <x:v>18.9</x:v>
      </x:c>
      <x:c r="Q605" s="9" t="n">
        <x:f>A605-WEEKDAY(A605,2)+1</x:f>
        <x:v>46286</x:v>
      </x:c>
      <x:c r="R605" s="2" t="str">
        <x:f>IF(AND(A605&gt;='Review'!$B$4,A605&lt;='Review'!$D$4),"Selected","Outside")</x:f>
        <x:v>Outside</x:v>
      </x:c>
    </x:row>
    <x:row r="606" ht="20" customHeight="1">
      <x:c r="A606" s="9" t="n">
        <x:v>46286</x:v>
      </x:c>
      <x:c r="B606" s="2" t="str">
        <x:v>MM-1449</x:v>
      </x:c>
      <x:c r="C606" s="2" t="str">
        <x:v>Organic Search</x:v>
      </x:c>
      <x:c r="D606" s="2" t="str">
        <x:v>TUM-001</x:v>
      </x:c>
      <x:c r="E606" s="2" t="str">
        <x:f>_xlfn.IFNA(VLOOKUP(D606,'Products'!$A$7:$I$22,2,FALSE),"Unmapped")</x:f>
        <x:v>Maple travel tumbler</x:v>
      </x:c>
      <x:c r="F606" s="2" t="str">
        <x:f>_xlfn.IFNA(VLOOKUP(D606,'Products'!$A$7:$I$22,3,FALSE),"Unmapped")</x:f>
        <x:v>Drinkware</x:v>
      </x:c>
      <x:c r="G606" s="2" t="n">
        <x:v>1</x:v>
      </x:c>
      <x:c r="H606" s="2" t="n">
        <x:v>1</x:v>
      </x:c>
      <x:c r="I606" s="10" t="n">
        <x:v>32.95</x:v>
      </x:c>
      <x:c r="J606" s="10" t="n">
        <x:v>0</x:v>
      </x:c>
      <x:c r="K606" s="10" t="n">
        <x:v>12</x:v>
      </x:c>
      <x:c r="L606" s="10" t="n">
        <x:f>G606*I606</x:f>
        <x:v>32.95</x:v>
      </x:c>
      <x:c r="M606" s="10" t="n">
        <x:f>ROUND((L606-J606)*H606/G606,2)</x:f>
        <x:v>32.95</x:v>
      </x:c>
      <x:c r="N606" s="10" t="n">
        <x:f>L606-J606-M606</x:f>
        <x:v>0</x:v>
      </x:c>
      <x:c r="O606" s="10" t="n">
        <x:f>(G606-H606)*K606</x:f>
        <x:v>0</x:v>
      </x:c>
      <x:c r="P606" s="10" t="n">
        <x:f>N606-O606</x:f>
        <x:v>0</x:v>
      </x:c>
      <x:c r="Q606" s="9" t="n">
        <x:f>A606-WEEKDAY(A606,2)+1</x:f>
        <x:v>46286</x:v>
      </x:c>
      <x:c r="R606" s="2" t="str">
        <x:f>IF(AND(A606&gt;='Review'!$B$4,A606&lt;='Review'!$D$4),"Selected","Outside")</x:f>
        <x:v>Outside</x:v>
      </x:c>
    </x:row>
    <x:row r="607" ht="20" customHeight="1">
      <x:c r="A607" s="9" t="n">
        <x:v>46286</x:v>
      </x:c>
      <x:c r="B607" s="2" t="str">
        <x:v>MM-1455</x:v>
      </x:c>
      <x:c r="C607" s="2" t="str">
        <x:v>Email</x:v>
      </x:c>
      <x:c r="D607" s="2" t="str">
        <x:v>PIN-001</x:v>
      </x:c>
      <x:c r="E607" s="2" t="str">
        <x:f>_xlfn.IFNA(VLOOKUP(D607,'Products'!$A$7:$I$22,2,FALSE),"Unmapped")</x:f>
        <x:v>Coffee enamel pin</x:v>
      </x:c>
      <x:c r="F607" s="2" t="str">
        <x:f>_xlfn.IFNA(VLOOKUP(D607,'Products'!$A$7:$I$22,3,FALSE),"Unmapped")</x:f>
        <x:v>Accessories</x:v>
      </x:c>
      <x:c r="G607" s="2" t="n">
        <x:v>1</x:v>
      </x:c>
      <x:c r="H607" s="2" t="n">
        <x:v>0</x:v>
      </x:c>
      <x:c r="I607" s="10" t="n">
        <x:v>9.95</x:v>
      </x:c>
      <x:c r="J607" s="10" t="n">
        <x:v>0.99</x:v>
      </x:c>
      <x:c r="K607" s="10" t="n">
        <x:v>2.5</x:v>
      </x:c>
      <x:c r="L607" s="10" t="n">
        <x:f>G607*I607</x:f>
        <x:v>9.95</x:v>
      </x:c>
      <x:c r="M607" s="10" t="n">
        <x:f>ROUND((L607-J607)*H607/G607,2)</x:f>
        <x:v>0</x:v>
      </x:c>
      <x:c r="N607" s="10" t="n">
        <x:f>L607-J607-M607</x:f>
        <x:v>8.959999999999999</x:v>
      </x:c>
      <x:c r="O607" s="10" t="n">
        <x:f>(G607-H607)*K607</x:f>
        <x:v>2.5</x:v>
      </x:c>
      <x:c r="P607" s="10" t="n">
        <x:f>N607-O607</x:f>
        <x:v>6.459999999999999</x:v>
      </x:c>
      <x:c r="Q607" s="9" t="n">
        <x:f>A607-WEEKDAY(A607,2)+1</x:f>
        <x:v>46286</x:v>
      </x:c>
      <x:c r="R607" s="2" t="str">
        <x:f>IF(AND(A607&gt;='Review'!$B$4,A607&lt;='Review'!$D$4),"Selected","Outside")</x:f>
        <x:v>Outside</x:v>
      </x:c>
    </x:row>
    <x:row r="608" ht="20" customHeight="1">
      <x:c r="A608" s="9" t="n">
        <x:v>46286</x:v>
      </x:c>
      <x:c r="B608" s="2" t="str">
        <x:v>MM-1455</x:v>
      </x:c>
      <x:c r="C608" s="2" t="str">
        <x:v>Email</x:v>
      </x:c>
      <x:c r="D608" s="2" t="str">
        <x:v>APP-003</x:v>
      </x:c>
      <x:c r="E608" s="2" t="str">
        <x:f>_xlfn.IFNA(VLOOKUP(D608,'Products'!$A$7:$I$22,2,FALSE),"Unmapped")</x:f>
        <x:v>Coffee club tee</x:v>
      </x:c>
      <x:c r="F608" s="2" t="str">
        <x:f>_xlfn.IFNA(VLOOKUP(D608,'Products'!$A$7:$I$22,3,FALSE),"Unmapped")</x:f>
        <x:v>Apparel</x:v>
      </x:c>
      <x:c r="G608" s="2" t="n">
        <x:v>1</x:v>
      </x:c>
      <x:c r="H608" s="2" t="n">
        <x:v>0</x:v>
      </x:c>
      <x:c r="I608" s="10" t="n">
        <x:v>29.95</x:v>
      </x:c>
      <x:c r="J608" s="10" t="n">
        <x:v>2.99</x:v>
      </x:c>
      <x:c r="K608" s="10" t="n">
        <x:v>10</x:v>
      </x:c>
      <x:c r="L608" s="10" t="n">
        <x:f>G608*I608</x:f>
        <x:v>29.95</x:v>
      </x:c>
      <x:c r="M608" s="10" t="n">
        <x:f>ROUND((L608-J608)*H608/G608,2)</x:f>
        <x:v>0</x:v>
      </x:c>
      <x:c r="N608" s="10" t="n">
        <x:f>L608-J608-M608</x:f>
        <x:v>26.96</x:v>
      </x:c>
      <x:c r="O608" s="10" t="n">
        <x:f>(G608-H608)*K608</x:f>
        <x:v>10</x:v>
      </x:c>
      <x:c r="P608" s="10" t="n">
        <x:f>N608-O608</x:f>
        <x:v>16.96</x:v>
      </x:c>
      <x:c r="Q608" s="9" t="n">
        <x:f>A608-WEEKDAY(A608,2)+1</x:f>
        <x:v>46286</x:v>
      </x:c>
      <x:c r="R608" s="2" t="str">
        <x:f>IF(AND(A608&gt;='Review'!$B$4,A608&lt;='Review'!$D$4),"Selected","Outside")</x:f>
        <x:v>Outside</x:v>
      </x:c>
    </x:row>
    <x:row r="609" ht="20" customHeight="1">
      <x:c r="A609" s="9" t="n">
        <x:v>46286</x:v>
      </x:c>
      <x:c r="B609" s="2" t="str">
        <x:v>MM-1455</x:v>
      </x:c>
      <x:c r="C609" s="2" t="str">
        <x:v>Email</x:v>
      </x:c>
      <x:c r="D609" s="2" t="str">
        <x:v>TOTE-001</x:v>
      </x:c>
      <x:c r="E609" s="2" t="str">
        <x:f>_xlfn.IFNA(VLOOKUP(D609,'Products'!$A$7:$I$22,2,FALSE),"Unmapped")</x:f>
        <x:v>Market canvas tote</x:v>
      </x:c>
      <x:c r="F609" s="2" t="str">
        <x:f>_xlfn.IFNA(VLOOKUP(D609,'Products'!$A$7:$I$22,3,FALSE),"Unmapped")</x:f>
        <x:v>Accessories</x:v>
      </x:c>
      <x:c r="G609" s="2" t="n">
        <x:v>1</x:v>
      </x:c>
      <x:c r="H609" s="2" t="n">
        <x:v>0</x:v>
      </x:c>
      <x:c r="I609" s="10" t="n">
        <x:v>19.95</x:v>
      </x:c>
      <x:c r="J609" s="10" t="n">
        <x:v>1.99</x:v>
      </x:c>
      <x:c r="K609" s="10" t="n">
        <x:v>6</x:v>
      </x:c>
      <x:c r="L609" s="10" t="n">
        <x:f>G609*I609</x:f>
        <x:v>19.95</x:v>
      </x:c>
      <x:c r="M609" s="10" t="n">
        <x:f>ROUND((L609-J609)*H609/G609,2)</x:f>
        <x:v>0</x:v>
      </x:c>
      <x:c r="N609" s="10" t="n">
        <x:f>L609-J609-M609</x:f>
        <x:v>17.96</x:v>
      </x:c>
      <x:c r="O609" s="10" t="n">
        <x:f>(G609-H609)*K609</x:f>
        <x:v>6</x:v>
      </x:c>
      <x:c r="P609" s="10" t="n">
        <x:f>N609-O609</x:f>
        <x:v>11.96</x:v>
      </x:c>
      <x:c r="Q609" s="9" t="n">
        <x:f>A609-WEEKDAY(A609,2)+1</x:f>
        <x:v>46286</x:v>
      </x:c>
      <x:c r="R609" s="2" t="str">
        <x:f>IF(AND(A609&gt;='Review'!$B$4,A609&lt;='Review'!$D$4),"Selected","Outside")</x:f>
        <x:v>Outside</x:v>
      </x:c>
    </x:row>
    <x:row r="610" ht="20" customHeight="1">
      <x:c r="A610" s="9" t="n">
        <x:v>46286</x:v>
      </x:c>
      <x:c r="B610" s="2" t="str">
        <x:v>MM-1456</x:v>
      </x:c>
      <x:c r="C610" s="2" t="str">
        <x:v>Paid Social</x:v>
      </x:c>
      <x:c r="D610" s="2" t="str">
        <x:v>APP-001</x:v>
      </x:c>
      <x:c r="E610" s="2" t="str">
        <x:f>_xlfn.IFNA(VLOOKUP(D610,'Products'!$A$7:$I$22,2,FALSE),"Unmapped")</x:f>
        <x:v>Everyday crewneck</x:v>
      </x:c>
      <x:c r="F610" s="2" t="str">
        <x:f>_xlfn.IFNA(VLOOKUP(D610,'Products'!$A$7:$I$22,3,FALSE),"Unmapped")</x:f>
        <x:v>Apparel</x:v>
      </x:c>
      <x:c r="G610" s="2" t="n">
        <x:v>3</x:v>
      </x:c>
      <x:c r="H610" s="2" t="n">
        <x:v>0</x:v>
      </x:c>
      <x:c r="I610" s="10" t="n">
        <x:v>54.95</x:v>
      </x:c>
      <x:c r="J610" s="10" t="n">
        <x:v>0</x:v>
      </x:c>
      <x:c r="K610" s="10" t="n">
        <x:v>22</x:v>
      </x:c>
      <x:c r="L610" s="10" t="n">
        <x:f>G610*I610</x:f>
        <x:v>164.85000000000002</x:v>
      </x:c>
      <x:c r="M610" s="10" t="n">
        <x:f>ROUND((L610-J610)*H610/G610,2)</x:f>
        <x:v>0</x:v>
      </x:c>
      <x:c r="N610" s="10" t="n">
        <x:f>L610-J610-M610</x:f>
        <x:v>164.85000000000002</x:v>
      </x:c>
      <x:c r="O610" s="10" t="n">
        <x:f>(G610-H610)*K610</x:f>
        <x:v>66</x:v>
      </x:c>
      <x:c r="P610" s="10" t="n">
        <x:f>N610-O610</x:f>
        <x:v>98.85000000000002</x:v>
      </x:c>
      <x:c r="Q610" s="9" t="n">
        <x:f>A610-WEEKDAY(A610,2)+1</x:f>
        <x:v>46286</x:v>
      </x:c>
      <x:c r="R610" s="2" t="str">
        <x:f>IF(AND(A610&gt;='Review'!$B$4,A610&lt;='Review'!$D$4),"Selected","Outside")</x:f>
        <x:v>Outside</x:v>
      </x:c>
    </x:row>
    <x:row r="611" ht="20" customHeight="1">
      <x:c r="A611" s="9" t="n">
        <x:v>46286</x:v>
      </x:c>
      <x:c r="B611" s="2" t="str">
        <x:v>MM-1456</x:v>
      </x:c>
      <x:c r="C611" s="2" t="str">
        <x:v>Paid Social</x:v>
      </x:c>
      <x:c r="D611" s="2" t="str">
        <x:v>MUG-002</x:v>
      </x:c>
      <x:c r="E611" s="2" t="str">
        <x:f>_xlfn.IFNA(VLOOKUP(D611,'Products'!$A$7:$I$22,2,FALSE),"Unmapped")</x:f>
        <x:v>Campfire enamel mug</x:v>
      </x:c>
      <x:c r="F611" s="2" t="str">
        <x:f>_xlfn.IFNA(VLOOKUP(D611,'Products'!$A$7:$I$22,3,FALSE),"Unmapped")</x:f>
        <x:v>Drinkware</x:v>
      </x:c>
      <x:c r="G611" s="2" t="n">
        <x:v>1</x:v>
      </x:c>
      <x:c r="H611" s="2" t="n">
        <x:v>0</x:v>
      </x:c>
      <x:c r="I611" s="10" t="n">
        <x:v>22.95</x:v>
      </x:c>
      <x:c r="J611" s="10" t="n">
        <x:v>0</x:v>
      </x:c>
      <x:c r="K611" s="10" t="n">
        <x:v>8.5</x:v>
      </x:c>
      <x:c r="L611" s="10" t="n">
        <x:f>G611*I611</x:f>
        <x:v>22.95</x:v>
      </x:c>
      <x:c r="M611" s="10" t="n">
        <x:f>ROUND((L611-J611)*H611/G611,2)</x:f>
        <x:v>0</x:v>
      </x:c>
      <x:c r="N611" s="10" t="n">
        <x:f>L611-J611-M611</x:f>
        <x:v>22.95</x:v>
      </x:c>
      <x:c r="O611" s="10" t="n">
        <x:f>(G611-H611)*K611</x:f>
        <x:v>8.5</x:v>
      </x:c>
      <x:c r="P611" s="10" t="n">
        <x:f>N611-O611</x:f>
        <x:v>14.45</x:v>
      </x:c>
      <x:c r="Q611" s="9" t="n">
        <x:f>A611-WEEKDAY(A611,2)+1</x:f>
        <x:v>46286</x:v>
      </x:c>
      <x:c r="R611" s="2" t="str">
        <x:f>IF(AND(A611&gt;='Review'!$B$4,A611&lt;='Review'!$D$4),"Selected","Outside")</x:f>
        <x:v>Outside</x:v>
      </x:c>
    </x:row>
    <x:row r="612" ht="20" customHeight="1">
      <x:c r="A612" s="9" t="n">
        <x:v>46286</x:v>
      </x:c>
      <x:c r="B612" s="2" t="str">
        <x:v>MM-1446</x:v>
      </x:c>
      <x:c r="C612" s="2" t="str">
        <x:v>Organic Search</x:v>
      </x:c>
      <x:c r="D612" s="2" t="str">
        <x:v>MUG-002</x:v>
      </x:c>
      <x:c r="E612" s="2" t="str">
        <x:f>_xlfn.IFNA(VLOOKUP(D612,'Products'!$A$7:$I$22,2,FALSE),"Unmapped")</x:f>
        <x:v>Campfire enamel mug</x:v>
      </x:c>
      <x:c r="F612" s="2" t="str">
        <x:f>_xlfn.IFNA(VLOOKUP(D612,'Products'!$A$7:$I$22,3,FALSE),"Unmapped")</x:f>
        <x:v>Drinkware</x:v>
      </x:c>
      <x:c r="G612" s="2" t="n">
        <x:v>1</x:v>
      </x:c>
      <x:c r="H612" s="2" t="n">
        <x:v>0</x:v>
      </x:c>
      <x:c r="I612" s="10" t="n">
        <x:v>22.95</x:v>
      </x:c>
      <x:c r="J612" s="10" t="n">
        <x:v>0</x:v>
      </x:c>
      <x:c r="K612" s="10" t="n">
        <x:v>8.5</x:v>
      </x:c>
      <x:c r="L612" s="10" t="n">
        <x:f>G612*I612</x:f>
        <x:v>22.95</x:v>
      </x:c>
      <x:c r="M612" s="10" t="n">
        <x:f>ROUND((L612-J612)*H612/G612,2)</x:f>
        <x:v>0</x:v>
      </x:c>
      <x:c r="N612" s="10" t="n">
        <x:f>L612-J612-M612</x:f>
        <x:v>22.95</x:v>
      </x:c>
      <x:c r="O612" s="10" t="n">
        <x:f>(G612-H612)*K612</x:f>
        <x:v>8.5</x:v>
      </x:c>
      <x:c r="P612" s="10" t="n">
        <x:f>N612-O612</x:f>
        <x:v>14.45</x:v>
      </x:c>
      <x:c r="Q612" s="9" t="n">
        <x:f>A612-WEEKDAY(A612,2)+1</x:f>
        <x:v>46286</x:v>
      </x:c>
      <x:c r="R612" s="2" t="str">
        <x:f>IF(AND(A612&gt;='Review'!$B$4,A612&lt;='Review'!$D$4),"Selected","Outside")</x:f>
        <x:v>Outside</x:v>
      </x:c>
    </x:row>
    <x:row r="613" ht="20" customHeight="1">
      <x:c r="A613" s="9" t="n">
        <x:v>46286</x:v>
      </x:c>
      <x:c r="B613" s="2" t="str">
        <x:v>MM-1446</x:v>
      </x:c>
      <x:c r="C613" s="2" t="str">
        <x:v>Organic Search</x:v>
      </x:c>
      <x:c r="D613" s="2" t="str">
        <x:v>GFT-002</x:v>
      </x:c>
      <x:c r="E613" s="2" t="str">
        <x:f>_xlfn.IFNA(VLOOKUP(D613,'Products'!$A$7:$I$22,2,FALSE),"Unmapped")</x:f>
        <x:v>Cozy weekend gift box</x:v>
      </x:c>
      <x:c r="F613" s="2" t="str">
        <x:f>_xlfn.IFNA(VLOOKUP(D613,'Products'!$A$7:$I$22,3,FALSE),"Unmapped")</x:f>
        <x:v>Gifts</x:v>
      </x:c>
      <x:c r="G613" s="2" t="n">
        <x:v>2</x:v>
      </x:c>
      <x:c r="H613" s="2" t="n">
        <x:v>0</x:v>
      </x:c>
      <x:c r="I613" s="10" t="n">
        <x:v>79.95</x:v>
      </x:c>
      <x:c r="J613" s="10" t="n">
        <x:v>0</x:v>
      </x:c>
      <x:c r="K613" s="10" t="n">
        <x:v>32</x:v>
      </x:c>
      <x:c r="L613" s="10" t="n">
        <x:f>G613*I613</x:f>
        <x:v>159.9</x:v>
      </x:c>
      <x:c r="M613" s="10" t="n">
        <x:f>ROUND((L613-J613)*H613/G613,2)</x:f>
        <x:v>0</x:v>
      </x:c>
      <x:c r="N613" s="10" t="n">
        <x:f>L613-J613-M613</x:f>
        <x:v>159.9</x:v>
      </x:c>
      <x:c r="O613" s="10" t="n">
        <x:f>(G613-H613)*K613</x:f>
        <x:v>64</x:v>
      </x:c>
      <x:c r="P613" s="10" t="n">
        <x:f>N613-O613</x:f>
        <x:v>95.9</x:v>
      </x:c>
      <x:c r="Q613" s="9" t="n">
        <x:f>A613-WEEKDAY(A613,2)+1</x:f>
        <x:v>46286</x:v>
      </x:c>
      <x:c r="R613" s="2" t="str">
        <x:f>IF(AND(A613&gt;='Review'!$B$4,A613&lt;='Review'!$D$4),"Selected","Outside")</x:f>
        <x:v>Outside</x:v>
      </x:c>
    </x:row>
    <x:row r="614" ht="20" customHeight="1">
      <x:c r="A614" s="9" t="n">
        <x:v>46286</x:v>
      </x:c>
      <x:c r="B614" s="2" t="str">
        <x:v>MM-1446</x:v>
      </x:c>
      <x:c r="C614" s="2" t="str">
        <x:v>Organic Search</x:v>
      </x:c>
      <x:c r="D614" s="2" t="str">
        <x:v>TOTE-001</x:v>
      </x:c>
      <x:c r="E614" s="2" t="str">
        <x:f>_xlfn.IFNA(VLOOKUP(D614,'Products'!$A$7:$I$22,2,FALSE),"Unmapped")</x:f>
        <x:v>Market canvas tote</x:v>
      </x:c>
      <x:c r="F614" s="2" t="str">
        <x:f>_xlfn.IFNA(VLOOKUP(D614,'Products'!$A$7:$I$22,3,FALSE),"Unmapped")</x:f>
        <x:v>Accessories</x:v>
      </x:c>
      <x:c r="G614" s="2" t="n">
        <x:v>3</x:v>
      </x:c>
      <x:c r="H614" s="2" t="n">
        <x:v>0</x:v>
      </x:c>
      <x:c r="I614" s="10" t="n">
        <x:v>19.95</x:v>
      </x:c>
      <x:c r="J614" s="10" t="n">
        <x:v>0</x:v>
      </x:c>
      <x:c r="K614" s="10" t="n">
        <x:v>6</x:v>
      </x:c>
      <x:c r="L614" s="10" t="n">
        <x:f>G614*I614</x:f>
        <x:v>59.849999999999994</x:v>
      </x:c>
      <x:c r="M614" s="10" t="n">
        <x:f>ROUND((L614-J614)*H614/G614,2)</x:f>
        <x:v>0</x:v>
      </x:c>
      <x:c r="N614" s="10" t="n">
        <x:f>L614-J614-M614</x:f>
        <x:v>59.849999999999994</x:v>
      </x:c>
      <x:c r="O614" s="10" t="n">
        <x:f>(G614-H614)*K614</x:f>
        <x:v>18</x:v>
      </x:c>
      <x:c r="P614" s="10" t="n">
        <x:f>N614-O614</x:f>
        <x:v>41.849999999999994</x:v>
      </x:c>
      <x:c r="Q614" s="9" t="n">
        <x:f>A614-WEEKDAY(A614,2)+1</x:f>
        <x:v>46286</x:v>
      </x:c>
      <x:c r="R614" s="2" t="str">
        <x:f>IF(AND(A614&gt;='Review'!$B$4,A614&lt;='Review'!$D$4),"Selected","Outside")</x:f>
        <x:v>Outside</x:v>
      </x:c>
    </x:row>
    <x:row r="615" ht="20" customHeight="1">
      <x:c r="A615" s="9" t="n">
        <x:v>46286</x:v>
      </x:c>
      <x:c r="B615" s="2" t="str">
        <x:v>MM-1451</x:v>
      </x:c>
      <x:c r="C615" s="2" t="str">
        <x:v>Organic Search</x:v>
      </x:c>
      <x:c r="D615" s="2" t="str">
        <x:v>TOTE-001</x:v>
      </x:c>
      <x:c r="E615" s="2" t="str">
        <x:f>_xlfn.IFNA(VLOOKUP(D615,'Products'!$A$7:$I$22,2,FALSE),"Unmapped")</x:f>
        <x:v>Market canvas tote</x:v>
      </x:c>
      <x:c r="F615" s="2" t="str">
        <x:f>_xlfn.IFNA(VLOOKUP(D615,'Products'!$A$7:$I$22,3,FALSE),"Unmapped")</x:f>
        <x:v>Accessories</x:v>
      </x:c>
      <x:c r="G615" s="2" t="n">
        <x:v>1</x:v>
      </x:c>
      <x:c r="H615" s="2" t="n">
        <x:v>0</x:v>
      </x:c>
      <x:c r="I615" s="10" t="n">
        <x:v>19.95</x:v>
      </x:c>
      <x:c r="J615" s="10" t="n">
        <x:v>1.99</x:v>
      </x:c>
      <x:c r="K615" s="10" t="n">
        <x:v>6</x:v>
      </x:c>
      <x:c r="L615" s="10" t="n">
        <x:f>G615*I615</x:f>
        <x:v>19.95</x:v>
      </x:c>
      <x:c r="M615" s="10" t="n">
        <x:f>ROUND((L615-J615)*H615/G615,2)</x:f>
        <x:v>0</x:v>
      </x:c>
      <x:c r="N615" s="10" t="n">
        <x:f>L615-J615-M615</x:f>
        <x:v>17.96</x:v>
      </x:c>
      <x:c r="O615" s="10" t="n">
        <x:f>(G615-H615)*K615</x:f>
        <x:v>6</x:v>
      </x:c>
      <x:c r="P615" s="10" t="n">
        <x:f>N615-O615</x:f>
        <x:v>11.96</x:v>
      </x:c>
      <x:c r="Q615" s="9" t="n">
        <x:f>A615-WEEKDAY(A615,2)+1</x:f>
        <x:v>46286</x:v>
      </x:c>
      <x:c r="R615" s="2" t="str">
        <x:f>IF(AND(A615&gt;='Review'!$B$4,A615&lt;='Review'!$D$4),"Selected","Outside")</x:f>
        <x:v>Outside</x:v>
      </x:c>
    </x:row>
    <x:row r="616" ht="20" customHeight="1">
      <x:c r="A616" s="9" t="n">
        <x:v>46286</x:v>
      </x:c>
      <x:c r="B616" s="2" t="str">
        <x:v>MM-1460</x:v>
      </x:c>
      <x:c r="C616" s="2" t="str">
        <x:v>Email</x:v>
      </x:c>
      <x:c r="D616" s="2" t="str">
        <x:v>HAT-001</x:v>
      </x:c>
      <x:c r="E616" s="2" t="str">
        <x:f>_xlfn.IFNA(VLOOKUP(D616,'Products'!$A$7:$I$22,2,FALSE),"Unmapped")</x:f>
        <x:v>Classic canvas cap</x:v>
      </x:c>
      <x:c r="F616" s="2" t="str">
        <x:f>_xlfn.IFNA(VLOOKUP(D616,'Products'!$A$7:$I$22,3,FALSE),"Unmapped")</x:f>
        <x:v>Accessories</x:v>
      </x:c>
      <x:c r="G616" s="2" t="n">
        <x:v>1</x:v>
      </x:c>
      <x:c r="H616" s="2" t="n">
        <x:v>0</x:v>
      </x:c>
      <x:c r="I616" s="10" t="n">
        <x:v>24.95</x:v>
      </x:c>
      <x:c r="J616" s="10" t="n">
        <x:v>2.49</x:v>
      </x:c>
      <x:c r="K616" s="10" t="n">
        <x:v>8.5</x:v>
      </x:c>
      <x:c r="L616" s="10" t="n">
        <x:f>G616*I616</x:f>
        <x:v>24.95</x:v>
      </x:c>
      <x:c r="M616" s="10" t="n">
        <x:f>ROUND((L616-J616)*H616/G616,2)</x:f>
        <x:v>0</x:v>
      </x:c>
      <x:c r="N616" s="10" t="n">
        <x:f>L616-J616-M616</x:f>
        <x:v>22.46</x:v>
      </x:c>
      <x:c r="O616" s="10" t="n">
        <x:f>(G616-H616)*K616</x:f>
        <x:v>8.5</x:v>
      </x:c>
      <x:c r="P616" s="10" t="n">
        <x:f>N616-O616</x:f>
        <x:v>13.96</x:v>
      </x:c>
      <x:c r="Q616" s="9" t="n">
        <x:f>A616-WEEKDAY(A616,2)+1</x:f>
        <x:v>46286</x:v>
      </x:c>
      <x:c r="R616" s="2" t="str">
        <x:f>IF(AND(A616&gt;='Review'!$B$4,A616&lt;='Review'!$D$4),"Selected","Outside")</x:f>
        <x:v>Outside</x:v>
      </x:c>
    </x:row>
    <x:row r="617" ht="20" customHeight="1">
      <x:c r="A617" s="9" t="n">
        <x:v>46286</x:v>
      </x:c>
      <x:c r="B617" s="2" t="str">
        <x:v>MM-1440</x:v>
      </x:c>
      <x:c r="C617" s="2" t="str">
        <x:v>Organic Search</x:v>
      </x:c>
      <x:c r="D617" s="2" t="str">
        <x:v>HAT-001</x:v>
      </x:c>
      <x:c r="E617" s="2" t="str">
        <x:f>_xlfn.IFNA(VLOOKUP(D617,'Products'!$A$7:$I$22,2,FALSE),"Unmapped")</x:f>
        <x:v>Classic canvas cap</x:v>
      </x:c>
      <x:c r="F617" s="2" t="str">
        <x:f>_xlfn.IFNA(VLOOKUP(D617,'Products'!$A$7:$I$22,3,FALSE),"Unmapped")</x:f>
        <x:v>Accessories</x:v>
      </x:c>
      <x:c r="G617" s="2" t="n">
        <x:v>1</x:v>
      </x:c>
      <x:c r="H617" s="2" t="n">
        <x:v>0</x:v>
      </x:c>
      <x:c r="I617" s="10" t="n">
        <x:v>24.95</x:v>
      </x:c>
      <x:c r="J617" s="10" t="n">
        <x:v>0</x:v>
      </x:c>
      <x:c r="K617" s="10" t="n">
        <x:v>8.5</x:v>
      </x:c>
      <x:c r="L617" s="10" t="n">
        <x:f>G617*I617</x:f>
        <x:v>24.95</x:v>
      </x:c>
      <x:c r="M617" s="10" t="n">
        <x:f>ROUND((L617-J617)*H617/G617,2)</x:f>
        <x:v>0</x:v>
      </x:c>
      <x:c r="N617" s="10" t="n">
        <x:f>L617-J617-M617</x:f>
        <x:v>24.95</x:v>
      </x:c>
      <x:c r="O617" s="10" t="n">
        <x:f>(G617-H617)*K617</x:f>
        <x:v>8.5</x:v>
      </x:c>
      <x:c r="P617" s="10" t="n">
        <x:f>N617-O617</x:f>
        <x:v>16.45</x:v>
      </x:c>
      <x:c r="Q617" s="9" t="n">
        <x:f>A617-WEEKDAY(A617,2)+1</x:f>
        <x:v>46286</x:v>
      </x:c>
      <x:c r="R617" s="2" t="str">
        <x:f>IF(AND(A617&gt;='Review'!$B$4,A617&lt;='Review'!$D$4),"Selected","Outside")</x:f>
        <x:v>Outside</x:v>
      </x:c>
    </x:row>
    <x:row r="618" ht="20" customHeight="1">
      <x:c r="A618" s="9" t="n">
        <x:v>46286</x:v>
      </x:c>
      <x:c r="B618" s="2" t="str">
        <x:v>MM-1459</x:v>
      </x:c>
      <x:c r="C618" s="2" t="str">
        <x:v>Paid Social</x:v>
      </x:c>
      <x:c r="D618" s="2" t="str">
        <x:v>MUG-002</x:v>
      </x:c>
      <x:c r="E618" s="2" t="str">
        <x:f>_xlfn.IFNA(VLOOKUP(D618,'Products'!$A$7:$I$22,2,FALSE),"Unmapped")</x:f>
        <x:v>Campfire enamel mug</x:v>
      </x:c>
      <x:c r="F618" s="2" t="str">
        <x:f>_xlfn.IFNA(VLOOKUP(D618,'Products'!$A$7:$I$22,3,FALSE),"Unmapped")</x:f>
        <x:v>Drinkware</x:v>
      </x:c>
      <x:c r="G618" s="2" t="n">
        <x:v>1</x:v>
      </x:c>
      <x:c r="H618" s="2" t="n">
        <x:v>1</x:v>
      </x:c>
      <x:c r="I618" s="10" t="n">
        <x:v>22.95</x:v>
      </x:c>
      <x:c r="J618" s="10" t="n">
        <x:v>0</x:v>
      </x:c>
      <x:c r="K618" s="10" t="n">
        <x:v>8.5</x:v>
      </x:c>
      <x:c r="L618" s="10" t="n">
        <x:f>G618*I618</x:f>
        <x:v>22.95</x:v>
      </x:c>
      <x:c r="M618" s="10" t="n">
        <x:f>ROUND((L618-J618)*H618/G618,2)</x:f>
        <x:v>22.95</x:v>
      </x:c>
      <x:c r="N618" s="10" t="n">
        <x:f>L618-J618-M618</x:f>
        <x:v>0</x:v>
      </x:c>
      <x:c r="O618" s="10" t="n">
        <x:f>(G618-H618)*K618</x:f>
        <x:v>0</x:v>
      </x:c>
      <x:c r="P618" s="10" t="n">
        <x:f>N618-O618</x:f>
        <x:v>0</x:v>
      </x:c>
      <x:c r="Q618" s="9" t="n">
        <x:f>A618-WEEKDAY(A618,2)+1</x:f>
        <x:v>46286</x:v>
      </x:c>
      <x:c r="R618" s="2" t="str">
        <x:f>IF(AND(A618&gt;='Review'!$B$4,A618&lt;='Review'!$D$4),"Selected","Outside")</x:f>
        <x:v>Outside</x:v>
      </x:c>
    </x:row>
    <x:row r="619" ht="20" customHeight="1">
      <x:c r="A619" s="9" t="n">
        <x:v>46286</x:v>
      </x:c>
      <x:c r="B619" s="2" t="str">
        <x:v>MM-1443</x:v>
      </x:c>
      <x:c r="C619" s="2" t="str">
        <x:v>Organic Search</x:v>
      </x:c>
      <x:c r="D619" s="2" t="str">
        <x:v>BOT-001</x:v>
      </x:c>
      <x:c r="E619" s="2" t="str">
        <x:f>_xlfn.IFNA(VLOOKUP(D619,'Products'!$A$7:$I$22,2,FALSE),"Unmapped")</x:f>
        <x:v>Trail water bottle</x:v>
      </x:c>
      <x:c r="F619" s="2" t="str">
        <x:f>_xlfn.IFNA(VLOOKUP(D619,'Products'!$A$7:$I$22,3,FALSE),"Unmapped")</x:f>
        <x:v>Drinkware</x:v>
      </x:c>
      <x:c r="G619" s="2" t="n">
        <x:v>1</x:v>
      </x:c>
      <x:c r="H619" s="2" t="n">
        <x:v>0</x:v>
      </x:c>
      <x:c r="I619" s="10" t="n">
        <x:v>34.95</x:v>
      </x:c>
      <x:c r="J619" s="10" t="n">
        <x:v>0</x:v>
      </x:c>
      <x:c r="K619" s="10" t="n">
        <x:v>13.5</x:v>
      </x:c>
      <x:c r="L619" s="10" t="n">
        <x:f>G619*I619</x:f>
        <x:v>34.95</x:v>
      </x:c>
      <x:c r="M619" s="10" t="n">
        <x:f>ROUND((L619-J619)*H619/G619,2)</x:f>
        <x:v>0</x:v>
      </x:c>
      <x:c r="N619" s="10" t="n">
        <x:f>L619-J619-M619</x:f>
        <x:v>34.95</x:v>
      </x:c>
      <x:c r="O619" s="10" t="n">
        <x:f>(G619-H619)*K619</x:f>
        <x:v>13.5</x:v>
      </x:c>
      <x:c r="P619" s="10" t="n">
        <x:f>N619-O619</x:f>
        <x:v>21.450000000000003</x:v>
      </x:c>
      <x:c r="Q619" s="9" t="n">
        <x:f>A619-WEEKDAY(A619,2)+1</x:f>
        <x:v>46286</x:v>
      </x:c>
      <x:c r="R619" s="2" t="str">
        <x:f>IF(AND(A619&gt;='Review'!$B$4,A619&lt;='Review'!$D$4),"Selected","Outside")</x:f>
        <x:v>Outside</x:v>
      </x:c>
    </x:row>
    <x:row r="620" ht="20" customHeight="1">
      <x:c r="A620" s="9" t="n">
        <x:v>46286</x:v>
      </x:c>
      <x:c r="B620" s="2" t="str">
        <x:v>MM-1444</x:v>
      </x:c>
      <x:c r="C620" s="2" t="str">
        <x:v>Paid Social</x:v>
      </x:c>
      <x:c r="D620" s="2" t="str">
        <x:v>APP-002</x:v>
      </x:c>
      <x:c r="E620" s="2" t="str">
        <x:f>_xlfn.IFNA(VLOOKUP(D620,'Products'!$A$7:$I$22,2,FALSE),"Unmapped")</x:f>
        <x:v>Weekend hoodie</x:v>
      </x:c>
      <x:c r="F620" s="2" t="str">
        <x:f>_xlfn.IFNA(VLOOKUP(D620,'Products'!$A$7:$I$22,3,FALSE),"Unmapped")</x:f>
        <x:v>Apparel</x:v>
      </x:c>
      <x:c r="G620" s="2" t="n">
        <x:v>1</x:v>
      </x:c>
      <x:c r="H620" s="2" t="n">
        <x:v>0</x:v>
      </x:c>
      <x:c r="I620" s="10" t="n">
        <x:v>69.95</x:v>
      </x:c>
      <x:c r="J620" s="10" t="n">
        <x:v>0</x:v>
      </x:c>
      <x:c r="K620" s="10" t="n">
        <x:v>28</x:v>
      </x:c>
      <x:c r="L620" s="10" t="n">
        <x:f>G620*I620</x:f>
        <x:v>69.95</x:v>
      </x:c>
      <x:c r="M620" s="10" t="n">
        <x:f>ROUND((L620-J620)*H620/G620,2)</x:f>
        <x:v>0</x:v>
      </x:c>
      <x:c r="N620" s="10" t="n">
        <x:f>L620-J620-M620</x:f>
        <x:v>69.95</x:v>
      </x:c>
      <x:c r="O620" s="10" t="n">
        <x:f>(G620-H620)*K620</x:f>
        <x:v>28</x:v>
      </x:c>
      <x:c r="P620" s="10" t="n">
        <x:f>N620-O620</x:f>
        <x:v>41.95</x:v>
      </x:c>
      <x:c r="Q620" s="9" t="n">
        <x:f>A620-WEEKDAY(A620,2)+1</x:f>
        <x:v>46286</x:v>
      </x:c>
      <x:c r="R620" s="2" t="str">
        <x:f>IF(AND(A620&gt;='Review'!$B$4,A620&lt;='Review'!$D$4),"Selected","Outside")</x:f>
        <x:v>Outside</x:v>
      </x:c>
    </x:row>
    <x:row r="621" ht="20" customHeight="1">
      <x:c r="A621" s="9" t="n">
        <x:v>46286</x:v>
      </x:c>
      <x:c r="B621" s="2" t="str">
        <x:v>MM-1444</x:v>
      </x:c>
      <x:c r="C621" s="2" t="str">
        <x:v>Paid Social</x:v>
      </x:c>
      <x:c r="D621" s="2" t="str">
        <x:v>APP-001</x:v>
      </x:c>
      <x:c r="E621" s="2" t="str">
        <x:f>_xlfn.IFNA(VLOOKUP(D621,'Products'!$A$7:$I$22,2,FALSE),"Unmapped")</x:f>
        <x:v>Everyday crewneck</x:v>
      </x:c>
      <x:c r="F621" s="2" t="str">
        <x:f>_xlfn.IFNA(VLOOKUP(D621,'Products'!$A$7:$I$22,3,FALSE),"Unmapped")</x:f>
        <x:v>Apparel</x:v>
      </x:c>
      <x:c r="G621" s="2" t="n">
        <x:v>1</x:v>
      </x:c>
      <x:c r="H621" s="2" t="n">
        <x:v>0</x:v>
      </x:c>
      <x:c r="I621" s="10" t="n">
        <x:v>54.95</x:v>
      </x:c>
      <x:c r="J621" s="10" t="n">
        <x:v>0</x:v>
      </x:c>
      <x:c r="K621" s="10" t="n">
        <x:v>22</x:v>
      </x:c>
      <x:c r="L621" s="10" t="n">
        <x:f>G621*I621</x:f>
        <x:v>54.95</x:v>
      </x:c>
      <x:c r="M621" s="10" t="n">
        <x:f>ROUND((L621-J621)*H621/G621,2)</x:f>
        <x:v>0</x:v>
      </x:c>
      <x:c r="N621" s="10" t="n">
        <x:f>L621-J621-M621</x:f>
        <x:v>54.95</x:v>
      </x:c>
      <x:c r="O621" s="10" t="n">
        <x:f>(G621-H621)*K621</x:f>
        <x:v>22</x:v>
      </x:c>
      <x:c r="P621" s="10" t="n">
        <x:f>N621-O621</x:f>
        <x:v>32.95</x:v>
      </x:c>
      <x:c r="Q621" s="9" t="n">
        <x:f>A621-WEEKDAY(A621,2)+1</x:f>
        <x:v>46286</x:v>
      </x:c>
      <x:c r="R621" s="2" t="str">
        <x:f>IF(AND(A621&gt;='Review'!$B$4,A621&lt;='Review'!$D$4),"Selected","Outside")</x:f>
        <x:v>Outside</x:v>
      </x:c>
    </x:row>
    <x:row r="622" ht="20" customHeight="1">
      <x:c r="A622" s="9" t="n">
        <x:v>46286</x:v>
      </x:c>
      <x:c r="B622" s="2" t="str">
        <x:v>MM-1454</x:v>
      </x:c>
      <x:c r="C622" s="2" t="str">
        <x:v>Organic Search</x:v>
      </x:c>
      <x:c r="D622" s="2" t="str">
        <x:v>GFT-002</x:v>
      </x:c>
      <x:c r="E622" s="2" t="str">
        <x:f>_xlfn.IFNA(VLOOKUP(D622,'Products'!$A$7:$I$22,2,FALSE),"Unmapped")</x:f>
        <x:v>Cozy weekend gift box</x:v>
      </x:c>
      <x:c r="F622" s="2" t="str">
        <x:f>_xlfn.IFNA(VLOOKUP(D622,'Products'!$A$7:$I$22,3,FALSE),"Unmapped")</x:f>
        <x:v>Gifts</x:v>
      </x:c>
      <x:c r="G622" s="2" t="n">
        <x:v>1</x:v>
      </x:c>
      <x:c r="H622" s="2" t="n">
        <x:v>0</x:v>
      </x:c>
      <x:c r="I622" s="10" t="n">
        <x:v>79.95</x:v>
      </x:c>
      <x:c r="J622" s="10" t="n">
        <x:v>0</x:v>
      </x:c>
      <x:c r="K622" s="10" t="n">
        <x:v>32</x:v>
      </x:c>
      <x:c r="L622" s="10" t="n">
        <x:f>G622*I622</x:f>
        <x:v>79.95</x:v>
      </x:c>
      <x:c r="M622" s="10" t="n">
        <x:f>ROUND((L622-J622)*H622/G622,2)</x:f>
        <x:v>0</x:v>
      </x:c>
      <x:c r="N622" s="10" t="n">
        <x:f>L622-J622-M622</x:f>
        <x:v>79.95</x:v>
      </x:c>
      <x:c r="O622" s="10" t="n">
        <x:f>(G622-H622)*K622</x:f>
        <x:v>32</x:v>
      </x:c>
      <x:c r="P622" s="10" t="n">
        <x:f>N622-O622</x:f>
        <x:v>47.95</x:v>
      </x:c>
      <x:c r="Q622" s="9" t="n">
        <x:f>A622-WEEKDAY(A622,2)+1</x:f>
        <x:v>46286</x:v>
      </x:c>
      <x:c r="R622" s="2" t="str">
        <x:f>IF(AND(A622&gt;='Review'!$B$4,A622&lt;='Review'!$D$4),"Selected","Outside")</x:f>
        <x:v>Outside</x:v>
      </x:c>
    </x:row>
    <x:row r="623" ht="20" customHeight="1">
      <x:c r="A623" s="9" t="n">
        <x:v>46286</x:v>
      </x:c>
      <x:c r="B623" s="2" t="str">
        <x:v>MM-1454</x:v>
      </x:c>
      <x:c r="C623" s="2" t="str">
        <x:v>Organic Search</x:v>
      </x:c>
      <x:c r="D623" s="2" t="str">
        <x:v>APP-001</x:v>
      </x:c>
      <x:c r="E623" s="2" t="str">
        <x:f>_xlfn.IFNA(VLOOKUP(D623,'Products'!$A$7:$I$22,2,FALSE),"Unmapped")</x:f>
        <x:v>Everyday crewneck</x:v>
      </x:c>
      <x:c r="F623" s="2" t="str">
        <x:f>_xlfn.IFNA(VLOOKUP(D623,'Products'!$A$7:$I$22,3,FALSE),"Unmapped")</x:f>
        <x:v>Apparel</x:v>
      </x:c>
      <x:c r="G623" s="2" t="n">
        <x:v>1</x:v>
      </x:c>
      <x:c r="H623" s="2" t="n">
        <x:v>0</x:v>
      </x:c>
      <x:c r="I623" s="10" t="n">
        <x:v>54.95</x:v>
      </x:c>
      <x:c r="J623" s="10" t="n">
        <x:v>0</x:v>
      </x:c>
      <x:c r="K623" s="10" t="n">
        <x:v>22</x:v>
      </x:c>
      <x:c r="L623" s="10" t="n">
        <x:f>G623*I623</x:f>
        <x:v>54.95</x:v>
      </x:c>
      <x:c r="M623" s="10" t="n">
        <x:f>ROUND((L623-J623)*H623/G623,2)</x:f>
        <x:v>0</x:v>
      </x:c>
      <x:c r="N623" s="10" t="n">
        <x:f>L623-J623-M623</x:f>
        <x:v>54.95</x:v>
      </x:c>
      <x:c r="O623" s="10" t="n">
        <x:f>(G623-H623)*K623</x:f>
        <x:v>22</x:v>
      </x:c>
      <x:c r="P623" s="10" t="n">
        <x:f>N623-O623</x:f>
        <x:v>32.95</x:v>
      </x:c>
      <x:c r="Q623" s="9" t="n">
        <x:f>A623-WEEKDAY(A623,2)+1</x:f>
        <x:v>46286</x:v>
      </x:c>
      <x:c r="R623" s="2" t="str">
        <x:f>IF(AND(A623&gt;='Review'!$B$4,A623&lt;='Review'!$D$4),"Selected","Outside")</x:f>
        <x:v>Outside</x:v>
      </x:c>
    </x:row>
    <x:row r="624" ht="20" customHeight="1">
      <x:c r="A624" s="9" t="n">
        <x:v>46286</x:v>
      </x:c>
      <x:c r="B624" s="2" t="str">
        <x:v>MM-1458</x:v>
      </x:c>
      <x:c r="C624" s="2" t="str">
        <x:v>Direct</x:v>
      </x:c>
      <x:c r="D624" s="2" t="str">
        <x:v>GFT-001</x:v>
      </x:c>
      <x:c r="E624" s="2" t="str">
        <x:f>_xlfn.IFNA(VLOOKUP(D624,'Products'!$A$7:$I$22,2,FALSE),"Unmapped")</x:f>
        <x:v>Morning ritual gift set</x:v>
      </x:c>
      <x:c r="F624" s="2" t="str">
        <x:f>_xlfn.IFNA(VLOOKUP(D624,'Products'!$A$7:$I$22,3,FALSE),"Unmapped")</x:f>
        <x:v>Gifts</x:v>
      </x:c>
      <x:c r="G624" s="2" t="n">
        <x:v>1</x:v>
      </x:c>
      <x:c r="H624" s="2" t="n">
        <x:v>0</x:v>
      </x:c>
      <x:c r="I624" s="10" t="n">
        <x:v>59.95</x:v>
      </x:c>
      <x:c r="J624" s="10" t="n">
        <x:v>0</x:v>
      </x:c>
      <x:c r="K624" s="10" t="n">
        <x:v>24</x:v>
      </x:c>
      <x:c r="L624" s="10" t="n">
        <x:f>G624*I624</x:f>
        <x:v>59.95</x:v>
      </x:c>
      <x:c r="M624" s="10" t="n">
        <x:f>ROUND((L624-J624)*H624/G624,2)</x:f>
        <x:v>0</x:v>
      </x:c>
      <x:c r="N624" s="10" t="n">
        <x:f>L624-J624-M624</x:f>
        <x:v>59.95</x:v>
      </x:c>
      <x:c r="O624" s="10" t="n">
        <x:f>(G624-H624)*K624</x:f>
        <x:v>24</x:v>
      </x:c>
      <x:c r="P624" s="10" t="n">
        <x:f>N624-O624</x:f>
        <x:v>35.95</x:v>
      </x:c>
      <x:c r="Q624" s="9" t="n">
        <x:f>A624-WEEKDAY(A624,2)+1</x:f>
        <x:v>46286</x:v>
      </x:c>
      <x:c r="R624" s="2" t="str">
        <x:f>IF(AND(A624&gt;='Review'!$B$4,A624&lt;='Review'!$D$4),"Selected","Outside")</x:f>
        <x:v>Outside</x:v>
      </x:c>
    </x:row>
    <x:row r="625" ht="20" customHeight="1">
      <x:c r="A625" s="9" t="n">
        <x:v>46286</x:v>
      </x:c>
      <x:c r="B625" s="2" t="str">
        <x:v>MM-1439</x:v>
      </x:c>
      <x:c r="C625" s="2" t="str">
        <x:v>Email</x:v>
      </x:c>
      <x:c r="D625" s="2" t="str">
        <x:v>APP-003</x:v>
      </x:c>
      <x:c r="E625" s="2" t="str">
        <x:f>_xlfn.IFNA(VLOOKUP(D625,'Products'!$A$7:$I$22,2,FALSE),"Unmapped")</x:f>
        <x:v>Coffee club tee</x:v>
      </x:c>
      <x:c r="F625" s="2" t="str">
        <x:f>_xlfn.IFNA(VLOOKUP(D625,'Products'!$A$7:$I$22,3,FALSE),"Unmapped")</x:f>
        <x:v>Apparel</x:v>
      </x:c>
      <x:c r="G625" s="2" t="n">
        <x:v>1</x:v>
      </x:c>
      <x:c r="H625" s="2" t="n">
        <x:v>0</x:v>
      </x:c>
      <x:c r="I625" s="10" t="n">
        <x:v>29.95</x:v>
      </x:c>
      <x:c r="J625" s="10" t="n">
        <x:v>2.99</x:v>
      </x:c>
      <x:c r="K625" s="10" t="n">
        <x:v>10</x:v>
      </x:c>
      <x:c r="L625" s="10" t="n">
        <x:f>G625*I625</x:f>
        <x:v>29.95</x:v>
      </x:c>
      <x:c r="M625" s="10" t="n">
        <x:f>ROUND((L625-J625)*H625/G625,2)</x:f>
        <x:v>0</x:v>
      </x:c>
      <x:c r="N625" s="10" t="n">
        <x:f>L625-J625-M625</x:f>
        <x:v>26.96</x:v>
      </x:c>
      <x:c r="O625" s="10" t="n">
        <x:f>(G625-H625)*K625</x:f>
        <x:v>10</x:v>
      </x:c>
      <x:c r="P625" s="10" t="n">
        <x:f>N625-O625</x:f>
        <x:v>16.96</x:v>
      </x:c>
      <x:c r="Q625" s="9" t="n">
        <x:f>A625-WEEKDAY(A625,2)+1</x:f>
        <x:v>46286</x:v>
      </x:c>
      <x:c r="R625" s="2" t="str">
        <x:f>IF(AND(A625&gt;='Review'!$B$4,A625&lt;='Review'!$D$4),"Selected","Outside")</x:f>
        <x:v>Outside</x:v>
      </x:c>
    </x:row>
    <x:row r="626" ht="20" customHeight="1">
      <x:c r="A626" s="9" t="n">
        <x:v>46286</x:v>
      </x:c>
      <x:c r="B626" s="2" t="str">
        <x:v>MM-1447</x:v>
      </x:c>
      <x:c r="C626" s="2" t="str">
        <x:v>Email</x:v>
      </x:c>
      <x:c r="D626" s="2" t="str">
        <x:v>APP-003</x:v>
      </x:c>
      <x:c r="E626" s="2" t="str">
        <x:f>_xlfn.IFNA(VLOOKUP(D626,'Products'!$A$7:$I$22,2,FALSE),"Unmapped")</x:f>
        <x:v>Coffee club tee</x:v>
      </x:c>
      <x:c r="F626" s="2" t="str">
        <x:f>_xlfn.IFNA(VLOOKUP(D626,'Products'!$A$7:$I$22,3,FALSE),"Unmapped")</x:f>
        <x:v>Apparel</x:v>
      </x:c>
      <x:c r="G626" s="2" t="n">
        <x:v>2</x:v>
      </x:c>
      <x:c r="H626" s="2" t="n">
        <x:v>0</x:v>
      </x:c>
      <x:c r="I626" s="10" t="n">
        <x:v>29.95</x:v>
      </x:c>
      <x:c r="J626" s="10" t="n">
        <x:v>5.99</x:v>
      </x:c>
      <x:c r="K626" s="10" t="n">
        <x:v>10</x:v>
      </x:c>
      <x:c r="L626" s="10" t="n">
        <x:f>G626*I626</x:f>
        <x:v>59.9</x:v>
      </x:c>
      <x:c r="M626" s="10" t="n">
        <x:f>ROUND((L626-J626)*H626/G626,2)</x:f>
        <x:v>0</x:v>
      </x:c>
      <x:c r="N626" s="10" t="n">
        <x:f>L626-J626-M626</x:f>
        <x:v>53.91</x:v>
      </x:c>
      <x:c r="O626" s="10" t="n">
        <x:f>(G626-H626)*K626</x:f>
        <x:v>20</x:v>
      </x:c>
      <x:c r="P626" s="10" t="n">
        <x:f>N626-O626</x:f>
        <x:v>33.91</x:v>
      </x:c>
      <x:c r="Q626" s="9" t="n">
        <x:f>A626-WEEKDAY(A626,2)+1</x:f>
        <x:v>46286</x:v>
      </x:c>
      <x:c r="R626" s="2" t="str">
        <x:f>IF(AND(A626&gt;='Review'!$B$4,A626&lt;='Review'!$D$4),"Selected","Outside")</x:f>
        <x:v>Outside</x:v>
      </x:c>
    </x:row>
    <x:row r="627" ht="20" customHeight="1">
      <x:c r="A627" s="9" t="n">
        <x:v>46286</x:v>
      </x:c>
      <x:c r="B627" s="2" t="str">
        <x:v>MM-1448</x:v>
      </x:c>
      <x:c r="C627" s="2" t="str">
        <x:v>Email</x:v>
      </x:c>
      <x:c r="D627" s="2" t="str">
        <x:v>PIN-001</x:v>
      </x:c>
      <x:c r="E627" s="2" t="str">
        <x:f>_xlfn.IFNA(VLOOKUP(D627,'Products'!$A$7:$I$22,2,FALSE),"Unmapped")</x:f>
        <x:v>Coffee enamel pin</x:v>
      </x:c>
      <x:c r="F627" s="2" t="str">
        <x:f>_xlfn.IFNA(VLOOKUP(D627,'Products'!$A$7:$I$22,3,FALSE),"Unmapped")</x:f>
        <x:v>Accessories</x:v>
      </x:c>
      <x:c r="G627" s="2" t="n">
        <x:v>1</x:v>
      </x:c>
      <x:c r="H627" s="2" t="n">
        <x:v>0</x:v>
      </x:c>
      <x:c r="I627" s="10" t="n">
        <x:v>9.95</x:v>
      </x:c>
      <x:c r="J627" s="10" t="n">
        <x:v>0.99</x:v>
      </x:c>
      <x:c r="K627" s="10" t="n">
        <x:v>2.5</x:v>
      </x:c>
      <x:c r="L627" s="10" t="n">
        <x:f>G627*I627</x:f>
        <x:v>9.95</x:v>
      </x:c>
      <x:c r="M627" s="10" t="n">
        <x:f>ROUND((L627-J627)*H627/G627,2)</x:f>
        <x:v>0</x:v>
      </x:c>
      <x:c r="N627" s="10" t="n">
        <x:f>L627-J627-M627</x:f>
        <x:v>8.959999999999999</x:v>
      </x:c>
      <x:c r="O627" s="10" t="n">
        <x:f>(G627-H627)*K627</x:f>
        <x:v>2.5</x:v>
      </x:c>
      <x:c r="P627" s="10" t="n">
        <x:f>N627-O627</x:f>
        <x:v>6.459999999999999</x:v>
      </x:c>
      <x:c r="Q627" s="9" t="n">
        <x:f>A627-WEEKDAY(A627,2)+1</x:f>
        <x:v>46286</x:v>
      </x:c>
      <x:c r="R627" s="2" t="str">
        <x:f>IF(AND(A627&gt;='Review'!$B$4,A627&lt;='Review'!$D$4),"Selected","Outside")</x:f>
        <x:v>Outside</x:v>
      </x:c>
    </x:row>
    <x:row r="628" ht="20" customHeight="1">
      <x:c r="A628" s="9" t="n">
        <x:v>46286</x:v>
      </x:c>
      <x:c r="B628" s="2" t="str">
        <x:v>MM-1438</x:v>
      </x:c>
      <x:c r="C628" s="2" t="str">
        <x:v>Paid Social</x:v>
      </x:c>
      <x:c r="D628" s="2" t="str">
        <x:v>MUG-002</x:v>
      </x:c>
      <x:c r="E628" s="2" t="str">
        <x:f>_xlfn.IFNA(VLOOKUP(D628,'Products'!$A$7:$I$22,2,FALSE),"Unmapped")</x:f>
        <x:v>Campfire enamel mug</x:v>
      </x:c>
      <x:c r="F628" s="2" t="str">
        <x:f>_xlfn.IFNA(VLOOKUP(D628,'Products'!$A$7:$I$22,3,FALSE),"Unmapped")</x:f>
        <x:v>Drinkware</x:v>
      </x:c>
      <x:c r="G628" s="2" t="n">
        <x:v>1</x:v>
      </x:c>
      <x:c r="H628" s="2" t="n">
        <x:v>0</x:v>
      </x:c>
      <x:c r="I628" s="10" t="n">
        <x:v>22.95</x:v>
      </x:c>
      <x:c r="J628" s="10" t="n">
        <x:v>0</x:v>
      </x:c>
      <x:c r="K628" s="10" t="n">
        <x:v>8.5</x:v>
      </x:c>
      <x:c r="L628" s="10" t="n">
        <x:f>G628*I628</x:f>
        <x:v>22.95</x:v>
      </x:c>
      <x:c r="M628" s="10" t="n">
        <x:f>ROUND((L628-J628)*H628/G628,2)</x:f>
        <x:v>0</x:v>
      </x:c>
      <x:c r="N628" s="10" t="n">
        <x:f>L628-J628-M628</x:f>
        <x:v>22.95</x:v>
      </x:c>
      <x:c r="O628" s="10" t="n">
        <x:f>(G628-H628)*K628</x:f>
        <x:v>8.5</x:v>
      </x:c>
      <x:c r="P628" s="10" t="n">
        <x:f>N628-O628</x:f>
        <x:v>14.45</x:v>
      </x:c>
      <x:c r="Q628" s="9" t="n">
        <x:f>A628-WEEKDAY(A628,2)+1</x:f>
        <x:v>46286</x:v>
      </x:c>
      <x:c r="R628" s="2" t="str">
        <x:f>IF(AND(A628&gt;='Review'!$B$4,A628&lt;='Review'!$D$4),"Selected","Outside")</x:f>
        <x:v>Outside</x:v>
      </x:c>
    </x:row>
    <x:row r="629" ht="20" customHeight="1">
      <x:c r="A629" s="9" t="n">
        <x:v>46286</x:v>
      </x:c>
      <x:c r="B629" s="2" t="str">
        <x:v>MM-1453</x:v>
      </x:c>
      <x:c r="C629" s="2" t="str">
        <x:v>Organic Search</x:v>
      </x:c>
      <x:c r="D629" s="2" t="str">
        <x:v>MUG-002</x:v>
      </x:c>
      <x:c r="E629" s="2" t="str">
        <x:f>_xlfn.IFNA(VLOOKUP(D629,'Products'!$A$7:$I$22,2,FALSE),"Unmapped")</x:f>
        <x:v>Campfire enamel mug</x:v>
      </x:c>
      <x:c r="F629" s="2" t="str">
        <x:f>_xlfn.IFNA(VLOOKUP(D629,'Products'!$A$7:$I$22,3,FALSE),"Unmapped")</x:f>
        <x:v>Drinkware</x:v>
      </x:c>
      <x:c r="G629" s="2" t="n">
        <x:v>1</x:v>
      </x:c>
      <x:c r="H629" s="2" t="n">
        <x:v>0</x:v>
      </x:c>
      <x:c r="I629" s="10" t="n">
        <x:v>22.95</x:v>
      </x:c>
      <x:c r="J629" s="10" t="n">
        <x:v>0</x:v>
      </x:c>
      <x:c r="K629" s="10" t="n">
        <x:v>8.5</x:v>
      </x:c>
      <x:c r="L629" s="10" t="n">
        <x:f>G629*I629</x:f>
        <x:v>22.95</x:v>
      </x:c>
      <x:c r="M629" s="10" t="n">
        <x:f>ROUND((L629-J629)*H629/G629,2)</x:f>
        <x:v>0</x:v>
      </x:c>
      <x:c r="N629" s="10" t="n">
        <x:f>L629-J629-M629</x:f>
        <x:v>22.95</x:v>
      </x:c>
      <x:c r="O629" s="10" t="n">
        <x:f>(G629-H629)*K629</x:f>
        <x:v>8.5</x:v>
      </x:c>
      <x:c r="P629" s="10" t="n">
        <x:f>N629-O629</x:f>
        <x:v>14.45</x:v>
      </x:c>
      <x:c r="Q629" s="9" t="n">
        <x:f>A629-WEEKDAY(A629,2)+1</x:f>
        <x:v>46286</x:v>
      </x:c>
      <x:c r="R629" s="2" t="str">
        <x:f>IF(AND(A629&gt;='Review'!$B$4,A629&lt;='Review'!$D$4),"Selected","Outside")</x:f>
        <x:v>Outside</x:v>
      </x:c>
    </x:row>
    <x:row r="630" ht="20" customHeight="1">
      <x:c r="A630" s="9" t="n">
        <x:v>46286</x:v>
      </x:c>
      <x:c r="B630" s="2" t="str">
        <x:v>MM-1452</x:v>
      </x:c>
      <x:c r="C630" s="2" t="str">
        <x:v>Email</x:v>
      </x:c>
      <x:c r="D630" s="2" t="str">
        <x:v>BOT-001</x:v>
      </x:c>
      <x:c r="E630" s="2" t="str">
        <x:f>_xlfn.IFNA(VLOOKUP(D630,'Products'!$A$7:$I$22,2,FALSE),"Unmapped")</x:f>
        <x:v>Trail water bottle</x:v>
      </x:c>
      <x:c r="F630" s="2" t="str">
        <x:f>_xlfn.IFNA(VLOOKUP(D630,'Products'!$A$7:$I$22,3,FALSE),"Unmapped")</x:f>
        <x:v>Drinkware</x:v>
      </x:c>
      <x:c r="G630" s="2" t="n">
        <x:v>1</x:v>
      </x:c>
      <x:c r="H630" s="2" t="n">
        <x:v>0</x:v>
      </x:c>
      <x:c r="I630" s="10" t="n">
        <x:v>34.95</x:v>
      </x:c>
      <x:c r="J630" s="10" t="n">
        <x:v>3.49</x:v>
      </x:c>
      <x:c r="K630" s="10" t="n">
        <x:v>13.5</x:v>
      </x:c>
      <x:c r="L630" s="10" t="n">
        <x:f>G630*I630</x:f>
        <x:v>34.95</x:v>
      </x:c>
      <x:c r="M630" s="10" t="n">
        <x:f>ROUND((L630-J630)*H630/G630,2)</x:f>
        <x:v>0</x:v>
      </x:c>
      <x:c r="N630" s="10" t="n">
        <x:f>L630-J630-M630</x:f>
        <x:v>31.46</x:v>
      </x:c>
      <x:c r="O630" s="10" t="n">
        <x:f>(G630-H630)*K630</x:f>
        <x:v>13.5</x:v>
      </x:c>
      <x:c r="P630" s="10" t="n">
        <x:f>N630-O630</x:f>
        <x:v>17.96</x:v>
      </x:c>
      <x:c r="Q630" s="9" t="n">
        <x:f>A630-WEEKDAY(A630,2)+1</x:f>
        <x:v>46286</x:v>
      </x:c>
      <x:c r="R630" s="2" t="str">
        <x:f>IF(AND(A630&gt;='Review'!$B$4,A630&lt;='Review'!$D$4),"Selected","Outside")</x:f>
        <x:v>Outside</x:v>
      </x:c>
    </x:row>
    <x:row r="631" ht="20" customHeight="1">
      <x:c r="A631" s="9" t="n">
        <x:v>46286</x:v>
      </x:c>
      <x:c r="B631" s="2" t="str">
        <x:v>MM-1457</x:v>
      </x:c>
      <x:c r="C631" s="2" t="str">
        <x:v>Organic Search</x:v>
      </x:c>
      <x:c r="D631" s="2" t="str">
        <x:v>TUM-001</x:v>
      </x:c>
      <x:c r="E631" s="2" t="str">
        <x:f>_xlfn.IFNA(VLOOKUP(D631,'Products'!$A$7:$I$22,2,FALSE),"Unmapped")</x:f>
        <x:v>Maple travel tumbler</x:v>
      </x:c>
      <x:c r="F631" s="2" t="str">
        <x:f>_xlfn.IFNA(VLOOKUP(D631,'Products'!$A$7:$I$22,3,FALSE),"Unmapped")</x:f>
        <x:v>Drinkware</x:v>
      </x:c>
      <x:c r="G631" s="2" t="n">
        <x:v>1</x:v>
      </x:c>
      <x:c r="H631" s="2" t="n">
        <x:v>0</x:v>
      </x:c>
      <x:c r="I631" s="10" t="n">
        <x:v>32.95</x:v>
      </x:c>
      <x:c r="J631" s="10" t="n">
        <x:v>0</x:v>
      </x:c>
      <x:c r="K631" s="10" t="n">
        <x:v>12</x:v>
      </x:c>
      <x:c r="L631" s="10" t="n">
        <x:f>G631*I631</x:f>
        <x:v>32.95</x:v>
      </x:c>
      <x:c r="M631" s="10" t="n">
        <x:f>ROUND((L631-J631)*H631/G631,2)</x:f>
        <x:v>0</x:v>
      </x:c>
      <x:c r="N631" s="10" t="n">
        <x:f>L631-J631-M631</x:f>
        <x:v>32.95</x:v>
      </x:c>
      <x:c r="O631" s="10" t="n">
        <x:f>(G631-H631)*K631</x:f>
        <x:v>12</x:v>
      </x:c>
      <x:c r="P631" s="10" t="n">
        <x:f>N631-O631</x:f>
        <x:v>20.950000000000003</x:v>
      </x:c>
      <x:c r="Q631" s="9" t="n">
        <x:f>A631-WEEKDAY(A631,2)+1</x:f>
        <x:v>46286</x:v>
      </x:c>
      <x:c r="R631" s="2" t="str">
        <x:f>IF(AND(A631&gt;='Review'!$B$4,A631&lt;='Review'!$D$4),"Selected","Outside")</x:f>
        <x:v>Outside</x:v>
      </x:c>
    </x:row>
    <x:row r="632" ht="20" customHeight="1">
      <x:c r="A632" s="9" t="n">
        <x:v>46286</x:v>
      </x:c>
      <x:c r="B632" s="2" t="str">
        <x:v>MM-1457</x:v>
      </x:c>
      <x:c r="C632" s="2" t="str">
        <x:v>Organic Search</x:v>
      </x:c>
      <x:c r="D632" s="2" t="str">
        <x:v>PIN-001</x:v>
      </x:c>
      <x:c r="E632" s="2" t="str">
        <x:f>_xlfn.IFNA(VLOOKUP(D632,'Products'!$A$7:$I$22,2,FALSE),"Unmapped")</x:f>
        <x:v>Coffee enamel pin</x:v>
      </x:c>
      <x:c r="F632" s="2" t="str">
        <x:f>_xlfn.IFNA(VLOOKUP(D632,'Products'!$A$7:$I$22,3,FALSE),"Unmapped")</x:f>
        <x:v>Accessories</x:v>
      </x:c>
      <x:c r="G632" s="2" t="n">
        <x:v>1</x:v>
      </x:c>
      <x:c r="H632" s="2" t="n">
        <x:v>0</x:v>
      </x:c>
      <x:c r="I632" s="10" t="n">
        <x:v>9.95</x:v>
      </x:c>
      <x:c r="J632" s="10" t="n">
        <x:v>0</x:v>
      </x:c>
      <x:c r="K632" s="10" t="n">
        <x:v>2.5</x:v>
      </x:c>
      <x:c r="L632" s="10" t="n">
        <x:f>G632*I632</x:f>
        <x:v>9.95</x:v>
      </x:c>
      <x:c r="M632" s="10" t="n">
        <x:f>ROUND((L632-J632)*H632/G632,2)</x:f>
        <x:v>0</x:v>
      </x:c>
      <x:c r="N632" s="10" t="n">
        <x:f>L632-J632-M632</x:f>
        <x:v>9.95</x:v>
      </x:c>
      <x:c r="O632" s="10" t="n">
        <x:f>(G632-H632)*K632</x:f>
        <x:v>2.5</x:v>
      </x:c>
      <x:c r="P632" s="10" t="n">
        <x:f>N632-O632</x:f>
        <x:v>7.449999999999999</x:v>
      </x:c>
      <x:c r="Q632" s="9" t="n">
        <x:f>A632-WEEKDAY(A632,2)+1</x:f>
        <x:v>46286</x:v>
      </x:c>
      <x:c r="R632" s="2" t="str">
        <x:f>IF(AND(A632&gt;='Review'!$B$4,A632&lt;='Review'!$D$4),"Selected","Outside")</x:f>
        <x:v>Outside</x:v>
      </x:c>
    </x:row>
    <x:row r="633" ht="20" customHeight="1">
      <x:c r="A633" s="9" t="n">
        <x:v>46287</x:v>
      </x:c>
      <x:c r="B633" s="2" t="str">
        <x:v>MM-1470</x:v>
      </x:c>
      <x:c r="C633" s="2" t="str">
        <x:v>Paid Social</x:v>
      </x:c>
      <x:c r="D633" s="2" t="str">
        <x:v>GFT-002</x:v>
      </x:c>
      <x:c r="E633" s="2" t="str">
        <x:f>_xlfn.IFNA(VLOOKUP(D633,'Products'!$A$7:$I$22,2,FALSE),"Unmapped")</x:f>
        <x:v>Cozy weekend gift box</x:v>
      </x:c>
      <x:c r="F633" s="2" t="str">
        <x:f>_xlfn.IFNA(VLOOKUP(D633,'Products'!$A$7:$I$22,3,FALSE),"Unmapped")</x:f>
        <x:v>Gifts</x:v>
      </x:c>
      <x:c r="G633" s="2" t="n">
        <x:v>3</x:v>
      </x:c>
      <x:c r="H633" s="2" t="n">
        <x:v>0</x:v>
      </x:c>
      <x:c r="I633" s="10" t="n">
        <x:v>79.95</x:v>
      </x:c>
      <x:c r="J633" s="10" t="n">
        <x:v>0</x:v>
      </x:c>
      <x:c r="K633" s="10" t="n">
        <x:v>32</x:v>
      </x:c>
      <x:c r="L633" s="10" t="n">
        <x:f>G633*I633</x:f>
        <x:v>239.85000000000002</x:v>
      </x:c>
      <x:c r="M633" s="10" t="n">
        <x:f>ROUND((L633-J633)*H633/G633,2)</x:f>
        <x:v>0</x:v>
      </x:c>
      <x:c r="N633" s="10" t="n">
        <x:f>L633-J633-M633</x:f>
        <x:v>239.85000000000002</x:v>
      </x:c>
      <x:c r="O633" s="10" t="n">
        <x:f>(G633-H633)*K633</x:f>
        <x:v>96</x:v>
      </x:c>
      <x:c r="P633" s="10" t="n">
        <x:f>N633-O633</x:f>
        <x:v>143.85000000000002</x:v>
      </x:c>
      <x:c r="Q633" s="9" t="n">
        <x:f>A633-WEEKDAY(A633,2)+1</x:f>
        <x:v>46286</x:v>
      </x:c>
      <x:c r="R633" s="2" t="str">
        <x:f>IF(AND(A633&gt;='Review'!$B$4,A633&lt;='Review'!$D$4),"Selected","Outside")</x:f>
        <x:v>Outside</x:v>
      </x:c>
    </x:row>
    <x:row r="634" ht="20" customHeight="1">
      <x:c r="A634" s="9" t="n">
        <x:v>46287</x:v>
      </x:c>
      <x:c r="B634" s="2" t="str">
        <x:v>MM-1468</x:v>
      </x:c>
      <x:c r="C634" s="2" t="str">
        <x:v>Email</x:v>
      </x:c>
      <x:c r="D634" s="2" t="str">
        <x:v>BOT-001</x:v>
      </x:c>
      <x:c r="E634" s="2" t="str">
        <x:f>_xlfn.IFNA(VLOOKUP(D634,'Products'!$A$7:$I$22,2,FALSE),"Unmapped")</x:f>
        <x:v>Trail water bottle</x:v>
      </x:c>
      <x:c r="F634" s="2" t="str">
        <x:f>_xlfn.IFNA(VLOOKUP(D634,'Products'!$A$7:$I$22,3,FALSE),"Unmapped")</x:f>
        <x:v>Drinkware</x:v>
      </x:c>
      <x:c r="G634" s="2" t="n">
        <x:v>1</x:v>
      </x:c>
      <x:c r="H634" s="2" t="n">
        <x:v>0</x:v>
      </x:c>
      <x:c r="I634" s="10" t="n">
        <x:v>34.95</x:v>
      </x:c>
      <x:c r="J634" s="10" t="n">
        <x:v>3.49</x:v>
      </x:c>
      <x:c r="K634" s="10" t="n">
        <x:v>13.5</x:v>
      </x:c>
      <x:c r="L634" s="10" t="n">
        <x:f>G634*I634</x:f>
        <x:v>34.95</x:v>
      </x:c>
      <x:c r="M634" s="10" t="n">
        <x:f>ROUND((L634-J634)*H634/G634,2)</x:f>
        <x:v>0</x:v>
      </x:c>
      <x:c r="N634" s="10" t="n">
        <x:f>L634-J634-M634</x:f>
        <x:v>31.46</x:v>
      </x:c>
      <x:c r="O634" s="10" t="n">
        <x:f>(G634-H634)*K634</x:f>
        <x:v>13.5</x:v>
      </x:c>
      <x:c r="P634" s="10" t="n">
        <x:f>N634-O634</x:f>
        <x:v>17.96</x:v>
      </x:c>
      <x:c r="Q634" s="9" t="n">
        <x:f>A634-WEEKDAY(A634,2)+1</x:f>
        <x:v>46286</x:v>
      </x:c>
      <x:c r="R634" s="2" t="str">
        <x:f>IF(AND(A634&gt;='Review'!$B$4,A634&lt;='Review'!$D$4),"Selected","Outside")</x:f>
        <x:v>Outside</x:v>
      </x:c>
    </x:row>
    <x:row r="635" ht="20" customHeight="1">
      <x:c r="A635" s="9" t="n">
        <x:v>46287</x:v>
      </x:c>
      <x:c r="B635" s="2" t="str">
        <x:v>MM-1463</x:v>
      </x:c>
      <x:c r="C635" s="2" t="str">
        <x:v>Organic Search</x:v>
      </x:c>
      <x:c r="D635" s="2" t="str">
        <x:v>MUG-001</x:v>
      </x:c>
      <x:c r="E635" s="2" t="str">
        <x:f>_xlfn.IFNA(VLOOKUP(D635,'Products'!$A$7:$I$22,2,FALSE),"Unmapped")</x:f>
        <x:v>Everyday ceramic mug</x:v>
      </x:c>
      <x:c r="F635" s="2" t="str">
        <x:f>_xlfn.IFNA(VLOOKUP(D635,'Products'!$A$7:$I$22,3,FALSE),"Unmapped")</x:f>
        <x:v>Drinkware</x:v>
      </x:c>
      <x:c r="G635" s="2" t="n">
        <x:v>1</x:v>
      </x:c>
      <x:c r="H635" s="2" t="n">
        <x:v>0</x:v>
      </x:c>
      <x:c r="I635" s="10" t="n">
        <x:v>18.95</x:v>
      </x:c>
      <x:c r="J635" s="10" t="n">
        <x:v>0</x:v>
      </x:c>
      <x:c r="K635" s="10" t="n">
        <x:v>6.5</x:v>
      </x:c>
      <x:c r="L635" s="10" t="n">
        <x:f>G635*I635</x:f>
        <x:v>18.95</x:v>
      </x:c>
      <x:c r="M635" s="10" t="n">
        <x:f>ROUND((L635-J635)*H635/G635,2)</x:f>
        <x:v>0</x:v>
      </x:c>
      <x:c r="N635" s="10" t="n">
        <x:f>L635-J635-M635</x:f>
        <x:v>18.95</x:v>
      </x:c>
      <x:c r="O635" s="10" t="n">
        <x:f>(G635-H635)*K635</x:f>
        <x:v>6.5</x:v>
      </x:c>
      <x:c r="P635" s="10" t="n">
        <x:f>N635-O635</x:f>
        <x:v>12.45</x:v>
      </x:c>
      <x:c r="Q635" s="9" t="n">
        <x:f>A635-WEEKDAY(A635,2)+1</x:f>
        <x:v>46286</x:v>
      </x:c>
      <x:c r="R635" s="2" t="str">
        <x:f>IF(AND(A635&gt;='Review'!$B$4,A635&lt;='Review'!$D$4),"Selected","Outside")</x:f>
        <x:v>Outside</x:v>
      </x:c>
    </x:row>
    <x:row r="636" ht="20" customHeight="1">
      <x:c r="A636" s="9" t="n">
        <x:v>46287</x:v>
      </x:c>
      <x:c r="B636" s="2" t="str">
        <x:v>MM-1471</x:v>
      </x:c>
      <x:c r="C636" s="2" t="str">
        <x:v>Organic Search</x:v>
      </x:c>
      <x:c r="D636" s="2" t="str">
        <x:v>GFT-002</x:v>
      </x:c>
      <x:c r="E636" s="2" t="str">
        <x:f>_xlfn.IFNA(VLOOKUP(D636,'Products'!$A$7:$I$22,2,FALSE),"Unmapped")</x:f>
        <x:v>Cozy weekend gift box</x:v>
      </x:c>
      <x:c r="F636" s="2" t="str">
        <x:f>_xlfn.IFNA(VLOOKUP(D636,'Products'!$A$7:$I$22,3,FALSE),"Unmapped")</x:f>
        <x:v>Gifts</x:v>
      </x:c>
      <x:c r="G636" s="2" t="n">
        <x:v>1</x:v>
      </x:c>
      <x:c r="H636" s="2" t="n">
        <x:v>1</x:v>
      </x:c>
      <x:c r="I636" s="10" t="n">
        <x:v>79.95</x:v>
      </x:c>
      <x:c r="J636" s="10" t="n">
        <x:v>0</x:v>
      </x:c>
      <x:c r="K636" s="10" t="n">
        <x:v>32</x:v>
      </x:c>
      <x:c r="L636" s="10" t="n">
        <x:f>G636*I636</x:f>
        <x:v>79.95</x:v>
      </x:c>
      <x:c r="M636" s="10" t="n">
        <x:f>ROUND((L636-J636)*H636/G636,2)</x:f>
        <x:v>79.95</x:v>
      </x:c>
      <x:c r="N636" s="10" t="n">
        <x:f>L636-J636-M636</x:f>
        <x:v>0</x:v>
      </x:c>
      <x:c r="O636" s="10" t="n">
        <x:f>(G636-H636)*K636</x:f>
        <x:v>0</x:v>
      </x:c>
      <x:c r="P636" s="10" t="n">
        <x:f>N636-O636</x:f>
        <x:v>0</x:v>
      </x:c>
      <x:c r="Q636" s="9" t="n">
        <x:f>A636-WEEKDAY(A636,2)+1</x:f>
        <x:v>46286</x:v>
      </x:c>
      <x:c r="R636" s="2" t="str">
        <x:f>IF(AND(A636&gt;='Review'!$B$4,A636&lt;='Review'!$D$4),"Selected","Outside")</x:f>
        <x:v>Outside</x:v>
      </x:c>
    </x:row>
    <x:row r="637" ht="20" customHeight="1">
      <x:c r="A637" s="9" t="n">
        <x:v>46287</x:v>
      </x:c>
      <x:c r="B637" s="2" t="str">
        <x:v>MM-1471</x:v>
      </x:c>
      <x:c r="C637" s="2" t="str">
        <x:v>Organic Search</x:v>
      </x:c>
      <x:c r="D637" s="2" t="str">
        <x:v>APP-001</x:v>
      </x:c>
      <x:c r="E637" s="2" t="str">
        <x:f>_xlfn.IFNA(VLOOKUP(D637,'Products'!$A$7:$I$22,2,FALSE),"Unmapped")</x:f>
        <x:v>Everyday crewneck</x:v>
      </x:c>
      <x:c r="F637" s="2" t="str">
        <x:f>_xlfn.IFNA(VLOOKUP(D637,'Products'!$A$7:$I$22,3,FALSE),"Unmapped")</x:f>
        <x:v>Apparel</x:v>
      </x:c>
      <x:c r="G637" s="2" t="n">
        <x:v>1</x:v>
      </x:c>
      <x:c r="H637" s="2" t="n">
        <x:v>0</x:v>
      </x:c>
      <x:c r="I637" s="10" t="n">
        <x:v>54.95</x:v>
      </x:c>
      <x:c r="J637" s="10" t="n">
        <x:v>0</x:v>
      </x:c>
      <x:c r="K637" s="10" t="n">
        <x:v>22</x:v>
      </x:c>
      <x:c r="L637" s="10" t="n">
        <x:f>G637*I637</x:f>
        <x:v>54.95</x:v>
      </x:c>
      <x:c r="M637" s="10" t="n">
        <x:f>ROUND((L637-J637)*H637/G637,2)</x:f>
        <x:v>0</x:v>
      </x:c>
      <x:c r="N637" s="10" t="n">
        <x:f>L637-J637-M637</x:f>
        <x:v>54.95</x:v>
      </x:c>
      <x:c r="O637" s="10" t="n">
        <x:f>(G637-H637)*K637</x:f>
        <x:v>22</x:v>
      </x:c>
      <x:c r="P637" s="10" t="n">
        <x:f>N637-O637</x:f>
        <x:v>32.95</x:v>
      </x:c>
      <x:c r="Q637" s="9" t="n">
        <x:f>A637-WEEKDAY(A637,2)+1</x:f>
        <x:v>46286</x:v>
      </x:c>
      <x:c r="R637" s="2" t="str">
        <x:f>IF(AND(A637&gt;='Review'!$B$4,A637&lt;='Review'!$D$4),"Selected","Outside")</x:f>
        <x:v>Outside</x:v>
      </x:c>
    </x:row>
    <x:row r="638" ht="20" customHeight="1">
      <x:c r="A638" s="9" t="n">
        <x:v>46287</x:v>
      </x:c>
      <x:c r="B638" s="2" t="str">
        <x:v>MM-1474</x:v>
      </x:c>
      <x:c r="C638" s="2" t="str">
        <x:v>Organic Search</x:v>
      </x:c>
      <x:c r="D638" s="2" t="str">
        <x:v>MUG-002</x:v>
      </x:c>
      <x:c r="E638" s="2" t="str">
        <x:f>_xlfn.IFNA(VLOOKUP(D638,'Products'!$A$7:$I$22,2,FALSE),"Unmapped")</x:f>
        <x:v>Campfire enamel mug</x:v>
      </x:c>
      <x:c r="F638" s="2" t="str">
        <x:f>_xlfn.IFNA(VLOOKUP(D638,'Products'!$A$7:$I$22,3,FALSE),"Unmapped")</x:f>
        <x:v>Drinkware</x:v>
      </x:c>
      <x:c r="G638" s="2" t="n">
        <x:v>1</x:v>
      </x:c>
      <x:c r="H638" s="2" t="n">
        <x:v>0</x:v>
      </x:c>
      <x:c r="I638" s="10" t="n">
        <x:v>22.95</x:v>
      </x:c>
      <x:c r="J638" s="10" t="n">
        <x:v>0</x:v>
      </x:c>
      <x:c r="K638" s="10" t="n">
        <x:v>8.5</x:v>
      </x:c>
      <x:c r="L638" s="10" t="n">
        <x:f>G638*I638</x:f>
        <x:v>22.95</x:v>
      </x:c>
      <x:c r="M638" s="10" t="n">
        <x:f>ROUND((L638-J638)*H638/G638,2)</x:f>
        <x:v>0</x:v>
      </x:c>
      <x:c r="N638" s="10" t="n">
        <x:f>L638-J638-M638</x:f>
        <x:v>22.95</x:v>
      </x:c>
      <x:c r="O638" s="10" t="n">
        <x:f>(G638-H638)*K638</x:f>
        <x:v>8.5</x:v>
      </x:c>
      <x:c r="P638" s="10" t="n">
        <x:f>N638-O638</x:f>
        <x:v>14.45</x:v>
      </x:c>
      <x:c r="Q638" s="9" t="n">
        <x:f>A638-WEEKDAY(A638,2)+1</x:f>
        <x:v>46286</x:v>
      </x:c>
      <x:c r="R638" s="2" t="str">
        <x:f>IF(AND(A638&gt;='Review'!$B$4,A638&lt;='Review'!$D$4),"Selected","Outside")</x:f>
        <x:v>Outside</x:v>
      </x:c>
    </x:row>
    <x:row r="639" ht="20" customHeight="1">
      <x:c r="A639" s="9" t="n">
        <x:v>46287</x:v>
      </x:c>
      <x:c r="B639" s="2" t="str">
        <x:v>MM-1464</x:v>
      </x:c>
      <x:c r="C639" s="2" t="str">
        <x:v>Organic Search</x:v>
      </x:c>
      <x:c r="D639" s="2" t="str">
        <x:v>APP-003</x:v>
      </x:c>
      <x:c r="E639" s="2" t="str">
        <x:f>_xlfn.IFNA(VLOOKUP(D639,'Products'!$A$7:$I$22,2,FALSE),"Unmapped")</x:f>
        <x:v>Coffee club tee</x:v>
      </x:c>
      <x:c r="F639" s="2" t="str">
        <x:f>_xlfn.IFNA(VLOOKUP(D639,'Products'!$A$7:$I$22,3,FALSE),"Unmapped")</x:f>
        <x:v>Apparel</x:v>
      </x:c>
      <x:c r="G639" s="2" t="n">
        <x:v>1</x:v>
      </x:c>
      <x:c r="H639" s="2" t="n">
        <x:v>0</x:v>
      </x:c>
      <x:c r="I639" s="10" t="n">
        <x:v>29.95</x:v>
      </x:c>
      <x:c r="J639" s="10" t="n">
        <x:v>0</x:v>
      </x:c>
      <x:c r="K639" s="10" t="n">
        <x:v>10</x:v>
      </x:c>
      <x:c r="L639" s="10" t="n">
        <x:f>G639*I639</x:f>
        <x:v>29.95</x:v>
      </x:c>
      <x:c r="M639" s="10" t="n">
        <x:f>ROUND((L639-J639)*H639/G639,2)</x:f>
        <x:v>0</x:v>
      </x:c>
      <x:c r="N639" s="10" t="n">
        <x:f>L639-J639-M639</x:f>
        <x:v>29.95</x:v>
      </x:c>
      <x:c r="O639" s="10" t="n">
        <x:f>(G639-H639)*K639</x:f>
        <x:v>10</x:v>
      </x:c>
      <x:c r="P639" s="10" t="n">
        <x:f>N639-O639</x:f>
        <x:v>19.95</x:v>
      </x:c>
      <x:c r="Q639" s="9" t="n">
        <x:f>A639-WEEKDAY(A639,2)+1</x:f>
        <x:v>46286</x:v>
      </x:c>
      <x:c r="R639" s="2" t="str">
        <x:f>IF(AND(A639&gt;='Review'!$B$4,A639&lt;='Review'!$D$4),"Selected","Outside")</x:f>
        <x:v>Outside</x:v>
      </x:c>
    </x:row>
    <x:row r="640" ht="20" customHeight="1">
      <x:c r="A640" s="9" t="n">
        <x:v>46287</x:v>
      </x:c>
      <x:c r="B640" s="2" t="str">
        <x:v>MM-1464</x:v>
      </x:c>
      <x:c r="C640" s="2" t="str">
        <x:v>Organic Search</x:v>
      </x:c>
      <x:c r="D640" s="2" t="str">
        <x:v>GFT-002</x:v>
      </x:c>
      <x:c r="E640" s="2" t="str">
        <x:f>_xlfn.IFNA(VLOOKUP(D640,'Products'!$A$7:$I$22,2,FALSE),"Unmapped")</x:f>
        <x:v>Cozy weekend gift box</x:v>
      </x:c>
      <x:c r="F640" s="2" t="str">
        <x:f>_xlfn.IFNA(VLOOKUP(D640,'Products'!$A$7:$I$22,3,FALSE),"Unmapped")</x:f>
        <x:v>Gifts</x:v>
      </x:c>
      <x:c r="G640" s="2" t="n">
        <x:v>1</x:v>
      </x:c>
      <x:c r="H640" s="2" t="n">
        <x:v>0</x:v>
      </x:c>
      <x:c r="I640" s="10" t="n">
        <x:v>79.95</x:v>
      </x:c>
      <x:c r="J640" s="10" t="n">
        <x:v>0</x:v>
      </x:c>
      <x:c r="K640" s="10" t="n">
        <x:v>32</x:v>
      </x:c>
      <x:c r="L640" s="10" t="n">
        <x:f>G640*I640</x:f>
        <x:v>79.95</x:v>
      </x:c>
      <x:c r="M640" s="10" t="n">
        <x:f>ROUND((L640-J640)*H640/G640,2)</x:f>
        <x:v>0</x:v>
      </x:c>
      <x:c r="N640" s="10" t="n">
        <x:f>L640-J640-M640</x:f>
        <x:v>79.95</x:v>
      </x:c>
      <x:c r="O640" s="10" t="n">
        <x:f>(G640-H640)*K640</x:f>
        <x:v>32</x:v>
      </x:c>
      <x:c r="P640" s="10" t="n">
        <x:f>N640-O640</x:f>
        <x:v>47.95</x:v>
      </x:c>
      <x:c r="Q640" s="9" t="n">
        <x:f>A640-WEEKDAY(A640,2)+1</x:f>
        <x:v>46286</x:v>
      </x:c>
      <x:c r="R640" s="2" t="str">
        <x:f>IF(AND(A640&gt;='Review'!$B$4,A640&lt;='Review'!$D$4),"Selected","Outside")</x:f>
        <x:v>Outside</x:v>
      </x:c>
    </x:row>
    <x:row r="641" ht="20" customHeight="1">
      <x:c r="A641" s="9" t="n">
        <x:v>46287</x:v>
      </x:c>
      <x:c r="B641" s="2" t="str">
        <x:v>MM-1464</x:v>
      </x:c>
      <x:c r="C641" s="2" t="str">
        <x:v>Organic Search</x:v>
      </x:c>
      <x:c r="D641" s="2" t="str">
        <x:v>APP-002</x:v>
      </x:c>
      <x:c r="E641" s="2" t="str">
        <x:f>_xlfn.IFNA(VLOOKUP(D641,'Products'!$A$7:$I$22,2,FALSE),"Unmapped")</x:f>
        <x:v>Weekend hoodie</x:v>
      </x:c>
      <x:c r="F641" s="2" t="str">
        <x:f>_xlfn.IFNA(VLOOKUP(D641,'Products'!$A$7:$I$22,3,FALSE),"Unmapped")</x:f>
        <x:v>Apparel</x:v>
      </x:c>
      <x:c r="G641" s="2" t="n">
        <x:v>1</x:v>
      </x:c>
      <x:c r="H641" s="2" t="n">
        <x:v>1</x:v>
      </x:c>
      <x:c r="I641" s="10" t="n">
        <x:v>69.95</x:v>
      </x:c>
      <x:c r="J641" s="10" t="n">
        <x:v>0</x:v>
      </x:c>
      <x:c r="K641" s="10" t="n">
        <x:v>28</x:v>
      </x:c>
      <x:c r="L641" s="10" t="n">
        <x:f>G641*I641</x:f>
        <x:v>69.95</x:v>
      </x:c>
      <x:c r="M641" s="10" t="n">
        <x:f>ROUND((L641-J641)*H641/G641,2)</x:f>
        <x:v>69.95</x:v>
      </x:c>
      <x:c r="N641" s="10" t="n">
        <x:f>L641-J641-M641</x:f>
        <x:v>0</x:v>
      </x:c>
      <x:c r="O641" s="10" t="n">
        <x:f>(G641-H641)*K641</x:f>
        <x:v>0</x:v>
      </x:c>
      <x:c r="P641" s="10" t="n">
        <x:f>N641-O641</x:f>
        <x:v>0</x:v>
      </x:c>
      <x:c r="Q641" s="9" t="n">
        <x:f>A641-WEEKDAY(A641,2)+1</x:f>
        <x:v>46286</x:v>
      </x:c>
      <x:c r="R641" s="2" t="str">
        <x:f>IF(AND(A641&gt;='Review'!$B$4,A641&lt;='Review'!$D$4),"Selected","Outside")</x:f>
        <x:v>Outside</x:v>
      </x:c>
    </x:row>
    <x:row r="642" ht="20" customHeight="1">
      <x:c r="A642" s="9" t="n">
        <x:v>46287</x:v>
      </x:c>
      <x:c r="B642" s="2" t="str">
        <x:v>MM-1462</x:v>
      </x:c>
      <x:c r="C642" s="2" t="str">
        <x:v>Paid Social</x:v>
      </x:c>
      <x:c r="D642" s="2" t="str">
        <x:v>APP-003</x:v>
      </x:c>
      <x:c r="E642" s="2" t="str">
        <x:f>_xlfn.IFNA(VLOOKUP(D642,'Products'!$A$7:$I$22,2,FALSE),"Unmapped")</x:f>
        <x:v>Coffee club tee</x:v>
      </x:c>
      <x:c r="F642" s="2" t="str">
        <x:f>_xlfn.IFNA(VLOOKUP(D642,'Products'!$A$7:$I$22,3,FALSE),"Unmapped")</x:f>
        <x:v>Apparel</x:v>
      </x:c>
      <x:c r="G642" s="2" t="n">
        <x:v>1</x:v>
      </x:c>
      <x:c r="H642" s="2" t="n">
        <x:v>0</x:v>
      </x:c>
      <x:c r="I642" s="10" t="n">
        <x:v>29.95</x:v>
      </x:c>
      <x:c r="J642" s="10" t="n">
        <x:v>0</x:v>
      </x:c>
      <x:c r="K642" s="10" t="n">
        <x:v>10</x:v>
      </x:c>
      <x:c r="L642" s="10" t="n">
        <x:f>G642*I642</x:f>
        <x:v>29.95</x:v>
      </x:c>
      <x:c r="M642" s="10" t="n">
        <x:f>ROUND((L642-J642)*H642/G642,2)</x:f>
        <x:v>0</x:v>
      </x:c>
      <x:c r="N642" s="10" t="n">
        <x:f>L642-J642-M642</x:f>
        <x:v>29.95</x:v>
      </x:c>
      <x:c r="O642" s="10" t="n">
        <x:f>(G642-H642)*K642</x:f>
        <x:v>10</x:v>
      </x:c>
      <x:c r="P642" s="10" t="n">
        <x:f>N642-O642</x:f>
        <x:v>19.95</x:v>
      </x:c>
      <x:c r="Q642" s="9" t="n">
        <x:f>A642-WEEKDAY(A642,2)+1</x:f>
        <x:v>46286</x:v>
      </x:c>
      <x:c r="R642" s="2" t="str">
        <x:f>IF(AND(A642&gt;='Review'!$B$4,A642&lt;='Review'!$D$4),"Selected","Outside")</x:f>
        <x:v>Outside</x:v>
      </x:c>
    </x:row>
    <x:row r="643" ht="20" customHeight="1">
      <x:c r="A643" s="9" t="n">
        <x:v>46287</x:v>
      </x:c>
      <x:c r="B643" s="2" t="str">
        <x:v>MM-1462</x:v>
      </x:c>
      <x:c r="C643" s="2" t="str">
        <x:v>Paid Social</x:v>
      </x:c>
      <x:c r="D643" s="2" t="str">
        <x:v>MUG-001</x:v>
      </x:c>
      <x:c r="E643" s="2" t="str">
        <x:f>_xlfn.IFNA(VLOOKUP(D643,'Products'!$A$7:$I$22,2,FALSE),"Unmapped")</x:f>
        <x:v>Everyday ceramic mug</x:v>
      </x:c>
      <x:c r="F643" s="2" t="str">
        <x:f>_xlfn.IFNA(VLOOKUP(D643,'Products'!$A$7:$I$22,3,FALSE),"Unmapped")</x:f>
        <x:v>Drinkware</x:v>
      </x:c>
      <x:c r="G643" s="2" t="n">
        <x:v>1</x:v>
      </x:c>
      <x:c r="H643" s="2" t="n">
        <x:v>0</x:v>
      </x:c>
      <x:c r="I643" s="10" t="n">
        <x:v>18.95</x:v>
      </x:c>
      <x:c r="J643" s="10" t="n">
        <x:v>0</x:v>
      </x:c>
      <x:c r="K643" s="10" t="n">
        <x:v>6.5</x:v>
      </x:c>
      <x:c r="L643" s="10" t="n">
        <x:f>G643*I643</x:f>
        <x:v>18.95</x:v>
      </x:c>
      <x:c r="M643" s="10" t="n">
        <x:f>ROUND((L643-J643)*H643/G643,2)</x:f>
        <x:v>0</x:v>
      </x:c>
      <x:c r="N643" s="10" t="n">
        <x:f>L643-J643-M643</x:f>
        <x:v>18.95</x:v>
      </x:c>
      <x:c r="O643" s="10" t="n">
        <x:f>(G643-H643)*K643</x:f>
        <x:v>6.5</x:v>
      </x:c>
      <x:c r="P643" s="10" t="n">
        <x:f>N643-O643</x:f>
        <x:v>12.45</x:v>
      </x:c>
      <x:c r="Q643" s="9" t="n">
        <x:f>A643-WEEKDAY(A643,2)+1</x:f>
        <x:v>46286</x:v>
      </x:c>
      <x:c r="R643" s="2" t="str">
        <x:f>IF(AND(A643&gt;='Review'!$B$4,A643&lt;='Review'!$D$4),"Selected","Outside")</x:f>
        <x:v>Outside</x:v>
      </x:c>
    </x:row>
    <x:row r="644" ht="20" customHeight="1">
      <x:c r="A644" s="9" t="n">
        <x:v>46287</x:v>
      </x:c>
      <x:c r="B644" s="2" t="str">
        <x:v>MM-1462</x:v>
      </x:c>
      <x:c r="C644" s="2" t="str">
        <x:v>Paid Social</x:v>
      </x:c>
      <x:c r="D644" s="2" t="str">
        <x:v>TUM-001</x:v>
      </x:c>
      <x:c r="E644" s="2" t="str">
        <x:f>_xlfn.IFNA(VLOOKUP(D644,'Products'!$A$7:$I$22,2,FALSE),"Unmapped")</x:f>
        <x:v>Maple travel tumbler</x:v>
      </x:c>
      <x:c r="F644" s="2" t="str">
        <x:f>_xlfn.IFNA(VLOOKUP(D644,'Products'!$A$7:$I$22,3,FALSE),"Unmapped")</x:f>
        <x:v>Drinkware</x:v>
      </x:c>
      <x:c r="G644" s="2" t="n">
        <x:v>3</x:v>
      </x:c>
      <x:c r="H644" s="2" t="n">
        <x:v>0</x:v>
      </x:c>
      <x:c r="I644" s="10" t="n">
        <x:v>32.95</x:v>
      </x:c>
      <x:c r="J644" s="10" t="n">
        <x:v>0</x:v>
      </x:c>
      <x:c r="K644" s="10" t="n">
        <x:v>12</x:v>
      </x:c>
      <x:c r="L644" s="10" t="n">
        <x:f>G644*I644</x:f>
        <x:v>98.85000000000001</x:v>
      </x:c>
      <x:c r="M644" s="10" t="n">
        <x:f>ROUND((L644-J644)*H644/G644,2)</x:f>
        <x:v>0</x:v>
      </x:c>
      <x:c r="N644" s="10" t="n">
        <x:f>L644-J644-M644</x:f>
        <x:v>98.85000000000001</x:v>
      </x:c>
      <x:c r="O644" s="10" t="n">
        <x:f>(G644-H644)*K644</x:f>
        <x:v>36</x:v>
      </x:c>
      <x:c r="P644" s="10" t="n">
        <x:f>N644-O644</x:f>
        <x:v>62.85000000000001</x:v>
      </x:c>
      <x:c r="Q644" s="9" t="n">
        <x:f>A644-WEEKDAY(A644,2)+1</x:f>
        <x:v>46286</x:v>
      </x:c>
      <x:c r="R644" s="2" t="str">
        <x:f>IF(AND(A644&gt;='Review'!$B$4,A644&lt;='Review'!$D$4),"Selected","Outside")</x:f>
        <x:v>Outside</x:v>
      </x:c>
    </x:row>
    <x:row r="645" ht="20" customHeight="1">
      <x:c r="A645" s="9" t="n">
        <x:v>46287</x:v>
      </x:c>
      <x:c r="B645" s="2" t="str">
        <x:v>MM-1465</x:v>
      </x:c>
      <x:c r="C645" s="2" t="str">
        <x:v>Organic Search</x:v>
      </x:c>
      <x:c r="D645" s="2" t="str">
        <x:v>KEY-001</x:v>
      </x:c>
      <x:c r="E645" s="2" t="str">
        <x:f>_xlfn.IFNA(VLOOKUP(D645,'Products'!$A$7:$I$22,2,FALSE),"Unmapped")</x:f>
        <x:v>Maple keyring</x:v>
      </x:c>
      <x:c r="F645" s="2" t="str">
        <x:f>_xlfn.IFNA(VLOOKUP(D645,'Products'!$A$7:$I$22,3,FALSE),"Unmapped")</x:f>
        <x:v>Accessories</x:v>
      </x:c>
      <x:c r="G645" s="2" t="n">
        <x:v>1</x:v>
      </x:c>
      <x:c r="H645" s="2" t="n">
        <x:v>0</x:v>
      </x:c>
      <x:c r="I645" s="10" t="n">
        <x:v>12.95</x:v>
      </x:c>
      <x:c r="J645" s="10" t="n">
        <x:v>0</x:v>
      </x:c>
      <x:c r="K645" s="10" t="n">
        <x:v>3.5</x:v>
      </x:c>
      <x:c r="L645" s="10" t="n">
        <x:f>G645*I645</x:f>
        <x:v>12.95</x:v>
      </x:c>
      <x:c r="M645" s="10" t="n">
        <x:f>ROUND((L645-J645)*H645/G645,2)</x:f>
        <x:v>0</x:v>
      </x:c>
      <x:c r="N645" s="10" t="n">
        <x:f>L645-J645-M645</x:f>
        <x:v>12.95</x:v>
      </x:c>
      <x:c r="O645" s="10" t="n">
        <x:f>(G645-H645)*K645</x:f>
        <x:v>3.5</x:v>
      </x:c>
      <x:c r="P645" s="10" t="n">
        <x:f>N645-O645</x:f>
        <x:v>9.45</x:v>
      </x:c>
      <x:c r="Q645" s="9" t="n">
        <x:f>A645-WEEKDAY(A645,2)+1</x:f>
        <x:v>46286</x:v>
      </x:c>
      <x:c r="R645" s="2" t="str">
        <x:f>IF(AND(A645&gt;='Review'!$B$4,A645&lt;='Review'!$D$4),"Selected","Outside")</x:f>
        <x:v>Outside</x:v>
      </x:c>
    </x:row>
    <x:row r="646" ht="20" customHeight="1">
      <x:c r="A646" s="9" t="n">
        <x:v>46287</x:v>
      </x:c>
      <x:c r="B646" s="2" t="str">
        <x:v>MM-1466</x:v>
      </x:c>
      <x:c r="C646" s="2" t="str">
        <x:v>Email</x:v>
      </x:c>
      <x:c r="D646" s="2" t="str">
        <x:v>APP-003</x:v>
      </x:c>
      <x:c r="E646" s="2" t="str">
        <x:f>_xlfn.IFNA(VLOOKUP(D646,'Products'!$A$7:$I$22,2,FALSE),"Unmapped")</x:f>
        <x:v>Coffee club tee</x:v>
      </x:c>
      <x:c r="F646" s="2" t="str">
        <x:f>_xlfn.IFNA(VLOOKUP(D646,'Products'!$A$7:$I$22,3,FALSE),"Unmapped")</x:f>
        <x:v>Apparel</x:v>
      </x:c>
      <x:c r="G646" s="2" t="n">
        <x:v>1</x:v>
      </x:c>
      <x:c r="H646" s="2" t="n">
        <x:v>1</x:v>
      </x:c>
      <x:c r="I646" s="10" t="n">
        <x:v>29.95</x:v>
      </x:c>
      <x:c r="J646" s="10" t="n">
        <x:v>2.99</x:v>
      </x:c>
      <x:c r="K646" s="10" t="n">
        <x:v>10</x:v>
      </x:c>
      <x:c r="L646" s="10" t="n">
        <x:f>G646*I646</x:f>
        <x:v>29.95</x:v>
      </x:c>
      <x:c r="M646" s="10" t="n">
        <x:f>ROUND((L646-J646)*H646/G646,2)</x:f>
        <x:v>26.96</x:v>
      </x:c>
      <x:c r="N646" s="10" t="n">
        <x:f>L646-J646-M646</x:f>
        <x:v>0</x:v>
      </x:c>
      <x:c r="O646" s="10" t="n">
        <x:f>(G646-H646)*K646</x:f>
        <x:v>0</x:v>
      </x:c>
      <x:c r="P646" s="10" t="n">
        <x:f>N646-O646</x:f>
        <x:v>0</x:v>
      </x:c>
      <x:c r="Q646" s="9" t="n">
        <x:f>A646-WEEKDAY(A646,2)+1</x:f>
        <x:v>46286</x:v>
      </x:c>
      <x:c r="R646" s="2" t="str">
        <x:f>IF(AND(A646&gt;='Review'!$B$4,A646&lt;='Review'!$D$4),"Selected","Outside")</x:f>
        <x:v>Outside</x:v>
      </x:c>
    </x:row>
    <x:row r="647" ht="20" customHeight="1">
      <x:c r="A647" s="9" t="n">
        <x:v>46287</x:v>
      </x:c>
      <x:c r="B647" s="2" t="str">
        <x:v>MM-1473</x:v>
      </x:c>
      <x:c r="C647" s="2" t="str">
        <x:v>Paid Social</x:v>
      </x:c>
      <x:c r="D647" s="2" t="str">
        <x:v>PIN-001</x:v>
      </x:c>
      <x:c r="E647" s="2" t="str">
        <x:f>_xlfn.IFNA(VLOOKUP(D647,'Products'!$A$7:$I$22,2,FALSE),"Unmapped")</x:f>
        <x:v>Coffee enamel pin</x:v>
      </x:c>
      <x:c r="F647" s="2" t="str">
        <x:f>_xlfn.IFNA(VLOOKUP(D647,'Products'!$A$7:$I$22,3,FALSE),"Unmapped")</x:f>
        <x:v>Accessories</x:v>
      </x:c>
      <x:c r="G647" s="2" t="n">
        <x:v>1</x:v>
      </x:c>
      <x:c r="H647" s="2" t="n">
        <x:v>0</x:v>
      </x:c>
      <x:c r="I647" s="10" t="n">
        <x:v>9.95</x:v>
      </x:c>
      <x:c r="J647" s="10" t="n">
        <x:v>0</x:v>
      </x:c>
      <x:c r="K647" s="10" t="n">
        <x:v>2.5</x:v>
      </x:c>
      <x:c r="L647" s="10" t="n">
        <x:f>G647*I647</x:f>
        <x:v>9.95</x:v>
      </x:c>
      <x:c r="M647" s="10" t="n">
        <x:f>ROUND((L647-J647)*H647/G647,2)</x:f>
        <x:v>0</x:v>
      </x:c>
      <x:c r="N647" s="10" t="n">
        <x:f>L647-J647-M647</x:f>
        <x:v>9.95</x:v>
      </x:c>
      <x:c r="O647" s="10" t="n">
        <x:f>(G647-H647)*K647</x:f>
        <x:v>2.5</x:v>
      </x:c>
      <x:c r="P647" s="10" t="n">
        <x:f>N647-O647</x:f>
        <x:v>7.449999999999999</x:v>
      </x:c>
      <x:c r="Q647" s="9" t="n">
        <x:f>A647-WEEKDAY(A647,2)+1</x:f>
        <x:v>46286</x:v>
      </x:c>
      <x:c r="R647" s="2" t="str">
        <x:f>IF(AND(A647&gt;='Review'!$B$4,A647&lt;='Review'!$D$4),"Selected","Outside")</x:f>
        <x:v>Outside</x:v>
      </x:c>
    </x:row>
    <x:row r="648" ht="20" customHeight="1">
      <x:c r="A648" s="9" t="n">
        <x:v>46287</x:v>
      </x:c>
      <x:c r="B648" s="2" t="str">
        <x:v>MM-1473</x:v>
      </x:c>
      <x:c r="C648" s="2" t="str">
        <x:v>Paid Social</x:v>
      </x:c>
      <x:c r="D648" s="2" t="str">
        <x:v>GFT-001</x:v>
      </x:c>
      <x:c r="E648" s="2" t="str">
        <x:f>_xlfn.IFNA(VLOOKUP(D648,'Products'!$A$7:$I$22,2,FALSE),"Unmapped")</x:f>
        <x:v>Morning ritual gift set</x:v>
      </x:c>
      <x:c r="F648" s="2" t="str">
        <x:f>_xlfn.IFNA(VLOOKUP(D648,'Products'!$A$7:$I$22,3,FALSE),"Unmapped")</x:f>
        <x:v>Gifts</x:v>
      </x:c>
      <x:c r="G648" s="2" t="n">
        <x:v>1</x:v>
      </x:c>
      <x:c r="H648" s="2" t="n">
        <x:v>0</x:v>
      </x:c>
      <x:c r="I648" s="10" t="n">
        <x:v>59.95</x:v>
      </x:c>
      <x:c r="J648" s="10" t="n">
        <x:v>0</x:v>
      </x:c>
      <x:c r="K648" s="10" t="n">
        <x:v>24</x:v>
      </x:c>
      <x:c r="L648" s="10" t="n">
        <x:f>G648*I648</x:f>
        <x:v>59.95</x:v>
      </x:c>
      <x:c r="M648" s="10" t="n">
        <x:f>ROUND((L648-J648)*H648/G648,2)</x:f>
        <x:v>0</x:v>
      </x:c>
      <x:c r="N648" s="10" t="n">
        <x:f>L648-J648-M648</x:f>
        <x:v>59.95</x:v>
      </x:c>
      <x:c r="O648" s="10" t="n">
        <x:f>(G648-H648)*K648</x:f>
        <x:v>24</x:v>
      </x:c>
      <x:c r="P648" s="10" t="n">
        <x:f>N648-O648</x:f>
        <x:v>35.95</x:v>
      </x:c>
      <x:c r="Q648" s="9" t="n">
        <x:f>A648-WEEKDAY(A648,2)+1</x:f>
        <x:v>46286</x:v>
      </x:c>
      <x:c r="R648" s="2" t="str">
        <x:f>IF(AND(A648&gt;='Review'!$B$4,A648&lt;='Review'!$D$4),"Selected","Outside")</x:f>
        <x:v>Outside</x:v>
      </x:c>
    </x:row>
    <x:row r="649" ht="20" customHeight="1">
      <x:c r="A649" s="9" t="n">
        <x:v>46287</x:v>
      </x:c>
      <x:c r="B649" s="2" t="str">
        <x:v>MM-1469</x:v>
      </x:c>
      <x:c r="C649" s="2" t="str">
        <x:v>Organic Search</x:v>
      </x:c>
      <x:c r="D649" s="2" t="str">
        <x:v>MUG-002</x:v>
      </x:c>
      <x:c r="E649" s="2" t="str">
        <x:f>_xlfn.IFNA(VLOOKUP(D649,'Products'!$A$7:$I$22,2,FALSE),"Unmapped")</x:f>
        <x:v>Campfire enamel mug</x:v>
      </x:c>
      <x:c r="F649" s="2" t="str">
        <x:f>_xlfn.IFNA(VLOOKUP(D649,'Products'!$A$7:$I$22,3,FALSE),"Unmapped")</x:f>
        <x:v>Drinkware</x:v>
      </x:c>
      <x:c r="G649" s="2" t="n">
        <x:v>1</x:v>
      </x:c>
      <x:c r="H649" s="2" t="n">
        <x:v>0</x:v>
      </x:c>
      <x:c r="I649" s="10" t="n">
        <x:v>22.95</x:v>
      </x:c>
      <x:c r="J649" s="10" t="n">
        <x:v>0</x:v>
      </x:c>
      <x:c r="K649" s="10" t="n">
        <x:v>8.5</x:v>
      </x:c>
      <x:c r="L649" s="10" t="n">
        <x:f>G649*I649</x:f>
        <x:v>22.95</x:v>
      </x:c>
      <x:c r="M649" s="10" t="n">
        <x:f>ROUND((L649-J649)*H649/G649,2)</x:f>
        <x:v>0</x:v>
      </x:c>
      <x:c r="N649" s="10" t="n">
        <x:f>L649-J649-M649</x:f>
        <x:v>22.95</x:v>
      </x:c>
      <x:c r="O649" s="10" t="n">
        <x:f>(G649-H649)*K649</x:f>
        <x:v>8.5</x:v>
      </x:c>
      <x:c r="P649" s="10" t="n">
        <x:f>N649-O649</x:f>
        <x:v>14.45</x:v>
      </x:c>
      <x:c r="Q649" s="9" t="n">
        <x:f>A649-WEEKDAY(A649,2)+1</x:f>
        <x:v>46286</x:v>
      </x:c>
      <x:c r="R649" s="2" t="str">
        <x:f>IF(AND(A649&gt;='Review'!$B$4,A649&lt;='Review'!$D$4),"Selected","Outside")</x:f>
        <x:v>Outside</x:v>
      </x:c>
    </x:row>
    <x:row r="650" ht="20" customHeight="1">
      <x:c r="A650" s="9" t="n">
        <x:v>46287</x:v>
      </x:c>
      <x:c r="B650" s="2" t="str">
        <x:v>MM-1472</x:v>
      </x:c>
      <x:c r="C650" s="2" t="str">
        <x:v>Organic Search</x:v>
      </x:c>
      <x:c r="D650" s="2" t="str">
        <x:v>GFT-001</x:v>
      </x:c>
      <x:c r="E650" s="2" t="str">
        <x:f>_xlfn.IFNA(VLOOKUP(D650,'Products'!$A$7:$I$22,2,FALSE),"Unmapped")</x:f>
        <x:v>Morning ritual gift set</x:v>
      </x:c>
      <x:c r="F650" s="2" t="str">
        <x:f>_xlfn.IFNA(VLOOKUP(D650,'Products'!$A$7:$I$22,3,FALSE),"Unmapped")</x:f>
        <x:v>Gifts</x:v>
      </x:c>
      <x:c r="G650" s="2" t="n">
        <x:v>1</x:v>
      </x:c>
      <x:c r="H650" s="2" t="n">
        <x:v>0</x:v>
      </x:c>
      <x:c r="I650" s="10" t="n">
        <x:v>59.95</x:v>
      </x:c>
      <x:c r="J650" s="10" t="n">
        <x:v>0</x:v>
      </x:c>
      <x:c r="K650" s="10" t="n">
        <x:v>24</x:v>
      </x:c>
      <x:c r="L650" s="10" t="n">
        <x:f>G650*I650</x:f>
        <x:v>59.95</x:v>
      </x:c>
      <x:c r="M650" s="10" t="n">
        <x:f>ROUND((L650-J650)*H650/G650,2)</x:f>
        <x:v>0</x:v>
      </x:c>
      <x:c r="N650" s="10" t="n">
        <x:f>L650-J650-M650</x:f>
        <x:v>59.95</x:v>
      </x:c>
      <x:c r="O650" s="10" t="n">
        <x:f>(G650-H650)*K650</x:f>
        <x:v>24</x:v>
      </x:c>
      <x:c r="P650" s="10" t="n">
        <x:f>N650-O650</x:f>
        <x:v>35.95</x:v>
      </x:c>
      <x:c r="Q650" s="9" t="n">
        <x:f>A650-WEEKDAY(A650,2)+1</x:f>
        <x:v>46286</x:v>
      </x:c>
      <x:c r="R650" s="2" t="str">
        <x:f>IF(AND(A650&gt;='Review'!$B$4,A650&lt;='Review'!$D$4),"Selected","Outside")</x:f>
        <x:v>Outside</x:v>
      </x:c>
    </x:row>
    <x:row r="651" ht="20" customHeight="1">
      <x:c r="A651" s="9" t="n">
        <x:v>46287</x:v>
      </x:c>
      <x:c r="B651" s="2" t="str">
        <x:v>MM-1461</x:v>
      </x:c>
      <x:c r="C651" s="2" t="str">
        <x:v>Direct</x:v>
      </x:c>
      <x:c r="D651" s="2" t="str">
        <x:v>APP-001</x:v>
      </x:c>
      <x:c r="E651" s="2" t="str">
        <x:f>_xlfn.IFNA(VLOOKUP(D651,'Products'!$A$7:$I$22,2,FALSE),"Unmapped")</x:f>
        <x:v>Everyday crewneck</x:v>
      </x:c>
      <x:c r="F651" s="2" t="str">
        <x:f>_xlfn.IFNA(VLOOKUP(D651,'Products'!$A$7:$I$22,3,FALSE),"Unmapped")</x:f>
        <x:v>Apparel</x:v>
      </x:c>
      <x:c r="G651" s="2" t="n">
        <x:v>1</x:v>
      </x:c>
      <x:c r="H651" s="2" t="n">
        <x:v>0</x:v>
      </x:c>
      <x:c r="I651" s="10" t="n">
        <x:v>54.95</x:v>
      </x:c>
      <x:c r="J651" s="10" t="n">
        <x:v>0</x:v>
      </x:c>
      <x:c r="K651" s="10" t="n">
        <x:v>22</x:v>
      </x:c>
      <x:c r="L651" s="10" t="n">
        <x:f>G651*I651</x:f>
        <x:v>54.95</x:v>
      </x:c>
      <x:c r="M651" s="10" t="n">
        <x:f>ROUND((L651-J651)*H651/G651,2)</x:f>
        <x:v>0</x:v>
      </x:c>
      <x:c r="N651" s="10" t="n">
        <x:f>L651-J651-M651</x:f>
        <x:v>54.95</x:v>
      </x:c>
      <x:c r="O651" s="10" t="n">
        <x:f>(G651-H651)*K651</x:f>
        <x:v>22</x:v>
      </x:c>
      <x:c r="P651" s="10" t="n">
        <x:f>N651-O651</x:f>
        <x:v>32.95</x:v>
      </x:c>
      <x:c r="Q651" s="9" t="n">
        <x:f>A651-WEEKDAY(A651,2)+1</x:f>
        <x:v>46286</x:v>
      </x:c>
      <x:c r="R651" s="2" t="str">
        <x:f>IF(AND(A651&gt;='Review'!$B$4,A651&lt;='Review'!$D$4),"Selected","Outside")</x:f>
        <x:v>Outside</x:v>
      </x:c>
    </x:row>
    <x:row r="652" ht="20" customHeight="1">
      <x:c r="A652" s="9" t="n">
        <x:v>46287</x:v>
      </x:c>
      <x:c r="B652" s="2" t="str">
        <x:v>MM-1461</x:v>
      </x:c>
      <x:c r="C652" s="2" t="str">
        <x:v>Direct</x:v>
      </x:c>
      <x:c r="D652" s="2" t="str">
        <x:v>APP-003</x:v>
      </x:c>
      <x:c r="E652" s="2" t="str">
        <x:f>_xlfn.IFNA(VLOOKUP(D652,'Products'!$A$7:$I$22,2,FALSE),"Unmapped")</x:f>
        <x:v>Coffee club tee</x:v>
      </x:c>
      <x:c r="F652" s="2" t="str">
        <x:f>_xlfn.IFNA(VLOOKUP(D652,'Products'!$A$7:$I$22,3,FALSE),"Unmapped")</x:f>
        <x:v>Apparel</x:v>
      </x:c>
      <x:c r="G652" s="2" t="n">
        <x:v>2</x:v>
      </x:c>
      <x:c r="H652" s="2" t="n">
        <x:v>0</x:v>
      </x:c>
      <x:c r="I652" s="10" t="n">
        <x:v>29.95</x:v>
      </x:c>
      <x:c r="J652" s="10" t="n">
        <x:v>0</x:v>
      </x:c>
      <x:c r="K652" s="10" t="n">
        <x:v>10</x:v>
      </x:c>
      <x:c r="L652" s="10" t="n">
        <x:f>G652*I652</x:f>
        <x:v>59.9</x:v>
      </x:c>
      <x:c r="M652" s="10" t="n">
        <x:f>ROUND((L652-J652)*H652/G652,2)</x:f>
        <x:v>0</x:v>
      </x:c>
      <x:c r="N652" s="10" t="n">
        <x:f>L652-J652-M652</x:f>
        <x:v>59.9</x:v>
      </x:c>
      <x:c r="O652" s="10" t="n">
        <x:f>(G652-H652)*K652</x:f>
        <x:v>20</x:v>
      </x:c>
      <x:c r="P652" s="10" t="n">
        <x:f>N652-O652</x:f>
        <x:v>39.9</x:v>
      </x:c>
      <x:c r="Q652" s="9" t="n">
        <x:f>A652-WEEKDAY(A652,2)+1</x:f>
        <x:v>46286</x:v>
      </x:c>
      <x:c r="R652" s="2" t="str">
        <x:f>IF(AND(A652&gt;='Review'!$B$4,A652&lt;='Review'!$D$4),"Selected","Outside")</x:f>
        <x:v>Outside</x:v>
      </x:c>
    </x:row>
    <x:row r="653" ht="20" customHeight="1">
      <x:c r="A653" s="9" t="n">
        <x:v>46287</x:v>
      </x:c>
      <x:c r="B653" s="2" t="str">
        <x:v>MM-1467</x:v>
      </x:c>
      <x:c r="C653" s="2" t="str">
        <x:v>Direct</x:v>
      </x:c>
      <x:c r="D653" s="2" t="str">
        <x:v>TUM-002</x:v>
      </x:c>
      <x:c r="E653" s="2" t="str">
        <x:f>_xlfn.IFNA(VLOOKUP(D653,'Products'!$A$7:$I$22,2,FALSE),"Unmapped")</x:f>
        <x:v>Cold brew glass cup</x:v>
      </x:c>
      <x:c r="F653" s="2" t="str">
        <x:f>_xlfn.IFNA(VLOOKUP(D653,'Products'!$A$7:$I$22,3,FALSE),"Unmapped")</x:f>
        <x:v>Drinkware</x:v>
      </x:c>
      <x:c r="G653" s="2" t="n">
        <x:v>1</x:v>
      </x:c>
      <x:c r="H653" s="2" t="n">
        <x:v>0</x:v>
      </x:c>
      <x:c r="I653" s="10" t="n">
        <x:v>24.95</x:v>
      </x:c>
      <x:c r="J653" s="10" t="n">
        <x:v>0</x:v>
      </x:c>
      <x:c r="K653" s="10" t="n">
        <x:v>9</x:v>
      </x:c>
      <x:c r="L653" s="10" t="n">
        <x:f>G653*I653</x:f>
        <x:v>24.95</x:v>
      </x:c>
      <x:c r="M653" s="10" t="n">
        <x:f>ROUND((L653-J653)*H653/G653,2)</x:f>
        <x:v>0</x:v>
      </x:c>
      <x:c r="N653" s="10" t="n">
        <x:f>L653-J653-M653</x:f>
        <x:v>24.95</x:v>
      </x:c>
      <x:c r="O653" s="10" t="n">
        <x:f>(G653-H653)*K653</x:f>
        <x:v>9</x:v>
      </x:c>
      <x:c r="P653" s="10" t="n">
        <x:f>N653-O653</x:f>
        <x:v>15.95</x:v>
      </x:c>
      <x:c r="Q653" s="9" t="n">
        <x:f>A653-WEEKDAY(A653,2)+1</x:f>
        <x:v>46286</x:v>
      </x:c>
      <x:c r="R653" s="2" t="str">
        <x:f>IF(AND(A653&gt;='Review'!$B$4,A653&lt;='Review'!$D$4),"Selected","Outside")</x:f>
        <x:v>Outside</x:v>
      </x:c>
    </x:row>
    <x:row r="654" ht="20" customHeight="1">
      <x:c r="A654" s="9" t="n">
        <x:v>46287</x:v>
      </x:c>
      <x:c r="B654" s="2" t="str">
        <x:v>MM-1467</x:v>
      </x:c>
      <x:c r="C654" s="2" t="str">
        <x:v>Direct</x:v>
      </x:c>
      <x:c r="D654" s="2" t="str">
        <x:v>MUG-001</x:v>
      </x:c>
      <x:c r="E654" s="2" t="str">
        <x:f>_xlfn.IFNA(VLOOKUP(D654,'Products'!$A$7:$I$22,2,FALSE),"Unmapped")</x:f>
        <x:v>Everyday ceramic mug</x:v>
      </x:c>
      <x:c r="F654" s="2" t="str">
        <x:f>_xlfn.IFNA(VLOOKUP(D654,'Products'!$A$7:$I$22,3,FALSE),"Unmapped")</x:f>
        <x:v>Drinkware</x:v>
      </x:c>
      <x:c r="G654" s="2" t="n">
        <x:v>1</x:v>
      </x:c>
      <x:c r="H654" s="2" t="n">
        <x:v>0</x:v>
      </x:c>
      <x:c r="I654" s="10" t="n">
        <x:v>18.95</x:v>
      </x:c>
      <x:c r="J654" s="10" t="n">
        <x:v>0</x:v>
      </x:c>
      <x:c r="K654" s="10" t="n">
        <x:v>6.5</x:v>
      </x:c>
      <x:c r="L654" s="10" t="n">
        <x:f>G654*I654</x:f>
        <x:v>18.95</x:v>
      </x:c>
      <x:c r="M654" s="10" t="n">
        <x:f>ROUND((L654-J654)*H654/G654,2)</x:f>
        <x:v>0</x:v>
      </x:c>
      <x:c r="N654" s="10" t="n">
        <x:f>L654-J654-M654</x:f>
        <x:v>18.95</x:v>
      </x:c>
      <x:c r="O654" s="10" t="n">
        <x:f>(G654-H654)*K654</x:f>
        <x:v>6.5</x:v>
      </x:c>
      <x:c r="P654" s="10" t="n">
        <x:f>N654-O654</x:f>
        <x:v>12.45</x:v>
      </x:c>
      <x:c r="Q654" s="9" t="n">
        <x:f>A654-WEEKDAY(A654,2)+1</x:f>
        <x:v>46286</x:v>
      </x:c>
      <x:c r="R654" s="2" t="str">
        <x:f>IF(AND(A654&gt;='Review'!$B$4,A654&lt;='Review'!$D$4),"Selected","Outside")</x:f>
        <x:v>Outside</x:v>
      </x:c>
    </x:row>
    <x:row r="655" ht="20" customHeight="1">
      <x:c r="A655" s="9" t="n">
        <x:v>46288</x:v>
      </x:c>
      <x:c r="B655" s="2" t="str">
        <x:v>MM-1483</x:v>
      </x:c>
      <x:c r="C655" s="2" t="str">
        <x:v>Email</x:v>
      </x:c>
      <x:c r="D655" s="2" t="str">
        <x:v>MUG-001</x:v>
      </x:c>
      <x:c r="E655" s="2" t="str">
        <x:f>_xlfn.IFNA(VLOOKUP(D655,'Products'!$A$7:$I$22,2,FALSE),"Unmapped")</x:f>
        <x:v>Everyday ceramic mug</x:v>
      </x:c>
      <x:c r="F655" s="2" t="str">
        <x:f>_xlfn.IFNA(VLOOKUP(D655,'Products'!$A$7:$I$22,3,FALSE),"Unmapped")</x:f>
        <x:v>Drinkware</x:v>
      </x:c>
      <x:c r="G655" s="2" t="n">
        <x:v>3</x:v>
      </x:c>
      <x:c r="H655" s="2" t="n">
        <x:v>0</x:v>
      </x:c>
      <x:c r="I655" s="10" t="n">
        <x:v>18.95</x:v>
      </x:c>
      <x:c r="J655" s="10" t="n">
        <x:v>5.68</x:v>
      </x:c>
      <x:c r="K655" s="10" t="n">
        <x:v>6.5</x:v>
      </x:c>
      <x:c r="L655" s="10" t="n">
        <x:f>G655*I655</x:f>
        <x:v>56.849999999999994</x:v>
      </x:c>
      <x:c r="M655" s="10" t="n">
        <x:f>ROUND((L655-J655)*H655/G655,2)</x:f>
        <x:v>0</x:v>
      </x:c>
      <x:c r="N655" s="10" t="n">
        <x:f>L655-J655-M655</x:f>
        <x:v>51.169999999999995</x:v>
      </x:c>
      <x:c r="O655" s="10" t="n">
        <x:f>(G655-H655)*K655</x:f>
        <x:v>19.5</x:v>
      </x:c>
      <x:c r="P655" s="10" t="n">
        <x:f>N655-O655</x:f>
        <x:v>31.669999999999995</x:v>
      </x:c>
      <x:c r="Q655" s="9" t="n">
        <x:f>A655-WEEKDAY(A655,2)+1</x:f>
        <x:v>46286</x:v>
      </x:c>
      <x:c r="R655" s="2" t="str">
        <x:f>IF(AND(A655&gt;='Review'!$B$4,A655&lt;='Review'!$D$4),"Selected","Outside")</x:f>
        <x:v>Outside</x:v>
      </x:c>
    </x:row>
    <x:row r="656" ht="20" customHeight="1">
      <x:c r="A656" s="9" t="n">
        <x:v>46288</x:v>
      </x:c>
      <x:c r="B656" s="2" t="str">
        <x:v>MM-1482</x:v>
      </x:c>
      <x:c r="C656" s="2" t="str">
        <x:v>Email</x:v>
      </x:c>
      <x:c r="D656" s="2" t="str">
        <x:v>APP-002</x:v>
      </x:c>
      <x:c r="E656" s="2" t="str">
        <x:f>_xlfn.IFNA(VLOOKUP(D656,'Products'!$A$7:$I$22,2,FALSE),"Unmapped")</x:f>
        <x:v>Weekend hoodie</x:v>
      </x:c>
      <x:c r="F656" s="2" t="str">
        <x:f>_xlfn.IFNA(VLOOKUP(D656,'Products'!$A$7:$I$22,3,FALSE),"Unmapped")</x:f>
        <x:v>Apparel</x:v>
      </x:c>
      <x:c r="G656" s="2" t="n">
        <x:v>1</x:v>
      </x:c>
      <x:c r="H656" s="2" t="n">
        <x:v>0</x:v>
      </x:c>
      <x:c r="I656" s="10" t="n">
        <x:v>69.95</x:v>
      </x:c>
      <x:c r="J656" s="10" t="n">
        <x:v>6.99</x:v>
      </x:c>
      <x:c r="K656" s="10" t="n">
        <x:v>28</x:v>
      </x:c>
      <x:c r="L656" s="10" t="n">
        <x:f>G656*I656</x:f>
        <x:v>69.95</x:v>
      </x:c>
      <x:c r="M656" s="10" t="n">
        <x:f>ROUND((L656-J656)*H656/G656,2)</x:f>
        <x:v>0</x:v>
      </x:c>
      <x:c r="N656" s="10" t="n">
        <x:f>L656-J656-M656</x:f>
        <x:v>62.96</x:v>
      </x:c>
      <x:c r="O656" s="10" t="n">
        <x:f>(G656-H656)*K656</x:f>
        <x:v>28</x:v>
      </x:c>
      <x:c r="P656" s="10" t="n">
        <x:f>N656-O656</x:f>
        <x:v>34.96</x:v>
      </x:c>
      <x:c r="Q656" s="9" t="n">
        <x:f>A656-WEEKDAY(A656,2)+1</x:f>
        <x:v>46286</x:v>
      </x:c>
      <x:c r="R656" s="2" t="str">
        <x:f>IF(AND(A656&gt;='Review'!$B$4,A656&lt;='Review'!$D$4),"Selected","Outside")</x:f>
        <x:v>Outside</x:v>
      </x:c>
    </x:row>
    <x:row r="657" ht="20" customHeight="1">
      <x:c r="A657" s="9" t="n">
        <x:v>46288</x:v>
      </x:c>
      <x:c r="B657" s="2" t="str">
        <x:v>MM-1486</x:v>
      </x:c>
      <x:c r="C657" s="2" t="str">
        <x:v>Paid Social</x:v>
      </x:c>
      <x:c r="D657" s="2" t="str">
        <x:v>TOTE-001</x:v>
      </x:c>
      <x:c r="E657" s="2" t="str">
        <x:f>_xlfn.IFNA(VLOOKUP(D657,'Products'!$A$7:$I$22,2,FALSE),"Unmapped")</x:f>
        <x:v>Market canvas tote</x:v>
      </x:c>
      <x:c r="F657" s="2" t="str">
        <x:f>_xlfn.IFNA(VLOOKUP(D657,'Products'!$A$7:$I$22,3,FALSE),"Unmapped")</x:f>
        <x:v>Accessories</x:v>
      </x:c>
      <x:c r="G657" s="2" t="n">
        <x:v>1</x:v>
      </x:c>
      <x:c r="H657" s="2" t="n">
        <x:v>0</x:v>
      </x:c>
      <x:c r="I657" s="10" t="n">
        <x:v>19.95</x:v>
      </x:c>
      <x:c r="J657" s="10" t="n">
        <x:v>0</x:v>
      </x:c>
      <x:c r="K657" s="10" t="n">
        <x:v>6</x:v>
      </x:c>
      <x:c r="L657" s="10" t="n">
        <x:f>G657*I657</x:f>
        <x:v>19.95</x:v>
      </x:c>
      <x:c r="M657" s="10" t="n">
        <x:f>ROUND((L657-J657)*H657/G657,2)</x:f>
        <x:v>0</x:v>
      </x:c>
      <x:c r="N657" s="10" t="n">
        <x:f>L657-J657-M657</x:f>
        <x:v>19.95</x:v>
      </x:c>
      <x:c r="O657" s="10" t="n">
        <x:f>(G657-H657)*K657</x:f>
        <x:v>6</x:v>
      </x:c>
      <x:c r="P657" s="10" t="n">
        <x:f>N657-O657</x:f>
        <x:v>13.95</x:v>
      </x:c>
      <x:c r="Q657" s="9" t="n">
        <x:f>A657-WEEKDAY(A657,2)+1</x:f>
        <x:v>46286</x:v>
      </x:c>
      <x:c r="R657" s="2" t="str">
        <x:f>IF(AND(A657&gt;='Review'!$B$4,A657&lt;='Review'!$D$4),"Selected","Outside")</x:f>
        <x:v>Outside</x:v>
      </x:c>
    </x:row>
    <x:row r="658" ht="20" customHeight="1">
      <x:c r="A658" s="9" t="n">
        <x:v>46288</x:v>
      </x:c>
      <x:c r="B658" s="2" t="str">
        <x:v>MM-1487</x:v>
      </x:c>
      <x:c r="C658" s="2" t="str">
        <x:v>Paid Social</x:v>
      </x:c>
      <x:c r="D658" s="2" t="str">
        <x:v>MUG-001</x:v>
      </x:c>
      <x:c r="E658" s="2" t="str">
        <x:f>_xlfn.IFNA(VLOOKUP(D658,'Products'!$A$7:$I$22,2,FALSE),"Unmapped")</x:f>
        <x:v>Everyday ceramic mug</x:v>
      </x:c>
      <x:c r="F658" s="2" t="str">
        <x:f>_xlfn.IFNA(VLOOKUP(D658,'Products'!$A$7:$I$22,3,FALSE),"Unmapped")</x:f>
        <x:v>Drinkware</x:v>
      </x:c>
      <x:c r="G658" s="2" t="n">
        <x:v>1</x:v>
      </x:c>
      <x:c r="H658" s="2" t="n">
        <x:v>0</x:v>
      </x:c>
      <x:c r="I658" s="10" t="n">
        <x:v>18.95</x:v>
      </x:c>
      <x:c r="J658" s="10" t="n">
        <x:v>0</x:v>
      </x:c>
      <x:c r="K658" s="10" t="n">
        <x:v>6.5</x:v>
      </x:c>
      <x:c r="L658" s="10" t="n">
        <x:f>G658*I658</x:f>
        <x:v>18.95</x:v>
      </x:c>
      <x:c r="M658" s="10" t="n">
        <x:f>ROUND((L658-J658)*H658/G658,2)</x:f>
        <x:v>0</x:v>
      </x:c>
      <x:c r="N658" s="10" t="n">
        <x:f>L658-J658-M658</x:f>
        <x:v>18.95</x:v>
      </x:c>
      <x:c r="O658" s="10" t="n">
        <x:f>(G658-H658)*K658</x:f>
        <x:v>6.5</x:v>
      </x:c>
      <x:c r="P658" s="10" t="n">
        <x:f>N658-O658</x:f>
        <x:v>12.45</x:v>
      </x:c>
      <x:c r="Q658" s="9" t="n">
        <x:f>A658-WEEKDAY(A658,2)+1</x:f>
        <x:v>46286</x:v>
      </x:c>
      <x:c r="R658" s="2" t="str">
        <x:f>IF(AND(A658&gt;='Review'!$B$4,A658&lt;='Review'!$D$4),"Selected","Outside")</x:f>
        <x:v>Outside</x:v>
      </x:c>
    </x:row>
    <x:row r="659" ht="20" customHeight="1">
      <x:c r="A659" s="9" t="n">
        <x:v>46288</x:v>
      </x:c>
      <x:c r="B659" s="2" t="str">
        <x:v>MM-1475</x:v>
      </x:c>
      <x:c r="C659" s="2" t="str">
        <x:v>Organic Search</x:v>
      </x:c>
      <x:c r="D659" s="2" t="str">
        <x:v>GFT-002</x:v>
      </x:c>
      <x:c r="E659" s="2" t="str">
        <x:f>_xlfn.IFNA(VLOOKUP(D659,'Products'!$A$7:$I$22,2,FALSE),"Unmapped")</x:f>
        <x:v>Cozy weekend gift box</x:v>
      </x:c>
      <x:c r="F659" s="2" t="str">
        <x:f>_xlfn.IFNA(VLOOKUP(D659,'Products'!$A$7:$I$22,3,FALSE),"Unmapped")</x:f>
        <x:v>Gifts</x:v>
      </x:c>
      <x:c r="G659" s="2" t="n">
        <x:v>1</x:v>
      </x:c>
      <x:c r="H659" s="2" t="n">
        <x:v>0</x:v>
      </x:c>
      <x:c r="I659" s="10" t="n">
        <x:v>79.95</x:v>
      </x:c>
      <x:c r="J659" s="10" t="n">
        <x:v>0</x:v>
      </x:c>
      <x:c r="K659" s="10" t="n">
        <x:v>32</x:v>
      </x:c>
      <x:c r="L659" s="10" t="n">
        <x:f>G659*I659</x:f>
        <x:v>79.95</x:v>
      </x:c>
      <x:c r="M659" s="10" t="n">
        <x:f>ROUND((L659-J659)*H659/G659,2)</x:f>
        <x:v>0</x:v>
      </x:c>
      <x:c r="N659" s="10" t="n">
        <x:f>L659-J659-M659</x:f>
        <x:v>79.95</x:v>
      </x:c>
      <x:c r="O659" s="10" t="n">
        <x:f>(G659-H659)*K659</x:f>
        <x:v>32</x:v>
      </x:c>
      <x:c r="P659" s="10" t="n">
        <x:f>N659-O659</x:f>
        <x:v>47.95</x:v>
      </x:c>
      <x:c r="Q659" s="9" t="n">
        <x:f>A659-WEEKDAY(A659,2)+1</x:f>
        <x:v>46286</x:v>
      </x:c>
      <x:c r="R659" s="2" t="str">
        <x:f>IF(AND(A659&gt;='Review'!$B$4,A659&lt;='Review'!$D$4),"Selected","Outside")</x:f>
        <x:v>Outside</x:v>
      </x:c>
    </x:row>
    <x:row r="660" ht="20" customHeight="1">
      <x:c r="A660" s="9" t="n">
        <x:v>46288</x:v>
      </x:c>
      <x:c r="B660" s="2" t="str">
        <x:v>MM-1480</x:v>
      </x:c>
      <x:c r="C660" s="2" t="str">
        <x:v>Organic Search</x:v>
      </x:c>
      <x:c r="D660" s="2" t="str">
        <x:v>BOT-001</x:v>
      </x:c>
      <x:c r="E660" s="2" t="str">
        <x:f>_xlfn.IFNA(VLOOKUP(D660,'Products'!$A$7:$I$22,2,FALSE),"Unmapped")</x:f>
        <x:v>Trail water bottle</x:v>
      </x:c>
      <x:c r="F660" s="2" t="str">
        <x:f>_xlfn.IFNA(VLOOKUP(D660,'Products'!$A$7:$I$22,3,FALSE),"Unmapped")</x:f>
        <x:v>Drinkware</x:v>
      </x:c>
      <x:c r="G660" s="2" t="n">
        <x:v>1</x:v>
      </x:c>
      <x:c r="H660" s="2" t="n">
        <x:v>0</x:v>
      </x:c>
      <x:c r="I660" s="10" t="n">
        <x:v>34.95</x:v>
      </x:c>
      <x:c r="J660" s="10" t="n">
        <x:v>0</x:v>
      </x:c>
      <x:c r="K660" s="10" t="n">
        <x:v>13.5</x:v>
      </x:c>
      <x:c r="L660" s="10" t="n">
        <x:f>G660*I660</x:f>
        <x:v>34.95</x:v>
      </x:c>
      <x:c r="M660" s="10" t="n">
        <x:f>ROUND((L660-J660)*H660/G660,2)</x:f>
        <x:v>0</x:v>
      </x:c>
      <x:c r="N660" s="10" t="n">
        <x:f>L660-J660-M660</x:f>
        <x:v>34.95</x:v>
      </x:c>
      <x:c r="O660" s="10" t="n">
        <x:f>(G660-H660)*K660</x:f>
        <x:v>13.5</x:v>
      </x:c>
      <x:c r="P660" s="10" t="n">
        <x:f>N660-O660</x:f>
        <x:v>21.450000000000003</x:v>
      </x:c>
      <x:c r="Q660" s="9" t="n">
        <x:f>A660-WEEKDAY(A660,2)+1</x:f>
        <x:v>46286</x:v>
      </x:c>
      <x:c r="R660" s="2" t="str">
        <x:f>IF(AND(A660&gt;='Review'!$B$4,A660&lt;='Review'!$D$4),"Selected","Outside")</x:f>
        <x:v>Outside</x:v>
      </x:c>
    </x:row>
    <x:row r="661" ht="20" customHeight="1">
      <x:c r="A661" s="9" t="n">
        <x:v>46288</x:v>
      </x:c>
      <x:c r="B661" s="2" t="str">
        <x:v>MM-1480</x:v>
      </x:c>
      <x:c r="C661" s="2" t="str">
        <x:v>Organic Search</x:v>
      </x:c>
      <x:c r="D661" s="2" t="str">
        <x:v>TOTE-001</x:v>
      </x:c>
      <x:c r="E661" s="2" t="str">
        <x:f>_xlfn.IFNA(VLOOKUP(D661,'Products'!$A$7:$I$22,2,FALSE),"Unmapped")</x:f>
        <x:v>Market canvas tote</x:v>
      </x:c>
      <x:c r="F661" s="2" t="str">
        <x:f>_xlfn.IFNA(VLOOKUP(D661,'Products'!$A$7:$I$22,3,FALSE),"Unmapped")</x:f>
        <x:v>Accessories</x:v>
      </x:c>
      <x:c r="G661" s="2" t="n">
        <x:v>2</x:v>
      </x:c>
      <x:c r="H661" s="2" t="n">
        <x:v>0</x:v>
      </x:c>
      <x:c r="I661" s="10" t="n">
        <x:v>19.95</x:v>
      </x:c>
      <x:c r="J661" s="10" t="n">
        <x:v>3.99</x:v>
      </x:c>
      <x:c r="K661" s="10" t="n">
        <x:v>6</x:v>
      </x:c>
      <x:c r="L661" s="10" t="n">
        <x:f>G661*I661</x:f>
        <x:v>39.9</x:v>
      </x:c>
      <x:c r="M661" s="10" t="n">
        <x:f>ROUND((L661-J661)*H661/G661,2)</x:f>
        <x:v>0</x:v>
      </x:c>
      <x:c r="N661" s="10" t="n">
        <x:f>L661-J661-M661</x:f>
        <x:v>35.91</x:v>
      </x:c>
      <x:c r="O661" s="10" t="n">
        <x:f>(G661-H661)*K661</x:f>
        <x:v>12</x:v>
      </x:c>
      <x:c r="P661" s="10" t="n">
        <x:f>N661-O661</x:f>
        <x:v>23.909999999999997</x:v>
      </x:c>
      <x:c r="Q661" s="9" t="n">
        <x:f>A661-WEEKDAY(A661,2)+1</x:f>
        <x:v>46286</x:v>
      </x:c>
      <x:c r="R661" s="2" t="str">
        <x:f>IF(AND(A661&gt;='Review'!$B$4,A661&lt;='Review'!$D$4),"Selected","Outside")</x:f>
        <x:v>Outside</x:v>
      </x:c>
    </x:row>
    <x:row r="662" ht="20" customHeight="1">
      <x:c r="A662" s="9" t="n">
        <x:v>46288</x:v>
      </x:c>
      <x:c r="B662" s="2" t="str">
        <x:v>MM-1478</x:v>
      </x:c>
      <x:c r="C662" s="2" t="str">
        <x:v>Paid Social</x:v>
      </x:c>
      <x:c r="D662" s="2" t="str">
        <x:v>KEY-001</x:v>
      </x:c>
      <x:c r="E662" s="2" t="str">
        <x:f>_xlfn.IFNA(VLOOKUP(D662,'Products'!$A$7:$I$22,2,FALSE),"Unmapped")</x:f>
        <x:v>Maple keyring</x:v>
      </x:c>
      <x:c r="F662" s="2" t="str">
        <x:f>_xlfn.IFNA(VLOOKUP(D662,'Products'!$A$7:$I$22,3,FALSE),"Unmapped")</x:f>
        <x:v>Accessories</x:v>
      </x:c>
      <x:c r="G662" s="2" t="n">
        <x:v>1</x:v>
      </x:c>
      <x:c r="H662" s="2" t="n">
        <x:v>0</x:v>
      </x:c>
      <x:c r="I662" s="10" t="n">
        <x:v>12.95</x:v>
      </x:c>
      <x:c r="J662" s="10" t="n">
        <x:v>0</x:v>
      </x:c>
      <x:c r="K662" s="10" t="n">
        <x:v>3.5</x:v>
      </x:c>
      <x:c r="L662" s="10" t="n">
        <x:f>G662*I662</x:f>
        <x:v>12.95</x:v>
      </x:c>
      <x:c r="M662" s="10" t="n">
        <x:f>ROUND((L662-J662)*H662/G662,2)</x:f>
        <x:v>0</x:v>
      </x:c>
      <x:c r="N662" s="10" t="n">
        <x:f>L662-J662-M662</x:f>
        <x:v>12.95</x:v>
      </x:c>
      <x:c r="O662" s="10" t="n">
        <x:f>(G662-H662)*K662</x:f>
        <x:v>3.5</x:v>
      </x:c>
      <x:c r="P662" s="10" t="n">
        <x:f>N662-O662</x:f>
        <x:v>9.45</x:v>
      </x:c>
      <x:c r="Q662" s="9" t="n">
        <x:f>A662-WEEKDAY(A662,2)+1</x:f>
        <x:v>46286</x:v>
      </x:c>
      <x:c r="R662" s="2" t="str">
        <x:f>IF(AND(A662&gt;='Review'!$B$4,A662&lt;='Review'!$D$4),"Selected","Outside")</x:f>
        <x:v>Outside</x:v>
      </x:c>
    </x:row>
    <x:row r="663" ht="20" customHeight="1">
      <x:c r="A663" s="9" t="n">
        <x:v>46288</x:v>
      </x:c>
      <x:c r="B663" s="2" t="str">
        <x:v>MM-1484</x:v>
      </x:c>
      <x:c r="C663" s="2" t="str">
        <x:v>Organic Search</x:v>
      </x:c>
      <x:c r="D663" s="2" t="str">
        <x:v>MUG-001</x:v>
      </x:c>
      <x:c r="E663" s="2" t="str">
        <x:f>_xlfn.IFNA(VLOOKUP(D663,'Products'!$A$7:$I$22,2,FALSE),"Unmapped")</x:f>
        <x:v>Everyday ceramic mug</x:v>
      </x:c>
      <x:c r="F663" s="2" t="str">
        <x:f>_xlfn.IFNA(VLOOKUP(D663,'Products'!$A$7:$I$22,3,FALSE),"Unmapped")</x:f>
        <x:v>Drinkware</x:v>
      </x:c>
      <x:c r="G663" s="2" t="n">
        <x:v>2</x:v>
      </x:c>
      <x:c r="H663" s="2" t="n">
        <x:v>0</x:v>
      </x:c>
      <x:c r="I663" s="10" t="n">
        <x:v>18.95</x:v>
      </x:c>
      <x:c r="J663" s="10" t="n">
        <x:v>0</x:v>
      </x:c>
      <x:c r="K663" s="10" t="n">
        <x:v>6.5</x:v>
      </x:c>
      <x:c r="L663" s="10" t="n">
        <x:f>G663*I663</x:f>
        <x:v>37.9</x:v>
      </x:c>
      <x:c r="M663" s="10" t="n">
        <x:f>ROUND((L663-J663)*H663/G663,2)</x:f>
        <x:v>0</x:v>
      </x:c>
      <x:c r="N663" s="10" t="n">
        <x:f>L663-J663-M663</x:f>
        <x:v>37.9</x:v>
      </x:c>
      <x:c r="O663" s="10" t="n">
        <x:f>(G663-H663)*K663</x:f>
        <x:v>13</x:v>
      </x:c>
      <x:c r="P663" s="10" t="n">
        <x:f>N663-O663</x:f>
        <x:v>24.9</x:v>
      </x:c>
      <x:c r="Q663" s="9" t="n">
        <x:f>A663-WEEKDAY(A663,2)+1</x:f>
        <x:v>46286</x:v>
      </x:c>
      <x:c r="R663" s="2" t="str">
        <x:f>IF(AND(A663&gt;='Review'!$B$4,A663&lt;='Review'!$D$4),"Selected","Outside")</x:f>
        <x:v>Outside</x:v>
      </x:c>
    </x:row>
    <x:row r="664" ht="20" customHeight="1">
      <x:c r="A664" s="9" t="n">
        <x:v>46288</x:v>
      </x:c>
      <x:c r="B664" s="2" t="str">
        <x:v>MM-1477</x:v>
      </x:c>
      <x:c r="C664" s="2" t="str">
        <x:v>Organic Search</x:v>
      </x:c>
      <x:c r="D664" s="2" t="str">
        <x:v>BOT-001</x:v>
      </x:c>
      <x:c r="E664" s="2" t="str">
        <x:f>_xlfn.IFNA(VLOOKUP(D664,'Products'!$A$7:$I$22,2,FALSE),"Unmapped")</x:f>
        <x:v>Trail water bottle</x:v>
      </x:c>
      <x:c r="F664" s="2" t="str">
        <x:f>_xlfn.IFNA(VLOOKUP(D664,'Products'!$A$7:$I$22,3,FALSE),"Unmapped")</x:f>
        <x:v>Drinkware</x:v>
      </x:c>
      <x:c r="G664" s="2" t="n">
        <x:v>2</x:v>
      </x:c>
      <x:c r="H664" s="2" t="n">
        <x:v>0</x:v>
      </x:c>
      <x:c r="I664" s="10" t="n">
        <x:v>34.95</x:v>
      </x:c>
      <x:c r="J664" s="10" t="n">
        <x:v>0</x:v>
      </x:c>
      <x:c r="K664" s="10" t="n">
        <x:v>13.5</x:v>
      </x:c>
      <x:c r="L664" s="10" t="n">
        <x:f>G664*I664</x:f>
        <x:v>69.9</x:v>
      </x:c>
      <x:c r="M664" s="10" t="n">
        <x:f>ROUND((L664-J664)*H664/G664,2)</x:f>
        <x:v>0</x:v>
      </x:c>
      <x:c r="N664" s="10" t="n">
        <x:f>L664-J664-M664</x:f>
        <x:v>69.9</x:v>
      </x:c>
      <x:c r="O664" s="10" t="n">
        <x:f>(G664-H664)*K664</x:f>
        <x:v>27</x:v>
      </x:c>
      <x:c r="P664" s="10" t="n">
        <x:f>N664-O664</x:f>
        <x:v>42.900000000000006</x:v>
      </x:c>
      <x:c r="Q664" s="9" t="n">
        <x:f>A664-WEEKDAY(A664,2)+1</x:f>
        <x:v>46286</x:v>
      </x:c>
      <x:c r="R664" s="2" t="str">
        <x:f>IF(AND(A664&gt;='Review'!$B$4,A664&lt;='Review'!$D$4),"Selected","Outside")</x:f>
        <x:v>Outside</x:v>
      </x:c>
    </x:row>
    <x:row r="665" ht="20" customHeight="1">
      <x:c r="A665" s="9" t="n">
        <x:v>46288</x:v>
      </x:c>
      <x:c r="B665" s="2" t="str">
        <x:v>MM-1479</x:v>
      </x:c>
      <x:c r="C665" s="2" t="str">
        <x:v>Organic Search</x:v>
      </x:c>
      <x:c r="D665" s="2" t="str">
        <x:v>MUG-002</x:v>
      </x:c>
      <x:c r="E665" s="2" t="str">
        <x:f>_xlfn.IFNA(VLOOKUP(D665,'Products'!$A$7:$I$22,2,FALSE),"Unmapped")</x:f>
        <x:v>Campfire enamel mug</x:v>
      </x:c>
      <x:c r="F665" s="2" t="str">
        <x:f>_xlfn.IFNA(VLOOKUP(D665,'Products'!$A$7:$I$22,3,FALSE),"Unmapped")</x:f>
        <x:v>Drinkware</x:v>
      </x:c>
      <x:c r="G665" s="2" t="n">
        <x:v>1</x:v>
      </x:c>
      <x:c r="H665" s="2" t="n">
        <x:v>0</x:v>
      </x:c>
      <x:c r="I665" s="10" t="n">
        <x:v>22.95</x:v>
      </x:c>
      <x:c r="J665" s="10" t="n">
        <x:v>0</x:v>
      </x:c>
      <x:c r="K665" s="10" t="n">
        <x:v>8.5</x:v>
      </x:c>
      <x:c r="L665" s="10" t="n">
        <x:f>G665*I665</x:f>
        <x:v>22.95</x:v>
      </x:c>
      <x:c r="M665" s="10" t="n">
        <x:f>ROUND((L665-J665)*H665/G665,2)</x:f>
        <x:v>0</x:v>
      </x:c>
      <x:c r="N665" s="10" t="n">
        <x:f>L665-J665-M665</x:f>
        <x:v>22.95</x:v>
      </x:c>
      <x:c r="O665" s="10" t="n">
        <x:f>(G665-H665)*K665</x:f>
        <x:v>8.5</x:v>
      </x:c>
      <x:c r="P665" s="10" t="n">
        <x:f>N665-O665</x:f>
        <x:v>14.45</x:v>
      </x:c>
      <x:c r="Q665" s="9" t="n">
        <x:f>A665-WEEKDAY(A665,2)+1</x:f>
        <x:v>46286</x:v>
      </x:c>
      <x:c r="R665" s="2" t="str">
        <x:f>IF(AND(A665&gt;='Review'!$B$4,A665&lt;='Review'!$D$4),"Selected","Outside")</x:f>
        <x:v>Outside</x:v>
      </x:c>
    </x:row>
    <x:row r="666" ht="20" customHeight="1">
      <x:c r="A666" s="9" t="n">
        <x:v>46288</x:v>
      </x:c>
      <x:c r="B666" s="2" t="str">
        <x:v>MM-1479</x:v>
      </x:c>
      <x:c r="C666" s="2" t="str">
        <x:v>Organic Search</x:v>
      </x:c>
      <x:c r="D666" s="2" t="str">
        <x:v>TUM-002</x:v>
      </x:c>
      <x:c r="E666" s="2" t="str">
        <x:f>_xlfn.IFNA(VLOOKUP(D666,'Products'!$A$7:$I$22,2,FALSE),"Unmapped")</x:f>
        <x:v>Cold brew glass cup</x:v>
      </x:c>
      <x:c r="F666" s="2" t="str">
        <x:f>_xlfn.IFNA(VLOOKUP(D666,'Products'!$A$7:$I$22,3,FALSE),"Unmapped")</x:f>
        <x:v>Drinkware</x:v>
      </x:c>
      <x:c r="G666" s="2" t="n">
        <x:v>2</x:v>
      </x:c>
      <x:c r="H666" s="2" t="n">
        <x:v>0</x:v>
      </x:c>
      <x:c r="I666" s="10" t="n">
        <x:v>24.95</x:v>
      </x:c>
      <x:c r="J666" s="10" t="n">
        <x:v>0</x:v>
      </x:c>
      <x:c r="K666" s="10" t="n">
        <x:v>9</x:v>
      </x:c>
      <x:c r="L666" s="10" t="n">
        <x:f>G666*I666</x:f>
        <x:v>49.9</x:v>
      </x:c>
      <x:c r="M666" s="10" t="n">
        <x:f>ROUND((L666-J666)*H666/G666,2)</x:f>
        <x:v>0</x:v>
      </x:c>
      <x:c r="N666" s="10" t="n">
        <x:f>L666-J666-M666</x:f>
        <x:v>49.9</x:v>
      </x:c>
      <x:c r="O666" s="10" t="n">
        <x:f>(G666-H666)*K666</x:f>
        <x:v>18</x:v>
      </x:c>
      <x:c r="P666" s="10" t="n">
        <x:f>N666-O666</x:f>
        <x:v>31.9</x:v>
      </x:c>
      <x:c r="Q666" s="9" t="n">
        <x:f>A666-WEEKDAY(A666,2)+1</x:f>
        <x:v>46286</x:v>
      </x:c>
      <x:c r="R666" s="2" t="str">
        <x:f>IF(AND(A666&gt;='Review'!$B$4,A666&lt;='Review'!$D$4),"Selected","Outside")</x:f>
        <x:v>Outside</x:v>
      </x:c>
    </x:row>
    <x:row r="667" ht="20" customHeight="1">
      <x:c r="A667" s="9" t="n">
        <x:v>46288</x:v>
      </x:c>
      <x:c r="B667" s="2" t="str">
        <x:v>MM-1479</x:v>
      </x:c>
      <x:c r="C667" s="2" t="str">
        <x:v>Organic Search</x:v>
      </x:c>
      <x:c r="D667" s="2" t="str">
        <x:v>PIN-001</x:v>
      </x:c>
      <x:c r="E667" s="2" t="str">
        <x:f>_xlfn.IFNA(VLOOKUP(D667,'Products'!$A$7:$I$22,2,FALSE),"Unmapped")</x:f>
        <x:v>Coffee enamel pin</x:v>
      </x:c>
      <x:c r="F667" s="2" t="str">
        <x:f>_xlfn.IFNA(VLOOKUP(D667,'Products'!$A$7:$I$22,3,FALSE),"Unmapped")</x:f>
        <x:v>Accessories</x:v>
      </x:c>
      <x:c r="G667" s="2" t="n">
        <x:v>1</x:v>
      </x:c>
      <x:c r="H667" s="2" t="n">
        <x:v>0</x:v>
      </x:c>
      <x:c r="I667" s="10" t="n">
        <x:v>9.95</x:v>
      </x:c>
      <x:c r="J667" s="10" t="n">
        <x:v>0</x:v>
      </x:c>
      <x:c r="K667" s="10" t="n">
        <x:v>2.5</x:v>
      </x:c>
      <x:c r="L667" s="10" t="n">
        <x:f>G667*I667</x:f>
        <x:v>9.95</x:v>
      </x:c>
      <x:c r="M667" s="10" t="n">
        <x:f>ROUND((L667-J667)*H667/G667,2)</x:f>
        <x:v>0</x:v>
      </x:c>
      <x:c r="N667" s="10" t="n">
        <x:f>L667-J667-M667</x:f>
        <x:v>9.95</x:v>
      </x:c>
      <x:c r="O667" s="10" t="n">
        <x:f>(G667-H667)*K667</x:f>
        <x:v>2.5</x:v>
      </x:c>
      <x:c r="P667" s="10" t="n">
        <x:f>N667-O667</x:f>
        <x:v>7.449999999999999</x:v>
      </x:c>
      <x:c r="Q667" s="9" t="n">
        <x:f>A667-WEEKDAY(A667,2)+1</x:f>
        <x:v>46286</x:v>
      </x:c>
      <x:c r="R667" s="2" t="str">
        <x:f>IF(AND(A667&gt;='Review'!$B$4,A667&lt;='Review'!$D$4),"Selected","Outside")</x:f>
        <x:v>Outside</x:v>
      </x:c>
    </x:row>
    <x:row r="668" ht="20" customHeight="1">
      <x:c r="A668" s="9" t="n">
        <x:v>46288</x:v>
      </x:c>
      <x:c r="B668" s="2" t="str">
        <x:v>MM-1476</x:v>
      </x:c>
      <x:c r="C668" s="2" t="str">
        <x:v>Direct</x:v>
      </x:c>
      <x:c r="D668" s="2" t="str">
        <x:v>TUM-001</x:v>
      </x:c>
      <x:c r="E668" s="2" t="str">
        <x:f>_xlfn.IFNA(VLOOKUP(D668,'Products'!$A$7:$I$22,2,FALSE),"Unmapped")</x:f>
        <x:v>Maple travel tumbler</x:v>
      </x:c>
      <x:c r="F668" s="2" t="str">
        <x:f>_xlfn.IFNA(VLOOKUP(D668,'Products'!$A$7:$I$22,3,FALSE),"Unmapped")</x:f>
        <x:v>Drinkware</x:v>
      </x:c>
      <x:c r="G668" s="2" t="n">
        <x:v>2</x:v>
      </x:c>
      <x:c r="H668" s="2" t="n">
        <x:v>0</x:v>
      </x:c>
      <x:c r="I668" s="10" t="n">
        <x:v>32.95</x:v>
      </x:c>
      <x:c r="J668" s="10" t="n">
        <x:v>0</x:v>
      </x:c>
      <x:c r="K668" s="10" t="n">
        <x:v>12</x:v>
      </x:c>
      <x:c r="L668" s="10" t="n">
        <x:f>G668*I668</x:f>
        <x:v>65.9</x:v>
      </x:c>
      <x:c r="M668" s="10" t="n">
        <x:f>ROUND((L668-J668)*H668/G668,2)</x:f>
        <x:v>0</x:v>
      </x:c>
      <x:c r="N668" s="10" t="n">
        <x:f>L668-J668-M668</x:f>
        <x:v>65.9</x:v>
      </x:c>
      <x:c r="O668" s="10" t="n">
        <x:f>(G668-H668)*K668</x:f>
        <x:v>24</x:v>
      </x:c>
      <x:c r="P668" s="10" t="n">
        <x:f>N668-O668</x:f>
        <x:v>41.900000000000006</x:v>
      </x:c>
      <x:c r="Q668" s="9" t="n">
        <x:f>A668-WEEKDAY(A668,2)+1</x:f>
        <x:v>46286</x:v>
      </x:c>
      <x:c r="R668" s="2" t="str">
        <x:f>IF(AND(A668&gt;='Review'!$B$4,A668&lt;='Review'!$D$4),"Selected","Outside")</x:f>
        <x:v>Outside</x:v>
      </x:c>
    </x:row>
    <x:row r="669" ht="20" customHeight="1">
      <x:c r="A669" s="9" t="n">
        <x:v>46288</x:v>
      </x:c>
      <x:c r="B669" s="2" t="str">
        <x:v>MM-1481</x:v>
      </x:c>
      <x:c r="C669" s="2" t="str">
        <x:v>Paid Social</x:v>
      </x:c>
      <x:c r="D669" s="2" t="str">
        <x:v>PIN-001</x:v>
      </x:c>
      <x:c r="E669" s="2" t="str">
        <x:f>_xlfn.IFNA(VLOOKUP(D669,'Products'!$A$7:$I$22,2,FALSE),"Unmapped")</x:f>
        <x:v>Coffee enamel pin</x:v>
      </x:c>
      <x:c r="F669" s="2" t="str">
        <x:f>_xlfn.IFNA(VLOOKUP(D669,'Products'!$A$7:$I$22,3,FALSE),"Unmapped")</x:f>
        <x:v>Accessories</x:v>
      </x:c>
      <x:c r="G669" s="2" t="n">
        <x:v>1</x:v>
      </x:c>
      <x:c r="H669" s="2" t="n">
        <x:v>0</x:v>
      </x:c>
      <x:c r="I669" s="10" t="n">
        <x:v>9.95</x:v>
      </x:c>
      <x:c r="J669" s="10" t="n">
        <x:v>0</x:v>
      </x:c>
      <x:c r="K669" s="10" t="n">
        <x:v>2.5</x:v>
      </x:c>
      <x:c r="L669" s="10" t="n">
        <x:f>G669*I669</x:f>
        <x:v>9.95</x:v>
      </x:c>
      <x:c r="M669" s="10" t="n">
        <x:f>ROUND((L669-J669)*H669/G669,2)</x:f>
        <x:v>0</x:v>
      </x:c>
      <x:c r="N669" s="10" t="n">
        <x:f>L669-J669-M669</x:f>
        <x:v>9.95</x:v>
      </x:c>
      <x:c r="O669" s="10" t="n">
        <x:f>(G669-H669)*K669</x:f>
        <x:v>2.5</x:v>
      </x:c>
      <x:c r="P669" s="10" t="n">
        <x:f>N669-O669</x:f>
        <x:v>7.449999999999999</x:v>
      </x:c>
      <x:c r="Q669" s="9" t="n">
        <x:f>A669-WEEKDAY(A669,2)+1</x:f>
        <x:v>46286</x:v>
      </x:c>
      <x:c r="R669" s="2" t="str">
        <x:f>IF(AND(A669&gt;='Review'!$B$4,A669&lt;='Review'!$D$4),"Selected","Outside")</x:f>
        <x:v>Outside</x:v>
      </x:c>
    </x:row>
    <x:row r="670" ht="20" customHeight="1">
      <x:c r="A670" s="9" t="n">
        <x:v>46288</x:v>
      </x:c>
      <x:c r="B670" s="2" t="str">
        <x:v>MM-1481</x:v>
      </x:c>
      <x:c r="C670" s="2" t="str">
        <x:v>Paid Social</x:v>
      </x:c>
      <x:c r="D670" s="2" t="str">
        <x:v>APP-002</x:v>
      </x:c>
      <x:c r="E670" s="2" t="str">
        <x:f>_xlfn.IFNA(VLOOKUP(D670,'Products'!$A$7:$I$22,2,FALSE),"Unmapped")</x:f>
        <x:v>Weekend hoodie</x:v>
      </x:c>
      <x:c r="F670" s="2" t="str">
        <x:f>_xlfn.IFNA(VLOOKUP(D670,'Products'!$A$7:$I$22,3,FALSE),"Unmapped")</x:f>
        <x:v>Apparel</x:v>
      </x:c>
      <x:c r="G670" s="2" t="n">
        <x:v>1</x:v>
      </x:c>
      <x:c r="H670" s="2" t="n">
        <x:v>0</x:v>
      </x:c>
      <x:c r="I670" s="10" t="n">
        <x:v>69.95</x:v>
      </x:c>
      <x:c r="J670" s="10" t="n">
        <x:v>0</x:v>
      </x:c>
      <x:c r="K670" s="10" t="n">
        <x:v>28</x:v>
      </x:c>
      <x:c r="L670" s="10" t="n">
        <x:f>G670*I670</x:f>
        <x:v>69.95</x:v>
      </x:c>
      <x:c r="M670" s="10" t="n">
        <x:f>ROUND((L670-J670)*H670/G670,2)</x:f>
        <x:v>0</x:v>
      </x:c>
      <x:c r="N670" s="10" t="n">
        <x:f>L670-J670-M670</x:f>
        <x:v>69.95</x:v>
      </x:c>
      <x:c r="O670" s="10" t="n">
        <x:f>(G670-H670)*K670</x:f>
        <x:v>28</x:v>
      </x:c>
      <x:c r="P670" s="10" t="n">
        <x:f>N670-O670</x:f>
        <x:v>41.95</x:v>
      </x:c>
      <x:c r="Q670" s="9" t="n">
        <x:f>A670-WEEKDAY(A670,2)+1</x:f>
        <x:v>46286</x:v>
      </x:c>
      <x:c r="R670" s="2" t="str">
        <x:f>IF(AND(A670&gt;='Review'!$B$4,A670&lt;='Review'!$D$4),"Selected","Outside")</x:f>
        <x:v>Outside</x:v>
      </x:c>
    </x:row>
    <x:row r="671" ht="20" customHeight="1">
      <x:c r="A671" s="9" t="n">
        <x:v>46288</x:v>
      </x:c>
      <x:c r="B671" s="2" t="str">
        <x:v>MM-1485</x:v>
      </x:c>
      <x:c r="C671" s="2" t="str">
        <x:v>Direct</x:v>
      </x:c>
      <x:c r="D671" s="2" t="str">
        <x:v>GFT-001</x:v>
      </x:c>
      <x:c r="E671" s="2" t="str">
        <x:f>_xlfn.IFNA(VLOOKUP(D671,'Products'!$A$7:$I$22,2,FALSE),"Unmapped")</x:f>
        <x:v>Morning ritual gift set</x:v>
      </x:c>
      <x:c r="F671" s="2" t="str">
        <x:f>_xlfn.IFNA(VLOOKUP(D671,'Products'!$A$7:$I$22,3,FALSE),"Unmapped")</x:f>
        <x:v>Gifts</x:v>
      </x:c>
      <x:c r="G671" s="2" t="n">
        <x:v>3</x:v>
      </x:c>
      <x:c r="H671" s="2" t="n">
        <x:v>1</x:v>
      </x:c>
      <x:c r="I671" s="10" t="n">
        <x:v>59.95</x:v>
      </x:c>
      <x:c r="J671" s="10" t="n">
        <x:v>0</x:v>
      </x:c>
      <x:c r="K671" s="10" t="n">
        <x:v>24</x:v>
      </x:c>
      <x:c r="L671" s="10" t="n">
        <x:f>G671*I671</x:f>
        <x:v>179.85000000000002</x:v>
      </x:c>
      <x:c r="M671" s="10" t="n">
        <x:f>ROUND((L671-J671)*H671/G671,2)</x:f>
        <x:v>59.95</x:v>
      </x:c>
      <x:c r="N671" s="10" t="n">
        <x:f>L671-J671-M671</x:f>
        <x:v>119.90000000000002</x:v>
      </x:c>
      <x:c r="O671" s="10" t="n">
        <x:f>(G671-H671)*K671</x:f>
        <x:v>48</x:v>
      </x:c>
      <x:c r="P671" s="10" t="n">
        <x:f>N671-O671</x:f>
        <x:v>71.90000000000002</x:v>
      </x:c>
      <x:c r="Q671" s="9" t="n">
        <x:f>A671-WEEKDAY(A671,2)+1</x:f>
        <x:v>46286</x:v>
      </x:c>
      <x:c r="R671" s="2" t="str">
        <x:f>IF(AND(A671&gt;='Review'!$B$4,A671&lt;='Review'!$D$4),"Selected","Outside")</x:f>
        <x:v>Outside</x:v>
      </x:c>
    </x:row>
    <x:row r="672" ht="20" customHeight="1">
      <x:c r="A672" s="9" t="n">
        <x:v>46289</x:v>
      </x:c>
      <x:c r="B672" s="2" t="str">
        <x:v>MM-1489</x:v>
      </x:c>
      <x:c r="C672" s="2" t="str">
        <x:v>Paid Social</x:v>
      </x:c>
      <x:c r="D672" s="2" t="str">
        <x:v>APP-002</x:v>
      </x:c>
      <x:c r="E672" s="2" t="str">
        <x:f>_xlfn.IFNA(VLOOKUP(D672,'Products'!$A$7:$I$22,2,FALSE),"Unmapped")</x:f>
        <x:v>Weekend hoodie</x:v>
      </x:c>
      <x:c r="F672" s="2" t="str">
        <x:f>_xlfn.IFNA(VLOOKUP(D672,'Products'!$A$7:$I$22,3,FALSE),"Unmapped")</x:f>
        <x:v>Apparel</x:v>
      </x:c>
      <x:c r="G672" s="2" t="n">
        <x:v>2</x:v>
      </x:c>
      <x:c r="H672" s="2" t="n">
        <x:v>0</x:v>
      </x:c>
      <x:c r="I672" s="10" t="n">
        <x:v>69.95</x:v>
      </x:c>
      <x:c r="J672" s="10" t="n">
        <x:v>0</x:v>
      </x:c>
      <x:c r="K672" s="10" t="n">
        <x:v>28</x:v>
      </x:c>
      <x:c r="L672" s="10" t="n">
        <x:f>G672*I672</x:f>
        <x:v>139.9</x:v>
      </x:c>
      <x:c r="M672" s="10" t="n">
        <x:f>ROUND((L672-J672)*H672/G672,2)</x:f>
        <x:v>0</x:v>
      </x:c>
      <x:c r="N672" s="10" t="n">
        <x:f>L672-J672-M672</x:f>
        <x:v>139.9</x:v>
      </x:c>
      <x:c r="O672" s="10" t="n">
        <x:f>(G672-H672)*K672</x:f>
        <x:v>56</x:v>
      </x:c>
      <x:c r="P672" s="10" t="n">
        <x:f>N672-O672</x:f>
        <x:v>83.9</x:v>
      </x:c>
      <x:c r="Q672" s="9" t="n">
        <x:f>A672-WEEKDAY(A672,2)+1</x:f>
        <x:v>46286</x:v>
      </x:c>
      <x:c r="R672" s="2" t="str">
        <x:f>IF(AND(A672&gt;='Review'!$B$4,A672&lt;='Review'!$D$4),"Selected","Outside")</x:f>
        <x:v>Outside</x:v>
      </x:c>
    </x:row>
    <x:row r="673" ht="20" customHeight="1">
      <x:c r="A673" s="9" t="n">
        <x:v>46289</x:v>
      </x:c>
      <x:c r="B673" s="2" t="str">
        <x:v>MM-1489</x:v>
      </x:c>
      <x:c r="C673" s="2" t="str">
        <x:v>Paid Social</x:v>
      </x:c>
      <x:c r="D673" s="2" t="str">
        <x:v>GFT-002</x:v>
      </x:c>
      <x:c r="E673" s="2" t="str">
        <x:f>_xlfn.IFNA(VLOOKUP(D673,'Products'!$A$7:$I$22,2,FALSE),"Unmapped")</x:f>
        <x:v>Cozy weekend gift box</x:v>
      </x:c>
      <x:c r="F673" s="2" t="str">
        <x:f>_xlfn.IFNA(VLOOKUP(D673,'Products'!$A$7:$I$22,3,FALSE),"Unmapped")</x:f>
        <x:v>Gifts</x:v>
      </x:c>
      <x:c r="G673" s="2" t="n">
        <x:v>1</x:v>
      </x:c>
      <x:c r="H673" s="2" t="n">
        <x:v>0</x:v>
      </x:c>
      <x:c r="I673" s="10" t="n">
        <x:v>79.95</x:v>
      </x:c>
      <x:c r="J673" s="10" t="n">
        <x:v>0</x:v>
      </x:c>
      <x:c r="K673" s="10" t="n">
        <x:v>32</x:v>
      </x:c>
      <x:c r="L673" s="10" t="n">
        <x:f>G673*I673</x:f>
        <x:v>79.95</x:v>
      </x:c>
      <x:c r="M673" s="10" t="n">
        <x:f>ROUND((L673-J673)*H673/G673,2)</x:f>
        <x:v>0</x:v>
      </x:c>
      <x:c r="N673" s="10" t="n">
        <x:f>L673-J673-M673</x:f>
        <x:v>79.95</x:v>
      </x:c>
      <x:c r="O673" s="10" t="n">
        <x:f>(G673-H673)*K673</x:f>
        <x:v>32</x:v>
      </x:c>
      <x:c r="P673" s="10" t="n">
        <x:f>N673-O673</x:f>
        <x:v>47.95</x:v>
      </x:c>
      <x:c r="Q673" s="9" t="n">
        <x:f>A673-WEEKDAY(A673,2)+1</x:f>
        <x:v>46286</x:v>
      </x:c>
      <x:c r="R673" s="2" t="str">
        <x:f>IF(AND(A673&gt;='Review'!$B$4,A673&lt;='Review'!$D$4),"Selected","Outside")</x:f>
        <x:v>Outside</x:v>
      </x:c>
    </x:row>
    <x:row r="674" ht="20" customHeight="1">
      <x:c r="A674" s="9" t="n">
        <x:v>46289</x:v>
      </x:c>
      <x:c r="B674" s="2" t="str">
        <x:v>MM-1489</x:v>
      </x:c>
      <x:c r="C674" s="2" t="str">
        <x:v>Paid Social</x:v>
      </x:c>
      <x:c r="D674" s="2" t="str">
        <x:v>KEY-001</x:v>
      </x:c>
      <x:c r="E674" s="2" t="str">
        <x:f>_xlfn.IFNA(VLOOKUP(D674,'Products'!$A$7:$I$22,2,FALSE),"Unmapped")</x:f>
        <x:v>Maple keyring</x:v>
      </x:c>
      <x:c r="F674" s="2" t="str">
        <x:f>_xlfn.IFNA(VLOOKUP(D674,'Products'!$A$7:$I$22,3,FALSE),"Unmapped")</x:f>
        <x:v>Accessories</x:v>
      </x:c>
      <x:c r="G674" s="2" t="n">
        <x:v>1</x:v>
      </x:c>
      <x:c r="H674" s="2" t="n">
        <x:v>0</x:v>
      </x:c>
      <x:c r="I674" s="10" t="n">
        <x:v>12.95</x:v>
      </x:c>
      <x:c r="J674" s="10" t="n">
        <x:v>0</x:v>
      </x:c>
      <x:c r="K674" s="10" t="n">
        <x:v>3.5</x:v>
      </x:c>
      <x:c r="L674" s="10" t="n">
        <x:f>G674*I674</x:f>
        <x:v>12.95</x:v>
      </x:c>
      <x:c r="M674" s="10" t="n">
        <x:f>ROUND((L674-J674)*H674/G674,2)</x:f>
        <x:v>0</x:v>
      </x:c>
      <x:c r="N674" s="10" t="n">
        <x:f>L674-J674-M674</x:f>
        <x:v>12.95</x:v>
      </x:c>
      <x:c r="O674" s="10" t="n">
        <x:f>(G674-H674)*K674</x:f>
        <x:v>3.5</x:v>
      </x:c>
      <x:c r="P674" s="10" t="n">
        <x:f>N674-O674</x:f>
        <x:v>9.45</x:v>
      </x:c>
      <x:c r="Q674" s="9" t="n">
        <x:f>A674-WEEKDAY(A674,2)+1</x:f>
        <x:v>46286</x:v>
      </x:c>
      <x:c r="R674" s="2" t="str">
        <x:f>IF(AND(A674&gt;='Review'!$B$4,A674&lt;='Review'!$D$4),"Selected","Outside")</x:f>
        <x:v>Outside</x:v>
      </x:c>
    </x:row>
    <x:row r="675" ht="20" customHeight="1">
      <x:c r="A675" s="9" t="n">
        <x:v>46289</x:v>
      </x:c>
      <x:c r="B675" s="2" t="str">
        <x:v>MM-1494</x:v>
      </x:c>
      <x:c r="C675" s="2" t="str">
        <x:v>Organic Search</x:v>
      </x:c>
      <x:c r="D675" s="2" t="str">
        <x:v>MUG-002</x:v>
      </x:c>
      <x:c r="E675" s="2" t="str">
        <x:f>_xlfn.IFNA(VLOOKUP(D675,'Products'!$A$7:$I$22,2,FALSE),"Unmapped")</x:f>
        <x:v>Campfire enamel mug</x:v>
      </x:c>
      <x:c r="F675" s="2" t="str">
        <x:f>_xlfn.IFNA(VLOOKUP(D675,'Products'!$A$7:$I$22,3,FALSE),"Unmapped")</x:f>
        <x:v>Drinkware</x:v>
      </x:c>
      <x:c r="G675" s="2" t="n">
        <x:v>1</x:v>
      </x:c>
      <x:c r="H675" s="2" t="n">
        <x:v>0</x:v>
      </x:c>
      <x:c r="I675" s="10" t="n">
        <x:v>22.95</x:v>
      </x:c>
      <x:c r="J675" s="10" t="n">
        <x:v>0</x:v>
      </x:c>
      <x:c r="K675" s="10" t="n">
        <x:v>8.5</x:v>
      </x:c>
      <x:c r="L675" s="10" t="n">
        <x:f>G675*I675</x:f>
        <x:v>22.95</x:v>
      </x:c>
      <x:c r="M675" s="10" t="n">
        <x:f>ROUND((L675-J675)*H675/G675,2)</x:f>
        <x:v>0</x:v>
      </x:c>
      <x:c r="N675" s="10" t="n">
        <x:f>L675-J675-M675</x:f>
        <x:v>22.95</x:v>
      </x:c>
      <x:c r="O675" s="10" t="n">
        <x:f>(G675-H675)*K675</x:f>
        <x:v>8.5</x:v>
      </x:c>
      <x:c r="P675" s="10" t="n">
        <x:f>N675-O675</x:f>
        <x:v>14.45</x:v>
      </x:c>
      <x:c r="Q675" s="9" t="n">
        <x:f>A675-WEEKDAY(A675,2)+1</x:f>
        <x:v>46286</x:v>
      </x:c>
      <x:c r="R675" s="2" t="str">
        <x:f>IF(AND(A675&gt;='Review'!$B$4,A675&lt;='Review'!$D$4),"Selected","Outside")</x:f>
        <x:v>Outside</x:v>
      </x:c>
    </x:row>
    <x:row r="676" ht="20" customHeight="1">
      <x:c r="A676" s="9" t="n">
        <x:v>46289</x:v>
      </x:c>
      <x:c r="B676" s="2" t="str">
        <x:v>MM-1498</x:v>
      </x:c>
      <x:c r="C676" s="2" t="str">
        <x:v>Direct</x:v>
      </x:c>
      <x:c r="D676" s="2" t="str">
        <x:v>MUG-002</x:v>
      </x:c>
      <x:c r="E676" s="2" t="str">
        <x:f>_xlfn.IFNA(VLOOKUP(D676,'Products'!$A$7:$I$22,2,FALSE),"Unmapped")</x:f>
        <x:v>Campfire enamel mug</x:v>
      </x:c>
      <x:c r="F676" s="2" t="str">
        <x:f>_xlfn.IFNA(VLOOKUP(D676,'Products'!$A$7:$I$22,3,FALSE),"Unmapped")</x:f>
        <x:v>Drinkware</x:v>
      </x:c>
      <x:c r="G676" s="2" t="n">
        <x:v>1</x:v>
      </x:c>
      <x:c r="H676" s="2" t="n">
        <x:v>0</x:v>
      </x:c>
      <x:c r="I676" s="10" t="n">
        <x:v>22.95</x:v>
      </x:c>
      <x:c r="J676" s="10" t="n">
        <x:v>0</x:v>
      </x:c>
      <x:c r="K676" s="10" t="n">
        <x:v>8.5</x:v>
      </x:c>
      <x:c r="L676" s="10" t="n">
        <x:f>G676*I676</x:f>
        <x:v>22.95</x:v>
      </x:c>
      <x:c r="M676" s="10" t="n">
        <x:f>ROUND((L676-J676)*H676/G676,2)</x:f>
        <x:v>0</x:v>
      </x:c>
      <x:c r="N676" s="10" t="n">
        <x:f>L676-J676-M676</x:f>
        <x:v>22.95</x:v>
      </x:c>
      <x:c r="O676" s="10" t="n">
        <x:f>(G676-H676)*K676</x:f>
        <x:v>8.5</x:v>
      </x:c>
      <x:c r="P676" s="10" t="n">
        <x:f>N676-O676</x:f>
        <x:v>14.45</x:v>
      </x:c>
      <x:c r="Q676" s="9" t="n">
        <x:f>A676-WEEKDAY(A676,2)+1</x:f>
        <x:v>46286</x:v>
      </x:c>
      <x:c r="R676" s="2" t="str">
        <x:f>IF(AND(A676&gt;='Review'!$B$4,A676&lt;='Review'!$D$4),"Selected","Outside")</x:f>
        <x:v>Outside</x:v>
      </x:c>
    </x:row>
    <x:row r="677" ht="20" customHeight="1">
      <x:c r="A677" s="9" t="n">
        <x:v>46289</x:v>
      </x:c>
      <x:c r="B677" s="2" t="str">
        <x:v>MM-1498</x:v>
      </x:c>
      <x:c r="C677" s="2" t="str">
        <x:v>Direct</x:v>
      </x:c>
      <x:c r="D677" s="2" t="str">
        <x:v>PIN-001</x:v>
      </x:c>
      <x:c r="E677" s="2" t="str">
        <x:f>_xlfn.IFNA(VLOOKUP(D677,'Products'!$A$7:$I$22,2,FALSE),"Unmapped")</x:f>
        <x:v>Coffee enamel pin</x:v>
      </x:c>
      <x:c r="F677" s="2" t="str">
        <x:f>_xlfn.IFNA(VLOOKUP(D677,'Products'!$A$7:$I$22,3,FALSE),"Unmapped")</x:f>
        <x:v>Accessories</x:v>
      </x:c>
      <x:c r="G677" s="2" t="n">
        <x:v>2</x:v>
      </x:c>
      <x:c r="H677" s="2" t="n">
        <x:v>0</x:v>
      </x:c>
      <x:c r="I677" s="10" t="n">
        <x:v>9.95</x:v>
      </x:c>
      <x:c r="J677" s="10" t="n">
        <x:v>0</x:v>
      </x:c>
      <x:c r="K677" s="10" t="n">
        <x:v>2.5</x:v>
      </x:c>
      <x:c r="L677" s="10" t="n">
        <x:f>G677*I677</x:f>
        <x:v>19.9</x:v>
      </x:c>
      <x:c r="M677" s="10" t="n">
        <x:f>ROUND((L677-J677)*H677/G677,2)</x:f>
        <x:v>0</x:v>
      </x:c>
      <x:c r="N677" s="10" t="n">
        <x:f>L677-J677-M677</x:f>
        <x:v>19.9</x:v>
      </x:c>
      <x:c r="O677" s="10" t="n">
        <x:f>(G677-H677)*K677</x:f>
        <x:v>5</x:v>
      </x:c>
      <x:c r="P677" s="10" t="n">
        <x:f>N677-O677</x:f>
        <x:v>14.899999999999999</x:v>
      </x:c>
      <x:c r="Q677" s="9" t="n">
        <x:f>A677-WEEKDAY(A677,2)+1</x:f>
        <x:v>46286</x:v>
      </x:c>
      <x:c r="R677" s="2" t="str">
        <x:f>IF(AND(A677&gt;='Review'!$B$4,A677&lt;='Review'!$D$4),"Selected","Outside")</x:f>
        <x:v>Outside</x:v>
      </x:c>
    </x:row>
    <x:row r="678" ht="20" customHeight="1">
      <x:c r="A678" s="9" t="n">
        <x:v>46289</x:v>
      </x:c>
      <x:c r="B678" s="2" t="str">
        <x:v>MM-1488</x:v>
      </x:c>
      <x:c r="C678" s="2" t="str">
        <x:v>Direct</x:v>
      </x:c>
      <x:c r="D678" s="2" t="str">
        <x:v>APP-003</x:v>
      </x:c>
      <x:c r="E678" s="2" t="str">
        <x:f>_xlfn.IFNA(VLOOKUP(D678,'Products'!$A$7:$I$22,2,FALSE),"Unmapped")</x:f>
        <x:v>Coffee club tee</x:v>
      </x:c>
      <x:c r="F678" s="2" t="str">
        <x:f>_xlfn.IFNA(VLOOKUP(D678,'Products'!$A$7:$I$22,3,FALSE),"Unmapped")</x:f>
        <x:v>Apparel</x:v>
      </x:c>
      <x:c r="G678" s="2" t="n">
        <x:v>2</x:v>
      </x:c>
      <x:c r="H678" s="2" t="n">
        <x:v>0</x:v>
      </x:c>
      <x:c r="I678" s="10" t="n">
        <x:v>29.95</x:v>
      </x:c>
      <x:c r="J678" s="10" t="n">
        <x:v>0</x:v>
      </x:c>
      <x:c r="K678" s="10" t="n">
        <x:v>10</x:v>
      </x:c>
      <x:c r="L678" s="10" t="n">
        <x:f>G678*I678</x:f>
        <x:v>59.9</x:v>
      </x:c>
      <x:c r="M678" s="10" t="n">
        <x:f>ROUND((L678-J678)*H678/G678,2)</x:f>
        <x:v>0</x:v>
      </x:c>
      <x:c r="N678" s="10" t="n">
        <x:f>L678-J678-M678</x:f>
        <x:v>59.9</x:v>
      </x:c>
      <x:c r="O678" s="10" t="n">
        <x:f>(G678-H678)*K678</x:f>
        <x:v>20</x:v>
      </x:c>
      <x:c r="P678" s="10" t="n">
        <x:f>N678-O678</x:f>
        <x:v>39.9</x:v>
      </x:c>
      <x:c r="Q678" s="9" t="n">
        <x:f>A678-WEEKDAY(A678,2)+1</x:f>
        <x:v>46286</x:v>
      </x:c>
      <x:c r="R678" s="2" t="str">
        <x:f>IF(AND(A678&gt;='Review'!$B$4,A678&lt;='Review'!$D$4),"Selected","Outside")</x:f>
        <x:v>Outside</x:v>
      </x:c>
    </x:row>
    <x:row r="679" ht="20" customHeight="1">
      <x:c r="A679" s="9" t="n">
        <x:v>46289</x:v>
      </x:c>
      <x:c r="B679" s="2" t="str">
        <x:v>MM-1496</x:v>
      </x:c>
      <x:c r="C679" s="2" t="str">
        <x:v>Organic Search</x:v>
      </x:c>
      <x:c r="D679" s="2" t="str">
        <x:v>GFT-002</x:v>
      </x:c>
      <x:c r="E679" s="2" t="str">
        <x:f>_xlfn.IFNA(VLOOKUP(D679,'Products'!$A$7:$I$22,2,FALSE),"Unmapped")</x:f>
        <x:v>Cozy weekend gift box</x:v>
      </x:c>
      <x:c r="F679" s="2" t="str">
        <x:f>_xlfn.IFNA(VLOOKUP(D679,'Products'!$A$7:$I$22,3,FALSE),"Unmapped")</x:f>
        <x:v>Gifts</x:v>
      </x:c>
      <x:c r="G679" s="2" t="n">
        <x:v>3</x:v>
      </x:c>
      <x:c r="H679" s="2" t="n">
        <x:v>0</x:v>
      </x:c>
      <x:c r="I679" s="10" t="n">
        <x:v>79.95</x:v>
      </x:c>
      <x:c r="J679" s="10" t="n">
        <x:v>0</x:v>
      </x:c>
      <x:c r="K679" s="10" t="n">
        <x:v>32</x:v>
      </x:c>
      <x:c r="L679" s="10" t="n">
        <x:f>G679*I679</x:f>
        <x:v>239.85000000000002</x:v>
      </x:c>
      <x:c r="M679" s="10" t="n">
        <x:f>ROUND((L679-J679)*H679/G679,2)</x:f>
        <x:v>0</x:v>
      </x:c>
      <x:c r="N679" s="10" t="n">
        <x:f>L679-J679-M679</x:f>
        <x:v>239.85000000000002</x:v>
      </x:c>
      <x:c r="O679" s="10" t="n">
        <x:f>(G679-H679)*K679</x:f>
        <x:v>96</x:v>
      </x:c>
      <x:c r="P679" s="10" t="n">
        <x:f>N679-O679</x:f>
        <x:v>143.85000000000002</x:v>
      </x:c>
      <x:c r="Q679" s="9" t="n">
        <x:f>A679-WEEKDAY(A679,2)+1</x:f>
        <x:v>46286</x:v>
      </x:c>
      <x:c r="R679" s="2" t="str">
        <x:f>IF(AND(A679&gt;='Review'!$B$4,A679&lt;='Review'!$D$4),"Selected","Outside")</x:f>
        <x:v>Outside</x:v>
      </x:c>
    </x:row>
    <x:row r="680" ht="20" customHeight="1">
      <x:c r="A680" s="9" t="n">
        <x:v>46289</x:v>
      </x:c>
      <x:c r="B680" s="2" t="str">
        <x:v>MM-1490</x:v>
      </x:c>
      <x:c r="C680" s="2" t="str">
        <x:v>Direct</x:v>
      </x:c>
      <x:c r="D680" s="2" t="str">
        <x:v>BOT-001</x:v>
      </x:c>
      <x:c r="E680" s="2" t="str">
        <x:f>_xlfn.IFNA(VLOOKUP(D680,'Products'!$A$7:$I$22,2,FALSE),"Unmapped")</x:f>
        <x:v>Trail water bottle</x:v>
      </x:c>
      <x:c r="F680" s="2" t="str">
        <x:f>_xlfn.IFNA(VLOOKUP(D680,'Products'!$A$7:$I$22,3,FALSE),"Unmapped")</x:f>
        <x:v>Drinkware</x:v>
      </x:c>
      <x:c r="G680" s="2" t="n">
        <x:v>1</x:v>
      </x:c>
      <x:c r="H680" s="2" t="n">
        <x:v>0</x:v>
      </x:c>
      <x:c r="I680" s="10" t="n">
        <x:v>34.95</x:v>
      </x:c>
      <x:c r="J680" s="10" t="n">
        <x:v>0</x:v>
      </x:c>
      <x:c r="K680" s="10" t="n">
        <x:v>13.5</x:v>
      </x:c>
      <x:c r="L680" s="10" t="n">
        <x:f>G680*I680</x:f>
        <x:v>34.95</x:v>
      </x:c>
      <x:c r="M680" s="10" t="n">
        <x:f>ROUND((L680-J680)*H680/G680,2)</x:f>
        <x:v>0</x:v>
      </x:c>
      <x:c r="N680" s="10" t="n">
        <x:f>L680-J680-M680</x:f>
        <x:v>34.95</x:v>
      </x:c>
      <x:c r="O680" s="10" t="n">
        <x:f>(G680-H680)*K680</x:f>
        <x:v>13.5</x:v>
      </x:c>
      <x:c r="P680" s="10" t="n">
        <x:f>N680-O680</x:f>
        <x:v>21.450000000000003</x:v>
      </x:c>
      <x:c r="Q680" s="9" t="n">
        <x:f>A680-WEEKDAY(A680,2)+1</x:f>
        <x:v>46286</x:v>
      </x:c>
      <x:c r="R680" s="2" t="str">
        <x:f>IF(AND(A680&gt;='Review'!$B$4,A680&lt;='Review'!$D$4),"Selected","Outside")</x:f>
        <x:v>Outside</x:v>
      </x:c>
    </x:row>
    <x:row r="681" ht="20" customHeight="1">
      <x:c r="A681" s="9" t="n">
        <x:v>46289</x:v>
      </x:c>
      <x:c r="B681" s="2" t="str">
        <x:v>MM-1492</x:v>
      </x:c>
      <x:c r="C681" s="2" t="str">
        <x:v>Organic Search</x:v>
      </x:c>
      <x:c r="D681" s="2" t="str">
        <x:v>PIN-001</x:v>
      </x:c>
      <x:c r="E681" s="2" t="str">
        <x:f>_xlfn.IFNA(VLOOKUP(D681,'Products'!$A$7:$I$22,2,FALSE),"Unmapped")</x:f>
        <x:v>Coffee enamel pin</x:v>
      </x:c>
      <x:c r="F681" s="2" t="str">
        <x:f>_xlfn.IFNA(VLOOKUP(D681,'Products'!$A$7:$I$22,3,FALSE),"Unmapped")</x:f>
        <x:v>Accessories</x:v>
      </x:c>
      <x:c r="G681" s="2" t="n">
        <x:v>1</x:v>
      </x:c>
      <x:c r="H681" s="2" t="n">
        <x:v>0</x:v>
      </x:c>
      <x:c r="I681" s="10" t="n">
        <x:v>9.95</x:v>
      </x:c>
      <x:c r="J681" s="10" t="n">
        <x:v>0</x:v>
      </x:c>
      <x:c r="K681" s="10" t="n">
        <x:v>2.5</x:v>
      </x:c>
      <x:c r="L681" s="10" t="n">
        <x:f>G681*I681</x:f>
        <x:v>9.95</x:v>
      </x:c>
      <x:c r="M681" s="10" t="n">
        <x:f>ROUND((L681-J681)*H681/G681,2)</x:f>
        <x:v>0</x:v>
      </x:c>
      <x:c r="N681" s="10" t="n">
        <x:f>L681-J681-M681</x:f>
        <x:v>9.95</x:v>
      </x:c>
      <x:c r="O681" s="10" t="n">
        <x:f>(G681-H681)*K681</x:f>
        <x:v>2.5</x:v>
      </x:c>
      <x:c r="P681" s="10" t="n">
        <x:f>N681-O681</x:f>
        <x:v>7.449999999999999</x:v>
      </x:c>
      <x:c r="Q681" s="9" t="n">
        <x:f>A681-WEEKDAY(A681,2)+1</x:f>
        <x:v>46286</x:v>
      </x:c>
      <x:c r="R681" s="2" t="str">
        <x:f>IF(AND(A681&gt;='Review'!$B$4,A681&lt;='Review'!$D$4),"Selected","Outside")</x:f>
        <x:v>Outside</x:v>
      </x:c>
    </x:row>
    <x:row r="682" ht="20" customHeight="1">
      <x:c r="A682" s="9" t="n">
        <x:v>46289</x:v>
      </x:c>
      <x:c r="B682" s="2" t="str">
        <x:v>MM-1492</x:v>
      </x:c>
      <x:c r="C682" s="2" t="str">
        <x:v>Organic Search</x:v>
      </x:c>
      <x:c r="D682" s="2" t="str">
        <x:v>KEY-001</x:v>
      </x:c>
      <x:c r="E682" s="2" t="str">
        <x:f>_xlfn.IFNA(VLOOKUP(D682,'Products'!$A$7:$I$22,2,FALSE),"Unmapped")</x:f>
        <x:v>Maple keyring</x:v>
      </x:c>
      <x:c r="F682" s="2" t="str">
        <x:f>_xlfn.IFNA(VLOOKUP(D682,'Products'!$A$7:$I$22,3,FALSE),"Unmapped")</x:f>
        <x:v>Accessories</x:v>
      </x:c>
      <x:c r="G682" s="2" t="n">
        <x:v>1</x:v>
      </x:c>
      <x:c r="H682" s="2" t="n">
        <x:v>0</x:v>
      </x:c>
      <x:c r="I682" s="10" t="n">
        <x:v>12.95</x:v>
      </x:c>
      <x:c r="J682" s="10" t="n">
        <x:v>0</x:v>
      </x:c>
      <x:c r="K682" s="10" t="n">
        <x:v>3.5</x:v>
      </x:c>
      <x:c r="L682" s="10" t="n">
        <x:f>G682*I682</x:f>
        <x:v>12.95</x:v>
      </x:c>
      <x:c r="M682" s="10" t="n">
        <x:f>ROUND((L682-J682)*H682/G682,2)</x:f>
        <x:v>0</x:v>
      </x:c>
      <x:c r="N682" s="10" t="n">
        <x:f>L682-J682-M682</x:f>
        <x:v>12.95</x:v>
      </x:c>
      <x:c r="O682" s="10" t="n">
        <x:f>(G682-H682)*K682</x:f>
        <x:v>3.5</x:v>
      </x:c>
      <x:c r="P682" s="10" t="n">
        <x:f>N682-O682</x:f>
        <x:v>9.45</x:v>
      </x:c>
      <x:c r="Q682" s="9" t="n">
        <x:f>A682-WEEKDAY(A682,2)+1</x:f>
        <x:v>46286</x:v>
      </x:c>
      <x:c r="R682" s="2" t="str">
        <x:f>IF(AND(A682&gt;='Review'!$B$4,A682&lt;='Review'!$D$4),"Selected","Outside")</x:f>
        <x:v>Outside</x:v>
      </x:c>
    </x:row>
    <x:row r="683" ht="20" customHeight="1">
      <x:c r="A683" s="9" t="n">
        <x:v>46289</x:v>
      </x:c>
      <x:c r="B683" s="2" t="str">
        <x:v>MM-1492</x:v>
      </x:c>
      <x:c r="C683" s="2" t="str">
        <x:v>Organic Search</x:v>
      </x:c>
      <x:c r="D683" s="2" t="str">
        <x:v>MUG-002</x:v>
      </x:c>
      <x:c r="E683" s="2" t="str">
        <x:f>_xlfn.IFNA(VLOOKUP(D683,'Products'!$A$7:$I$22,2,FALSE),"Unmapped")</x:f>
        <x:v>Campfire enamel mug</x:v>
      </x:c>
      <x:c r="F683" s="2" t="str">
        <x:f>_xlfn.IFNA(VLOOKUP(D683,'Products'!$A$7:$I$22,3,FALSE),"Unmapped")</x:f>
        <x:v>Drinkware</x:v>
      </x:c>
      <x:c r="G683" s="2" t="n">
        <x:v>3</x:v>
      </x:c>
      <x:c r="H683" s="2" t="n">
        <x:v>1</x:v>
      </x:c>
      <x:c r="I683" s="10" t="n">
        <x:v>22.95</x:v>
      </x:c>
      <x:c r="J683" s="10" t="n">
        <x:v>0</x:v>
      </x:c>
      <x:c r="K683" s="10" t="n">
        <x:v>8.5</x:v>
      </x:c>
      <x:c r="L683" s="10" t="n">
        <x:f>G683*I683</x:f>
        <x:v>68.85</x:v>
      </x:c>
      <x:c r="M683" s="10" t="n">
        <x:f>ROUND((L683-J683)*H683/G683,2)</x:f>
        <x:v>22.95</x:v>
      </x:c>
      <x:c r="N683" s="10" t="n">
        <x:f>L683-J683-M683</x:f>
        <x:v>45.89999999999999</x:v>
      </x:c>
      <x:c r="O683" s="10" t="n">
        <x:f>(G683-H683)*K683</x:f>
        <x:v>17</x:v>
      </x:c>
      <x:c r="P683" s="10" t="n">
        <x:f>N683-O683</x:f>
        <x:v>28.89999999999999</x:v>
      </x:c>
      <x:c r="Q683" s="9" t="n">
        <x:f>A683-WEEKDAY(A683,2)+1</x:f>
        <x:v>46286</x:v>
      </x:c>
      <x:c r="R683" s="2" t="str">
        <x:f>IF(AND(A683&gt;='Review'!$B$4,A683&lt;='Review'!$D$4),"Selected","Outside")</x:f>
        <x:v>Outside</x:v>
      </x:c>
    </x:row>
    <x:row r="684" ht="20" customHeight="1">
      <x:c r="A684" s="9" t="n">
        <x:v>46289</x:v>
      </x:c>
      <x:c r="B684" s="2" t="str">
        <x:v>MM-1495</x:v>
      </x:c>
      <x:c r="C684" s="2" t="str">
        <x:v>Organic Search</x:v>
      </x:c>
      <x:c r="D684" s="2" t="str">
        <x:v>GFT-002</x:v>
      </x:c>
      <x:c r="E684" s="2" t="str">
        <x:f>_xlfn.IFNA(VLOOKUP(D684,'Products'!$A$7:$I$22,2,FALSE),"Unmapped")</x:f>
        <x:v>Cozy weekend gift box</x:v>
      </x:c>
      <x:c r="F684" s="2" t="str">
        <x:f>_xlfn.IFNA(VLOOKUP(D684,'Products'!$A$7:$I$22,3,FALSE),"Unmapped")</x:f>
        <x:v>Gifts</x:v>
      </x:c>
      <x:c r="G684" s="2" t="n">
        <x:v>1</x:v>
      </x:c>
      <x:c r="H684" s="2" t="n">
        <x:v>0</x:v>
      </x:c>
      <x:c r="I684" s="10" t="n">
        <x:v>79.95</x:v>
      </x:c>
      <x:c r="J684" s="10" t="n">
        <x:v>0</x:v>
      </x:c>
      <x:c r="K684" s="10" t="n">
        <x:v>32</x:v>
      </x:c>
      <x:c r="L684" s="10" t="n">
        <x:f>G684*I684</x:f>
        <x:v>79.95</x:v>
      </x:c>
      <x:c r="M684" s="10" t="n">
        <x:f>ROUND((L684-J684)*H684/G684,2)</x:f>
        <x:v>0</x:v>
      </x:c>
      <x:c r="N684" s="10" t="n">
        <x:f>L684-J684-M684</x:f>
        <x:v>79.95</x:v>
      </x:c>
      <x:c r="O684" s="10" t="n">
        <x:f>(G684-H684)*K684</x:f>
        <x:v>32</x:v>
      </x:c>
      <x:c r="P684" s="10" t="n">
        <x:f>N684-O684</x:f>
        <x:v>47.95</x:v>
      </x:c>
      <x:c r="Q684" s="9" t="n">
        <x:f>A684-WEEKDAY(A684,2)+1</x:f>
        <x:v>46286</x:v>
      </x:c>
      <x:c r="R684" s="2" t="str">
        <x:f>IF(AND(A684&gt;='Review'!$B$4,A684&lt;='Review'!$D$4),"Selected","Outside")</x:f>
        <x:v>Outside</x:v>
      </x:c>
    </x:row>
    <x:row r="685" ht="20" customHeight="1">
      <x:c r="A685" s="9" t="n">
        <x:v>46289</x:v>
      </x:c>
      <x:c r="B685" s="2" t="str">
        <x:v>MM-1499</x:v>
      </x:c>
      <x:c r="C685" s="2" t="str">
        <x:v>Paid Social</x:v>
      </x:c>
      <x:c r="D685" s="2" t="str">
        <x:v>MUG-002</x:v>
      </x:c>
      <x:c r="E685" s="2" t="str">
        <x:f>_xlfn.IFNA(VLOOKUP(D685,'Products'!$A$7:$I$22,2,FALSE),"Unmapped")</x:f>
        <x:v>Campfire enamel mug</x:v>
      </x:c>
      <x:c r="F685" s="2" t="str">
        <x:f>_xlfn.IFNA(VLOOKUP(D685,'Products'!$A$7:$I$22,3,FALSE),"Unmapped")</x:f>
        <x:v>Drinkware</x:v>
      </x:c>
      <x:c r="G685" s="2" t="n">
        <x:v>2</x:v>
      </x:c>
      <x:c r="H685" s="2" t="n">
        <x:v>0</x:v>
      </x:c>
      <x:c r="I685" s="10" t="n">
        <x:v>22.95</x:v>
      </x:c>
      <x:c r="J685" s="10" t="n">
        <x:v>0</x:v>
      </x:c>
      <x:c r="K685" s="10" t="n">
        <x:v>8.5</x:v>
      </x:c>
      <x:c r="L685" s="10" t="n">
        <x:f>G685*I685</x:f>
        <x:v>45.9</x:v>
      </x:c>
      <x:c r="M685" s="10" t="n">
        <x:f>ROUND((L685-J685)*H685/G685,2)</x:f>
        <x:v>0</x:v>
      </x:c>
      <x:c r="N685" s="10" t="n">
        <x:f>L685-J685-M685</x:f>
        <x:v>45.9</x:v>
      </x:c>
      <x:c r="O685" s="10" t="n">
        <x:f>(G685-H685)*K685</x:f>
        <x:v>17</x:v>
      </x:c>
      <x:c r="P685" s="10" t="n">
        <x:f>N685-O685</x:f>
        <x:v>28.9</x:v>
      </x:c>
      <x:c r="Q685" s="9" t="n">
        <x:f>A685-WEEKDAY(A685,2)+1</x:f>
        <x:v>46286</x:v>
      </x:c>
      <x:c r="R685" s="2" t="str">
        <x:f>IF(AND(A685&gt;='Review'!$B$4,A685&lt;='Review'!$D$4),"Selected","Outside")</x:f>
        <x:v>Outside</x:v>
      </x:c>
    </x:row>
    <x:row r="686" ht="20" customHeight="1">
      <x:c r="A686" s="9" t="n">
        <x:v>46289</x:v>
      </x:c>
      <x:c r="B686" s="2" t="str">
        <x:v>MM-1501</x:v>
      </x:c>
      <x:c r="C686" s="2" t="str">
        <x:v>Organic Search</x:v>
      </x:c>
      <x:c r="D686" s="2" t="str">
        <x:v>APP-003</x:v>
      </x:c>
      <x:c r="E686" s="2" t="str">
        <x:f>_xlfn.IFNA(VLOOKUP(D686,'Products'!$A$7:$I$22,2,FALSE),"Unmapped")</x:f>
        <x:v>Coffee club tee</x:v>
      </x:c>
      <x:c r="F686" s="2" t="str">
        <x:f>_xlfn.IFNA(VLOOKUP(D686,'Products'!$A$7:$I$22,3,FALSE),"Unmapped")</x:f>
        <x:v>Apparel</x:v>
      </x:c>
      <x:c r="G686" s="2" t="n">
        <x:v>3</x:v>
      </x:c>
      <x:c r="H686" s="2" t="n">
        <x:v>0</x:v>
      </x:c>
      <x:c r="I686" s="10" t="n">
        <x:v>29.95</x:v>
      </x:c>
      <x:c r="J686" s="10" t="n">
        <x:v>0</x:v>
      </x:c>
      <x:c r="K686" s="10" t="n">
        <x:v>10</x:v>
      </x:c>
      <x:c r="L686" s="10" t="n">
        <x:f>G686*I686</x:f>
        <x:v>89.85</x:v>
      </x:c>
      <x:c r="M686" s="10" t="n">
        <x:f>ROUND((L686-J686)*H686/G686,2)</x:f>
        <x:v>0</x:v>
      </x:c>
      <x:c r="N686" s="10" t="n">
        <x:f>L686-J686-M686</x:f>
        <x:v>89.85</x:v>
      </x:c>
      <x:c r="O686" s="10" t="n">
        <x:f>(G686-H686)*K686</x:f>
        <x:v>30</x:v>
      </x:c>
      <x:c r="P686" s="10" t="n">
        <x:f>N686-O686</x:f>
        <x:v>59.849999999999994</x:v>
      </x:c>
      <x:c r="Q686" s="9" t="n">
        <x:f>A686-WEEKDAY(A686,2)+1</x:f>
        <x:v>46286</x:v>
      </x:c>
      <x:c r="R686" s="2" t="str">
        <x:f>IF(AND(A686&gt;='Review'!$B$4,A686&lt;='Review'!$D$4),"Selected","Outside")</x:f>
        <x:v>Outside</x:v>
      </x:c>
    </x:row>
    <x:row r="687" ht="20" customHeight="1">
      <x:c r="A687" s="9" t="n">
        <x:v>46289</x:v>
      </x:c>
      <x:c r="B687" s="2" t="str">
        <x:v>MM-1501</x:v>
      </x:c>
      <x:c r="C687" s="2" t="str">
        <x:v>Organic Search</x:v>
      </x:c>
      <x:c r="D687" s="2" t="str">
        <x:v>GFT-001</x:v>
      </x:c>
      <x:c r="E687" s="2" t="str">
        <x:f>_xlfn.IFNA(VLOOKUP(D687,'Products'!$A$7:$I$22,2,FALSE),"Unmapped")</x:f>
        <x:v>Morning ritual gift set</x:v>
      </x:c>
      <x:c r="F687" s="2" t="str">
        <x:f>_xlfn.IFNA(VLOOKUP(D687,'Products'!$A$7:$I$22,3,FALSE),"Unmapped")</x:f>
        <x:v>Gifts</x:v>
      </x:c>
      <x:c r="G687" s="2" t="n">
        <x:v>2</x:v>
      </x:c>
      <x:c r="H687" s="2" t="n">
        <x:v>0</x:v>
      </x:c>
      <x:c r="I687" s="10" t="n">
        <x:v>59.95</x:v>
      </x:c>
      <x:c r="J687" s="10" t="n">
        <x:v>0</x:v>
      </x:c>
      <x:c r="K687" s="10" t="n">
        <x:v>24</x:v>
      </x:c>
      <x:c r="L687" s="10" t="n">
        <x:f>G687*I687</x:f>
        <x:v>119.9</x:v>
      </x:c>
      <x:c r="M687" s="10" t="n">
        <x:f>ROUND((L687-J687)*H687/G687,2)</x:f>
        <x:v>0</x:v>
      </x:c>
      <x:c r="N687" s="10" t="n">
        <x:f>L687-J687-M687</x:f>
        <x:v>119.9</x:v>
      </x:c>
      <x:c r="O687" s="10" t="n">
        <x:f>(G687-H687)*K687</x:f>
        <x:v>48</x:v>
      </x:c>
      <x:c r="P687" s="10" t="n">
        <x:f>N687-O687</x:f>
        <x:v>71.9</x:v>
      </x:c>
      <x:c r="Q687" s="9" t="n">
        <x:f>A687-WEEKDAY(A687,2)+1</x:f>
        <x:v>46286</x:v>
      </x:c>
      <x:c r="R687" s="2" t="str">
        <x:f>IF(AND(A687&gt;='Review'!$B$4,A687&lt;='Review'!$D$4),"Selected","Outside")</x:f>
        <x:v>Outside</x:v>
      </x:c>
    </x:row>
    <x:row r="688" ht="20" customHeight="1">
      <x:c r="A688" s="9" t="n">
        <x:v>46289</x:v>
      </x:c>
      <x:c r="B688" s="2" t="str">
        <x:v>MM-1501</x:v>
      </x:c>
      <x:c r="C688" s="2" t="str">
        <x:v>Organic Search</x:v>
      </x:c>
      <x:c r="D688" s="2" t="str">
        <x:v>KEY-001</x:v>
      </x:c>
      <x:c r="E688" s="2" t="str">
        <x:f>_xlfn.IFNA(VLOOKUP(D688,'Products'!$A$7:$I$22,2,FALSE),"Unmapped")</x:f>
        <x:v>Maple keyring</x:v>
      </x:c>
      <x:c r="F688" s="2" t="str">
        <x:f>_xlfn.IFNA(VLOOKUP(D688,'Products'!$A$7:$I$22,3,FALSE),"Unmapped")</x:f>
        <x:v>Accessories</x:v>
      </x:c>
      <x:c r="G688" s="2" t="n">
        <x:v>1</x:v>
      </x:c>
      <x:c r="H688" s="2" t="n">
        <x:v>0</x:v>
      </x:c>
      <x:c r="I688" s="10" t="n">
        <x:v>12.95</x:v>
      </x:c>
      <x:c r="J688" s="10" t="n">
        <x:v>0</x:v>
      </x:c>
      <x:c r="K688" s="10" t="n">
        <x:v>3.5</x:v>
      </x:c>
      <x:c r="L688" s="10" t="n">
        <x:f>G688*I688</x:f>
        <x:v>12.95</x:v>
      </x:c>
      <x:c r="M688" s="10" t="n">
        <x:f>ROUND((L688-J688)*H688/G688,2)</x:f>
        <x:v>0</x:v>
      </x:c>
      <x:c r="N688" s="10" t="n">
        <x:f>L688-J688-M688</x:f>
        <x:v>12.95</x:v>
      </x:c>
      <x:c r="O688" s="10" t="n">
        <x:f>(G688-H688)*K688</x:f>
        <x:v>3.5</x:v>
      </x:c>
      <x:c r="P688" s="10" t="n">
        <x:f>N688-O688</x:f>
        <x:v>9.45</x:v>
      </x:c>
      <x:c r="Q688" s="9" t="n">
        <x:f>A688-WEEKDAY(A688,2)+1</x:f>
        <x:v>46286</x:v>
      </x:c>
      <x:c r="R688" s="2" t="str">
        <x:f>IF(AND(A688&gt;='Review'!$B$4,A688&lt;='Review'!$D$4),"Selected","Outside")</x:f>
        <x:v>Outside</x:v>
      </x:c>
    </x:row>
    <x:row r="689" ht="20" customHeight="1">
      <x:c r="A689" s="9" t="n">
        <x:v>46289</x:v>
      </x:c>
      <x:c r="B689" s="2" t="str">
        <x:v>MM-1493</x:v>
      </x:c>
      <x:c r="C689" s="2" t="str">
        <x:v>Paid Social</x:v>
      </x:c>
      <x:c r="D689" s="2" t="str">
        <x:v>MUG-001</x:v>
      </x:c>
      <x:c r="E689" s="2" t="str">
        <x:f>_xlfn.IFNA(VLOOKUP(D689,'Products'!$A$7:$I$22,2,FALSE),"Unmapped")</x:f>
        <x:v>Everyday ceramic mug</x:v>
      </x:c>
      <x:c r="F689" s="2" t="str">
        <x:f>_xlfn.IFNA(VLOOKUP(D689,'Products'!$A$7:$I$22,3,FALSE),"Unmapped")</x:f>
        <x:v>Drinkware</x:v>
      </x:c>
      <x:c r="G689" s="2" t="n">
        <x:v>2</x:v>
      </x:c>
      <x:c r="H689" s="2" t="n">
        <x:v>0</x:v>
      </x:c>
      <x:c r="I689" s="10" t="n">
        <x:v>18.95</x:v>
      </x:c>
      <x:c r="J689" s="10" t="n">
        <x:v>0</x:v>
      </x:c>
      <x:c r="K689" s="10" t="n">
        <x:v>6.5</x:v>
      </x:c>
      <x:c r="L689" s="10" t="n">
        <x:f>G689*I689</x:f>
        <x:v>37.9</x:v>
      </x:c>
      <x:c r="M689" s="10" t="n">
        <x:f>ROUND((L689-J689)*H689/G689,2)</x:f>
        <x:v>0</x:v>
      </x:c>
      <x:c r="N689" s="10" t="n">
        <x:f>L689-J689-M689</x:f>
        <x:v>37.9</x:v>
      </x:c>
      <x:c r="O689" s="10" t="n">
        <x:f>(G689-H689)*K689</x:f>
        <x:v>13</x:v>
      </x:c>
      <x:c r="P689" s="10" t="n">
        <x:f>N689-O689</x:f>
        <x:v>24.9</x:v>
      </x:c>
      <x:c r="Q689" s="9" t="n">
        <x:f>A689-WEEKDAY(A689,2)+1</x:f>
        <x:v>46286</x:v>
      </x:c>
      <x:c r="R689" s="2" t="str">
        <x:f>IF(AND(A689&gt;='Review'!$B$4,A689&lt;='Review'!$D$4),"Selected","Outside")</x:f>
        <x:v>Outside</x:v>
      </x:c>
    </x:row>
    <x:row r="690" ht="20" customHeight="1">
      <x:c r="A690" s="9" t="n">
        <x:v>46289</x:v>
      </x:c>
      <x:c r="B690" s="2" t="str">
        <x:v>MM-1493</x:v>
      </x:c>
      <x:c r="C690" s="2" t="str">
        <x:v>Paid Social</x:v>
      </x:c>
      <x:c r="D690" s="2" t="str">
        <x:v>GFT-002</x:v>
      </x:c>
      <x:c r="E690" s="2" t="str">
        <x:f>_xlfn.IFNA(VLOOKUP(D690,'Products'!$A$7:$I$22,2,FALSE),"Unmapped")</x:f>
        <x:v>Cozy weekend gift box</x:v>
      </x:c>
      <x:c r="F690" s="2" t="str">
        <x:f>_xlfn.IFNA(VLOOKUP(D690,'Products'!$A$7:$I$22,3,FALSE),"Unmapped")</x:f>
        <x:v>Gifts</x:v>
      </x:c>
      <x:c r="G690" s="2" t="n">
        <x:v>1</x:v>
      </x:c>
      <x:c r="H690" s="2" t="n">
        <x:v>0</x:v>
      </x:c>
      <x:c r="I690" s="10" t="n">
        <x:v>79.95</x:v>
      </x:c>
      <x:c r="J690" s="10" t="n">
        <x:v>0</x:v>
      </x:c>
      <x:c r="K690" s="10" t="n">
        <x:v>32</x:v>
      </x:c>
      <x:c r="L690" s="10" t="n">
        <x:f>G690*I690</x:f>
        <x:v>79.95</x:v>
      </x:c>
      <x:c r="M690" s="10" t="n">
        <x:f>ROUND((L690-J690)*H690/G690,2)</x:f>
        <x:v>0</x:v>
      </x:c>
      <x:c r="N690" s="10" t="n">
        <x:f>L690-J690-M690</x:f>
        <x:v>79.95</x:v>
      </x:c>
      <x:c r="O690" s="10" t="n">
        <x:f>(G690-H690)*K690</x:f>
        <x:v>32</x:v>
      </x:c>
      <x:c r="P690" s="10" t="n">
        <x:f>N690-O690</x:f>
        <x:v>47.95</x:v>
      </x:c>
      <x:c r="Q690" s="9" t="n">
        <x:f>A690-WEEKDAY(A690,2)+1</x:f>
        <x:v>46286</x:v>
      </x:c>
      <x:c r="R690" s="2" t="str">
        <x:f>IF(AND(A690&gt;='Review'!$B$4,A690&lt;='Review'!$D$4),"Selected","Outside")</x:f>
        <x:v>Outside</x:v>
      </x:c>
    </x:row>
    <x:row r="691" ht="20" customHeight="1">
      <x:c r="A691" s="9" t="n">
        <x:v>46289</x:v>
      </x:c>
      <x:c r="B691" s="2" t="str">
        <x:v>MM-1493</x:v>
      </x:c>
      <x:c r="C691" s="2" t="str">
        <x:v>Paid Social</x:v>
      </x:c>
      <x:c r="D691" s="2" t="str">
        <x:v>APP-002</x:v>
      </x:c>
      <x:c r="E691" s="2" t="str">
        <x:f>_xlfn.IFNA(VLOOKUP(D691,'Products'!$A$7:$I$22,2,FALSE),"Unmapped")</x:f>
        <x:v>Weekend hoodie</x:v>
      </x:c>
      <x:c r="F691" s="2" t="str">
        <x:f>_xlfn.IFNA(VLOOKUP(D691,'Products'!$A$7:$I$22,3,FALSE),"Unmapped")</x:f>
        <x:v>Apparel</x:v>
      </x:c>
      <x:c r="G691" s="2" t="n">
        <x:v>1</x:v>
      </x:c>
      <x:c r="H691" s="2" t="n">
        <x:v>0</x:v>
      </x:c>
      <x:c r="I691" s="10" t="n">
        <x:v>69.95</x:v>
      </x:c>
      <x:c r="J691" s="10" t="n">
        <x:v>0</x:v>
      </x:c>
      <x:c r="K691" s="10" t="n">
        <x:v>28</x:v>
      </x:c>
      <x:c r="L691" s="10" t="n">
        <x:f>G691*I691</x:f>
        <x:v>69.95</x:v>
      </x:c>
      <x:c r="M691" s="10" t="n">
        <x:f>ROUND((L691-J691)*H691/G691,2)</x:f>
        <x:v>0</x:v>
      </x:c>
      <x:c r="N691" s="10" t="n">
        <x:f>L691-J691-M691</x:f>
        <x:v>69.95</x:v>
      </x:c>
      <x:c r="O691" s="10" t="n">
        <x:f>(G691-H691)*K691</x:f>
        <x:v>28</x:v>
      </x:c>
      <x:c r="P691" s="10" t="n">
        <x:f>N691-O691</x:f>
        <x:v>41.95</x:v>
      </x:c>
      <x:c r="Q691" s="9" t="n">
        <x:f>A691-WEEKDAY(A691,2)+1</x:f>
        <x:v>46286</x:v>
      </x:c>
      <x:c r="R691" s="2" t="str">
        <x:f>IF(AND(A691&gt;='Review'!$B$4,A691&lt;='Review'!$D$4),"Selected","Outside")</x:f>
        <x:v>Outside</x:v>
      </x:c>
    </x:row>
    <x:row r="692" ht="20" customHeight="1">
      <x:c r="A692" s="9" t="n">
        <x:v>46289</x:v>
      </x:c>
      <x:c r="B692" s="2" t="str">
        <x:v>MM-1500</x:v>
      </x:c>
      <x:c r="C692" s="2" t="str">
        <x:v>Paid Social</x:v>
      </x:c>
      <x:c r="D692" s="2" t="str">
        <x:v>KEY-001</x:v>
      </x:c>
      <x:c r="E692" s="2" t="str">
        <x:f>_xlfn.IFNA(VLOOKUP(D692,'Products'!$A$7:$I$22,2,FALSE),"Unmapped")</x:f>
        <x:v>Maple keyring</x:v>
      </x:c>
      <x:c r="F692" s="2" t="str">
        <x:f>_xlfn.IFNA(VLOOKUP(D692,'Products'!$A$7:$I$22,3,FALSE),"Unmapped")</x:f>
        <x:v>Accessories</x:v>
      </x:c>
      <x:c r="G692" s="2" t="n">
        <x:v>1</x:v>
      </x:c>
      <x:c r="H692" s="2" t="n">
        <x:v>0</x:v>
      </x:c>
      <x:c r="I692" s="10" t="n">
        <x:v>12.95</x:v>
      </x:c>
      <x:c r="J692" s="10" t="n">
        <x:v>0</x:v>
      </x:c>
      <x:c r="K692" s="10" t="n">
        <x:v>3.5</x:v>
      </x:c>
      <x:c r="L692" s="10" t="n">
        <x:f>G692*I692</x:f>
        <x:v>12.95</x:v>
      </x:c>
      <x:c r="M692" s="10" t="n">
        <x:f>ROUND((L692-J692)*H692/G692,2)</x:f>
        <x:v>0</x:v>
      </x:c>
      <x:c r="N692" s="10" t="n">
        <x:f>L692-J692-M692</x:f>
        <x:v>12.95</x:v>
      </x:c>
      <x:c r="O692" s="10" t="n">
        <x:f>(G692-H692)*K692</x:f>
        <x:v>3.5</x:v>
      </x:c>
      <x:c r="P692" s="10" t="n">
        <x:f>N692-O692</x:f>
        <x:v>9.45</x:v>
      </x:c>
      <x:c r="Q692" s="9" t="n">
        <x:f>A692-WEEKDAY(A692,2)+1</x:f>
        <x:v>46286</x:v>
      </x:c>
      <x:c r="R692" s="2" t="str">
        <x:f>IF(AND(A692&gt;='Review'!$B$4,A692&lt;='Review'!$D$4),"Selected","Outside")</x:f>
        <x:v>Outside</x:v>
      </x:c>
    </x:row>
    <x:row r="693" ht="20" customHeight="1">
      <x:c r="A693" s="9" t="n">
        <x:v>46289</x:v>
      </x:c>
      <x:c r="B693" s="2" t="str">
        <x:v>MM-1500</x:v>
      </x:c>
      <x:c r="C693" s="2" t="str">
        <x:v>Paid Social</x:v>
      </x:c>
      <x:c r="D693" s="2" t="str">
        <x:v>MUG-002</x:v>
      </x:c>
      <x:c r="E693" s="2" t="str">
        <x:f>_xlfn.IFNA(VLOOKUP(D693,'Products'!$A$7:$I$22,2,FALSE),"Unmapped")</x:f>
        <x:v>Campfire enamel mug</x:v>
      </x:c>
      <x:c r="F693" s="2" t="str">
        <x:f>_xlfn.IFNA(VLOOKUP(D693,'Products'!$A$7:$I$22,3,FALSE),"Unmapped")</x:f>
        <x:v>Drinkware</x:v>
      </x:c>
      <x:c r="G693" s="2" t="n">
        <x:v>1</x:v>
      </x:c>
      <x:c r="H693" s="2" t="n">
        <x:v>0</x:v>
      </x:c>
      <x:c r="I693" s="10" t="n">
        <x:v>22.95</x:v>
      </x:c>
      <x:c r="J693" s="10" t="n">
        <x:v>2.29</x:v>
      </x:c>
      <x:c r="K693" s="10" t="n">
        <x:v>8.5</x:v>
      </x:c>
      <x:c r="L693" s="10" t="n">
        <x:f>G693*I693</x:f>
        <x:v>22.95</x:v>
      </x:c>
      <x:c r="M693" s="10" t="n">
        <x:f>ROUND((L693-J693)*H693/G693,2)</x:f>
        <x:v>0</x:v>
      </x:c>
      <x:c r="N693" s="10" t="n">
        <x:f>L693-J693-M693</x:f>
        <x:v>20.66</x:v>
      </x:c>
      <x:c r="O693" s="10" t="n">
        <x:f>(G693-H693)*K693</x:f>
        <x:v>8.5</x:v>
      </x:c>
      <x:c r="P693" s="10" t="n">
        <x:f>N693-O693</x:f>
        <x:v>12.16</x:v>
      </x:c>
      <x:c r="Q693" s="9" t="n">
        <x:f>A693-WEEKDAY(A693,2)+1</x:f>
        <x:v>46286</x:v>
      </x:c>
      <x:c r="R693" s="2" t="str">
        <x:f>IF(AND(A693&gt;='Review'!$B$4,A693&lt;='Review'!$D$4),"Selected","Outside")</x:f>
        <x:v>Outside</x:v>
      </x:c>
    </x:row>
    <x:row r="694" ht="20" customHeight="1">
      <x:c r="A694" s="9" t="n">
        <x:v>46289</x:v>
      </x:c>
      <x:c r="B694" s="2" t="str">
        <x:v>MM-1491</x:v>
      </x:c>
      <x:c r="C694" s="2" t="str">
        <x:v>Paid Social</x:v>
      </x:c>
      <x:c r="D694" s="2" t="str">
        <x:v>BOT-001</x:v>
      </x:c>
      <x:c r="E694" s="2" t="str">
        <x:f>_xlfn.IFNA(VLOOKUP(D694,'Products'!$A$7:$I$22,2,FALSE),"Unmapped")</x:f>
        <x:v>Trail water bottle</x:v>
      </x:c>
      <x:c r="F694" s="2" t="str">
        <x:f>_xlfn.IFNA(VLOOKUP(D694,'Products'!$A$7:$I$22,3,FALSE),"Unmapped")</x:f>
        <x:v>Drinkware</x:v>
      </x:c>
      <x:c r="G694" s="2" t="n">
        <x:v>1</x:v>
      </x:c>
      <x:c r="H694" s="2" t="n">
        <x:v>0</x:v>
      </x:c>
      <x:c r="I694" s="10" t="n">
        <x:v>34.95</x:v>
      </x:c>
      <x:c r="J694" s="10" t="n">
        <x:v>0</x:v>
      </x:c>
      <x:c r="K694" s="10" t="n">
        <x:v>13.5</x:v>
      </x:c>
      <x:c r="L694" s="10" t="n">
        <x:f>G694*I694</x:f>
        <x:v>34.95</x:v>
      </x:c>
      <x:c r="M694" s="10" t="n">
        <x:f>ROUND((L694-J694)*H694/G694,2)</x:f>
        <x:v>0</x:v>
      </x:c>
      <x:c r="N694" s="10" t="n">
        <x:f>L694-J694-M694</x:f>
        <x:v>34.95</x:v>
      </x:c>
      <x:c r="O694" s="10" t="n">
        <x:f>(G694-H694)*K694</x:f>
        <x:v>13.5</x:v>
      </x:c>
      <x:c r="P694" s="10" t="n">
        <x:f>N694-O694</x:f>
        <x:v>21.450000000000003</x:v>
      </x:c>
      <x:c r="Q694" s="9" t="n">
        <x:f>A694-WEEKDAY(A694,2)+1</x:f>
        <x:v>46286</x:v>
      </x:c>
      <x:c r="R694" s="2" t="str">
        <x:f>IF(AND(A694&gt;='Review'!$B$4,A694&lt;='Review'!$D$4),"Selected","Outside")</x:f>
        <x:v>Outside</x:v>
      </x:c>
    </x:row>
    <x:row r="695" ht="20" customHeight="1">
      <x:c r="A695" s="9" t="n">
        <x:v>46290</x:v>
      </x:c>
      <x:c r="B695" s="2" t="str">
        <x:v>MM-1502</x:v>
      </x:c>
      <x:c r="C695" s="2" t="str">
        <x:v>Organic Search</x:v>
      </x:c>
      <x:c r="D695" s="2" t="str">
        <x:v>PIN-001</x:v>
      </x:c>
      <x:c r="E695" s="2" t="str">
        <x:f>_xlfn.IFNA(VLOOKUP(D695,'Products'!$A$7:$I$22,2,FALSE),"Unmapped")</x:f>
        <x:v>Coffee enamel pin</x:v>
      </x:c>
      <x:c r="F695" s="2" t="str">
        <x:f>_xlfn.IFNA(VLOOKUP(D695,'Products'!$A$7:$I$22,3,FALSE),"Unmapped")</x:f>
        <x:v>Accessories</x:v>
      </x:c>
      <x:c r="G695" s="2" t="n">
        <x:v>1</x:v>
      </x:c>
      <x:c r="H695" s="2" t="n">
        <x:v>0</x:v>
      </x:c>
      <x:c r="I695" s="10" t="n">
        <x:v>9.95</x:v>
      </x:c>
      <x:c r="J695" s="10" t="n">
        <x:v>0</x:v>
      </x:c>
      <x:c r="K695" s="10" t="n">
        <x:v>2.5</x:v>
      </x:c>
      <x:c r="L695" s="10" t="n">
        <x:f>G695*I695</x:f>
        <x:v>9.95</x:v>
      </x:c>
      <x:c r="M695" s="10" t="n">
        <x:f>ROUND((L695-J695)*H695/G695,2)</x:f>
        <x:v>0</x:v>
      </x:c>
      <x:c r="N695" s="10" t="n">
        <x:f>L695-J695-M695</x:f>
        <x:v>9.95</x:v>
      </x:c>
      <x:c r="O695" s="10" t="n">
        <x:f>(G695-H695)*K695</x:f>
        <x:v>2.5</x:v>
      </x:c>
      <x:c r="P695" s="10" t="n">
        <x:f>N695-O695</x:f>
        <x:v>7.449999999999999</x:v>
      </x:c>
      <x:c r="Q695" s="9" t="n">
        <x:f>A695-WEEKDAY(A695,2)+1</x:f>
        <x:v>46286</x:v>
      </x:c>
      <x:c r="R695" s="2" t="str">
        <x:f>IF(AND(A695&gt;='Review'!$B$4,A695&lt;='Review'!$D$4),"Selected","Outside")</x:f>
        <x:v>Outside</x:v>
      </x:c>
    </x:row>
    <x:row r="696" ht="20" customHeight="1">
      <x:c r="A696" s="9" t="n">
        <x:v>46290</x:v>
      </x:c>
      <x:c r="B696" s="2" t="str">
        <x:v>MM-1508</x:v>
      </x:c>
      <x:c r="C696" s="2" t="str">
        <x:v>Email</x:v>
      </x:c>
      <x:c r="D696" s="2" t="str">
        <x:v>TUM-001</x:v>
      </x:c>
      <x:c r="E696" s="2" t="str">
        <x:f>_xlfn.IFNA(VLOOKUP(D696,'Products'!$A$7:$I$22,2,FALSE),"Unmapped")</x:f>
        <x:v>Maple travel tumbler</x:v>
      </x:c>
      <x:c r="F696" s="2" t="str">
        <x:f>_xlfn.IFNA(VLOOKUP(D696,'Products'!$A$7:$I$22,3,FALSE),"Unmapped")</x:f>
        <x:v>Drinkware</x:v>
      </x:c>
      <x:c r="G696" s="2" t="n">
        <x:v>1</x:v>
      </x:c>
      <x:c r="H696" s="2" t="n">
        <x:v>0</x:v>
      </x:c>
      <x:c r="I696" s="10" t="n">
        <x:v>32.95</x:v>
      </x:c>
      <x:c r="J696" s="10" t="n">
        <x:v>3.29</x:v>
      </x:c>
      <x:c r="K696" s="10" t="n">
        <x:v>12</x:v>
      </x:c>
      <x:c r="L696" s="10" t="n">
        <x:f>G696*I696</x:f>
        <x:v>32.95</x:v>
      </x:c>
      <x:c r="M696" s="10" t="n">
        <x:f>ROUND((L696-J696)*H696/G696,2)</x:f>
        <x:v>0</x:v>
      </x:c>
      <x:c r="N696" s="10" t="n">
        <x:f>L696-J696-M696</x:f>
        <x:v>29.660000000000004</x:v>
      </x:c>
      <x:c r="O696" s="10" t="n">
        <x:f>(G696-H696)*K696</x:f>
        <x:v>12</x:v>
      </x:c>
      <x:c r="P696" s="10" t="n">
        <x:f>N696-O696</x:f>
        <x:v>17.660000000000004</x:v>
      </x:c>
      <x:c r="Q696" s="9" t="n">
        <x:f>A696-WEEKDAY(A696,2)+1</x:f>
        <x:v>46286</x:v>
      </x:c>
      <x:c r="R696" s="2" t="str">
        <x:f>IF(AND(A696&gt;='Review'!$B$4,A696&lt;='Review'!$D$4),"Selected","Outside")</x:f>
        <x:v>Outside</x:v>
      </x:c>
    </x:row>
    <x:row r="697" ht="20" customHeight="1">
      <x:c r="A697" s="9" t="n">
        <x:v>46290</x:v>
      </x:c>
      <x:c r="B697" s="2" t="str">
        <x:v>MM-1503</x:v>
      </x:c>
      <x:c r="C697" s="2" t="str">
        <x:v>Organic Search</x:v>
      </x:c>
      <x:c r="D697" s="2" t="str">
        <x:v>APP-002</x:v>
      </x:c>
      <x:c r="E697" s="2" t="str">
        <x:f>_xlfn.IFNA(VLOOKUP(D697,'Products'!$A$7:$I$22,2,FALSE),"Unmapped")</x:f>
        <x:v>Weekend hoodie</x:v>
      </x:c>
      <x:c r="F697" s="2" t="str">
        <x:f>_xlfn.IFNA(VLOOKUP(D697,'Products'!$A$7:$I$22,3,FALSE),"Unmapped")</x:f>
        <x:v>Apparel</x:v>
      </x:c>
      <x:c r="G697" s="2" t="n">
        <x:v>2</x:v>
      </x:c>
      <x:c r="H697" s="2" t="n">
        <x:v>0</x:v>
      </x:c>
      <x:c r="I697" s="10" t="n">
        <x:v>69.95</x:v>
      </x:c>
      <x:c r="J697" s="10" t="n">
        <x:v>0</x:v>
      </x:c>
      <x:c r="K697" s="10" t="n">
        <x:v>28</x:v>
      </x:c>
      <x:c r="L697" s="10" t="n">
        <x:f>G697*I697</x:f>
        <x:v>139.9</x:v>
      </x:c>
      <x:c r="M697" s="10" t="n">
        <x:f>ROUND((L697-J697)*H697/G697,2)</x:f>
        <x:v>0</x:v>
      </x:c>
      <x:c r="N697" s="10" t="n">
        <x:f>L697-J697-M697</x:f>
        <x:v>139.9</x:v>
      </x:c>
      <x:c r="O697" s="10" t="n">
        <x:f>(G697-H697)*K697</x:f>
        <x:v>56</x:v>
      </x:c>
      <x:c r="P697" s="10" t="n">
        <x:f>N697-O697</x:f>
        <x:v>83.9</x:v>
      </x:c>
      <x:c r="Q697" s="9" t="n">
        <x:f>A697-WEEKDAY(A697,2)+1</x:f>
        <x:v>46286</x:v>
      </x:c>
      <x:c r="R697" s="2" t="str">
        <x:f>IF(AND(A697&gt;='Review'!$B$4,A697&lt;='Review'!$D$4),"Selected","Outside")</x:f>
        <x:v>Outside</x:v>
      </x:c>
    </x:row>
    <x:row r="698" ht="20" customHeight="1">
      <x:c r="A698" s="9" t="n">
        <x:v>46290</x:v>
      </x:c>
      <x:c r="B698" s="2" t="str">
        <x:v>MM-1503</x:v>
      </x:c>
      <x:c r="C698" s="2" t="str">
        <x:v>Organic Search</x:v>
      </x:c>
      <x:c r="D698" s="2" t="str">
        <x:v>TUM-002</x:v>
      </x:c>
      <x:c r="E698" s="2" t="str">
        <x:f>_xlfn.IFNA(VLOOKUP(D698,'Products'!$A$7:$I$22,2,FALSE),"Unmapped")</x:f>
        <x:v>Cold brew glass cup</x:v>
      </x:c>
      <x:c r="F698" s="2" t="str">
        <x:f>_xlfn.IFNA(VLOOKUP(D698,'Products'!$A$7:$I$22,3,FALSE),"Unmapped")</x:f>
        <x:v>Drinkware</x:v>
      </x:c>
      <x:c r="G698" s="2" t="n">
        <x:v>1</x:v>
      </x:c>
      <x:c r="H698" s="2" t="n">
        <x:v>0</x:v>
      </x:c>
      <x:c r="I698" s="10" t="n">
        <x:v>24.95</x:v>
      </x:c>
      <x:c r="J698" s="10" t="n">
        <x:v>0</x:v>
      </x:c>
      <x:c r="K698" s="10" t="n">
        <x:v>9</x:v>
      </x:c>
      <x:c r="L698" s="10" t="n">
        <x:f>G698*I698</x:f>
        <x:v>24.95</x:v>
      </x:c>
      <x:c r="M698" s="10" t="n">
        <x:f>ROUND((L698-J698)*H698/G698,2)</x:f>
        <x:v>0</x:v>
      </x:c>
      <x:c r="N698" s="10" t="n">
        <x:f>L698-J698-M698</x:f>
        <x:v>24.95</x:v>
      </x:c>
      <x:c r="O698" s="10" t="n">
        <x:f>(G698-H698)*K698</x:f>
        <x:v>9</x:v>
      </x:c>
      <x:c r="P698" s="10" t="n">
        <x:f>N698-O698</x:f>
        <x:v>15.95</x:v>
      </x:c>
      <x:c r="Q698" s="9" t="n">
        <x:f>A698-WEEKDAY(A698,2)+1</x:f>
        <x:v>46286</x:v>
      </x:c>
      <x:c r="R698" s="2" t="str">
        <x:f>IF(AND(A698&gt;='Review'!$B$4,A698&lt;='Review'!$D$4),"Selected","Outside")</x:f>
        <x:v>Outside</x:v>
      </x:c>
    </x:row>
    <x:row r="699" ht="20" customHeight="1">
      <x:c r="A699" s="9" t="n">
        <x:v>46290</x:v>
      </x:c>
      <x:c r="B699" s="2" t="str">
        <x:v>MM-1512</x:v>
      </x:c>
      <x:c r="C699" s="2" t="str">
        <x:v>Organic Search</x:v>
      </x:c>
      <x:c r="D699" s="2" t="str">
        <x:v>TUM-001</x:v>
      </x:c>
      <x:c r="E699" s="2" t="str">
        <x:f>_xlfn.IFNA(VLOOKUP(D699,'Products'!$A$7:$I$22,2,FALSE),"Unmapped")</x:f>
        <x:v>Maple travel tumbler</x:v>
      </x:c>
      <x:c r="F699" s="2" t="str">
        <x:f>_xlfn.IFNA(VLOOKUP(D699,'Products'!$A$7:$I$22,3,FALSE),"Unmapped")</x:f>
        <x:v>Drinkware</x:v>
      </x:c>
      <x:c r="G699" s="2" t="n">
        <x:v>1</x:v>
      </x:c>
      <x:c r="H699" s="2" t="n">
        <x:v>0</x:v>
      </x:c>
      <x:c r="I699" s="10" t="n">
        <x:v>32.95</x:v>
      </x:c>
      <x:c r="J699" s="10" t="n">
        <x:v>0</x:v>
      </x:c>
      <x:c r="K699" s="10" t="n">
        <x:v>12</x:v>
      </x:c>
      <x:c r="L699" s="10" t="n">
        <x:f>G699*I699</x:f>
        <x:v>32.95</x:v>
      </x:c>
      <x:c r="M699" s="10" t="n">
        <x:f>ROUND((L699-J699)*H699/G699,2)</x:f>
        <x:v>0</x:v>
      </x:c>
      <x:c r="N699" s="10" t="n">
        <x:f>L699-J699-M699</x:f>
        <x:v>32.95</x:v>
      </x:c>
      <x:c r="O699" s="10" t="n">
        <x:f>(G699-H699)*K699</x:f>
        <x:v>12</x:v>
      </x:c>
      <x:c r="P699" s="10" t="n">
        <x:f>N699-O699</x:f>
        <x:v>20.950000000000003</x:v>
      </x:c>
      <x:c r="Q699" s="9" t="n">
        <x:f>A699-WEEKDAY(A699,2)+1</x:f>
        <x:v>46286</x:v>
      </x:c>
      <x:c r="R699" s="2" t="str">
        <x:f>IF(AND(A699&gt;='Review'!$B$4,A699&lt;='Review'!$D$4),"Selected","Outside")</x:f>
        <x:v>Outside</x:v>
      </x:c>
    </x:row>
    <x:row r="700" ht="20" customHeight="1">
      <x:c r="A700" s="9" t="n">
        <x:v>46290</x:v>
      </x:c>
      <x:c r="B700" s="2" t="str">
        <x:v>MM-1505</x:v>
      </x:c>
      <x:c r="C700" s="2" t="str">
        <x:v>Paid Social</x:v>
      </x:c>
      <x:c r="D700" s="2" t="str">
        <x:v>APP-003</x:v>
      </x:c>
      <x:c r="E700" s="2" t="str">
        <x:f>_xlfn.IFNA(VLOOKUP(D700,'Products'!$A$7:$I$22,2,FALSE),"Unmapped")</x:f>
        <x:v>Coffee club tee</x:v>
      </x:c>
      <x:c r="F700" s="2" t="str">
        <x:f>_xlfn.IFNA(VLOOKUP(D700,'Products'!$A$7:$I$22,3,FALSE),"Unmapped")</x:f>
        <x:v>Apparel</x:v>
      </x:c>
      <x:c r="G700" s="2" t="n">
        <x:v>2</x:v>
      </x:c>
      <x:c r="H700" s="2" t="n">
        <x:v>0</x:v>
      </x:c>
      <x:c r="I700" s="10" t="n">
        <x:v>29.95</x:v>
      </x:c>
      <x:c r="J700" s="10" t="n">
        <x:v>0</x:v>
      </x:c>
      <x:c r="K700" s="10" t="n">
        <x:v>10</x:v>
      </x:c>
      <x:c r="L700" s="10" t="n">
        <x:f>G700*I700</x:f>
        <x:v>59.9</x:v>
      </x:c>
      <x:c r="M700" s="10" t="n">
        <x:f>ROUND((L700-J700)*H700/G700,2)</x:f>
        <x:v>0</x:v>
      </x:c>
      <x:c r="N700" s="10" t="n">
        <x:f>L700-J700-M700</x:f>
        <x:v>59.9</x:v>
      </x:c>
      <x:c r="O700" s="10" t="n">
        <x:f>(G700-H700)*K700</x:f>
        <x:v>20</x:v>
      </x:c>
      <x:c r="P700" s="10" t="n">
        <x:f>N700-O700</x:f>
        <x:v>39.9</x:v>
      </x:c>
      <x:c r="Q700" s="9" t="n">
        <x:f>A700-WEEKDAY(A700,2)+1</x:f>
        <x:v>46286</x:v>
      </x:c>
      <x:c r="R700" s="2" t="str">
        <x:f>IF(AND(A700&gt;='Review'!$B$4,A700&lt;='Review'!$D$4),"Selected","Outside")</x:f>
        <x:v>Outside</x:v>
      </x:c>
    </x:row>
    <x:row r="701" ht="20" customHeight="1">
      <x:c r="A701" s="9" t="n">
        <x:v>46290</x:v>
      </x:c>
      <x:c r="B701" s="2" t="str">
        <x:v>MM-1505</x:v>
      </x:c>
      <x:c r="C701" s="2" t="str">
        <x:v>Paid Social</x:v>
      </x:c>
      <x:c r="D701" s="2" t="str">
        <x:v>PIN-001</x:v>
      </x:c>
      <x:c r="E701" s="2" t="str">
        <x:f>_xlfn.IFNA(VLOOKUP(D701,'Products'!$A$7:$I$22,2,FALSE),"Unmapped")</x:f>
        <x:v>Coffee enamel pin</x:v>
      </x:c>
      <x:c r="F701" s="2" t="str">
        <x:f>_xlfn.IFNA(VLOOKUP(D701,'Products'!$A$7:$I$22,3,FALSE),"Unmapped")</x:f>
        <x:v>Accessories</x:v>
      </x:c>
      <x:c r="G701" s="2" t="n">
        <x:v>1</x:v>
      </x:c>
      <x:c r="H701" s="2" t="n">
        <x:v>0</x:v>
      </x:c>
      <x:c r="I701" s="10" t="n">
        <x:v>9.95</x:v>
      </x:c>
      <x:c r="J701" s="10" t="n">
        <x:v>0.99</x:v>
      </x:c>
      <x:c r="K701" s="10" t="n">
        <x:v>2.5</x:v>
      </x:c>
      <x:c r="L701" s="10" t="n">
        <x:f>G701*I701</x:f>
        <x:v>9.95</x:v>
      </x:c>
      <x:c r="M701" s="10" t="n">
        <x:f>ROUND((L701-J701)*H701/G701,2)</x:f>
        <x:v>0</x:v>
      </x:c>
      <x:c r="N701" s="10" t="n">
        <x:f>L701-J701-M701</x:f>
        <x:v>8.959999999999999</x:v>
      </x:c>
      <x:c r="O701" s="10" t="n">
        <x:f>(G701-H701)*K701</x:f>
        <x:v>2.5</x:v>
      </x:c>
      <x:c r="P701" s="10" t="n">
        <x:f>N701-O701</x:f>
        <x:v>6.459999999999999</x:v>
      </x:c>
      <x:c r="Q701" s="9" t="n">
        <x:f>A701-WEEKDAY(A701,2)+1</x:f>
        <x:v>46286</x:v>
      </x:c>
      <x:c r="R701" s="2" t="str">
        <x:f>IF(AND(A701&gt;='Review'!$B$4,A701&lt;='Review'!$D$4),"Selected","Outside")</x:f>
        <x:v>Outside</x:v>
      </x:c>
    </x:row>
    <x:row r="702" ht="20" customHeight="1">
      <x:c r="A702" s="9" t="n">
        <x:v>46290</x:v>
      </x:c>
      <x:c r="B702" s="2" t="str">
        <x:v>MM-1511</x:v>
      </x:c>
      <x:c r="C702" s="2" t="str">
        <x:v>Direct</x:v>
      </x:c>
      <x:c r="D702" s="2" t="str">
        <x:v>HAT-001</x:v>
      </x:c>
      <x:c r="E702" s="2" t="str">
        <x:f>_xlfn.IFNA(VLOOKUP(D702,'Products'!$A$7:$I$22,2,FALSE),"Unmapped")</x:f>
        <x:v>Classic canvas cap</x:v>
      </x:c>
      <x:c r="F702" s="2" t="str">
        <x:f>_xlfn.IFNA(VLOOKUP(D702,'Products'!$A$7:$I$22,3,FALSE),"Unmapped")</x:f>
        <x:v>Accessories</x:v>
      </x:c>
      <x:c r="G702" s="2" t="n">
        <x:v>1</x:v>
      </x:c>
      <x:c r="H702" s="2" t="n">
        <x:v>0</x:v>
      </x:c>
      <x:c r="I702" s="10" t="n">
        <x:v>24.95</x:v>
      </x:c>
      <x:c r="J702" s="10" t="n">
        <x:v>0</x:v>
      </x:c>
      <x:c r="K702" s="10" t="n">
        <x:v>8.5</x:v>
      </x:c>
      <x:c r="L702" s="10" t="n">
        <x:f>G702*I702</x:f>
        <x:v>24.95</x:v>
      </x:c>
      <x:c r="M702" s="10" t="n">
        <x:f>ROUND((L702-J702)*H702/G702,2)</x:f>
        <x:v>0</x:v>
      </x:c>
      <x:c r="N702" s="10" t="n">
        <x:f>L702-J702-M702</x:f>
        <x:v>24.95</x:v>
      </x:c>
      <x:c r="O702" s="10" t="n">
        <x:f>(G702-H702)*K702</x:f>
        <x:v>8.5</x:v>
      </x:c>
      <x:c r="P702" s="10" t="n">
        <x:f>N702-O702</x:f>
        <x:v>16.45</x:v>
      </x:c>
      <x:c r="Q702" s="9" t="n">
        <x:f>A702-WEEKDAY(A702,2)+1</x:f>
        <x:v>46286</x:v>
      </x:c>
      <x:c r="R702" s="2" t="str">
        <x:f>IF(AND(A702&gt;='Review'!$B$4,A702&lt;='Review'!$D$4),"Selected","Outside")</x:f>
        <x:v>Outside</x:v>
      </x:c>
    </x:row>
    <x:row r="703" ht="20" customHeight="1">
      <x:c r="A703" s="9" t="n">
        <x:v>46290</x:v>
      </x:c>
      <x:c r="B703" s="2" t="str">
        <x:v>MM-1511</x:v>
      </x:c>
      <x:c r="C703" s="2" t="str">
        <x:v>Direct</x:v>
      </x:c>
      <x:c r="D703" s="2" t="str">
        <x:v>GFT-002</x:v>
      </x:c>
      <x:c r="E703" s="2" t="str">
        <x:f>_xlfn.IFNA(VLOOKUP(D703,'Products'!$A$7:$I$22,2,FALSE),"Unmapped")</x:f>
        <x:v>Cozy weekend gift box</x:v>
      </x:c>
      <x:c r="F703" s="2" t="str">
        <x:f>_xlfn.IFNA(VLOOKUP(D703,'Products'!$A$7:$I$22,3,FALSE),"Unmapped")</x:f>
        <x:v>Gifts</x:v>
      </x:c>
      <x:c r="G703" s="2" t="n">
        <x:v>1</x:v>
      </x:c>
      <x:c r="H703" s="2" t="n">
        <x:v>0</x:v>
      </x:c>
      <x:c r="I703" s="10" t="n">
        <x:v>79.95</x:v>
      </x:c>
      <x:c r="J703" s="10" t="n">
        <x:v>0</x:v>
      </x:c>
      <x:c r="K703" s="10" t="n">
        <x:v>32</x:v>
      </x:c>
      <x:c r="L703" s="10" t="n">
        <x:f>G703*I703</x:f>
        <x:v>79.95</x:v>
      </x:c>
      <x:c r="M703" s="10" t="n">
        <x:f>ROUND((L703-J703)*H703/G703,2)</x:f>
        <x:v>0</x:v>
      </x:c>
      <x:c r="N703" s="10" t="n">
        <x:f>L703-J703-M703</x:f>
        <x:v>79.95</x:v>
      </x:c>
      <x:c r="O703" s="10" t="n">
        <x:f>(G703-H703)*K703</x:f>
        <x:v>32</x:v>
      </x:c>
      <x:c r="P703" s="10" t="n">
        <x:f>N703-O703</x:f>
        <x:v>47.95</x:v>
      </x:c>
      <x:c r="Q703" s="9" t="n">
        <x:f>A703-WEEKDAY(A703,2)+1</x:f>
        <x:v>46286</x:v>
      </x:c>
      <x:c r="R703" s="2" t="str">
        <x:f>IF(AND(A703&gt;='Review'!$B$4,A703&lt;='Review'!$D$4),"Selected","Outside")</x:f>
        <x:v>Outside</x:v>
      </x:c>
    </x:row>
    <x:row r="704" ht="20" customHeight="1">
      <x:c r="A704" s="9" t="n">
        <x:v>46290</x:v>
      </x:c>
      <x:c r="B704" s="2" t="str">
        <x:v>MM-1506</x:v>
      </x:c>
      <x:c r="C704" s="2" t="str">
        <x:v>Organic Search</x:v>
      </x:c>
      <x:c r="D704" s="2" t="str">
        <x:v>APP-001</x:v>
      </x:c>
      <x:c r="E704" s="2" t="str">
        <x:f>_xlfn.IFNA(VLOOKUP(D704,'Products'!$A$7:$I$22,2,FALSE),"Unmapped")</x:f>
        <x:v>Everyday crewneck</x:v>
      </x:c>
      <x:c r="F704" s="2" t="str">
        <x:f>_xlfn.IFNA(VLOOKUP(D704,'Products'!$A$7:$I$22,3,FALSE),"Unmapped")</x:f>
        <x:v>Apparel</x:v>
      </x:c>
      <x:c r="G704" s="2" t="n">
        <x:v>1</x:v>
      </x:c>
      <x:c r="H704" s="2" t="n">
        <x:v>0</x:v>
      </x:c>
      <x:c r="I704" s="10" t="n">
        <x:v>54.95</x:v>
      </x:c>
      <x:c r="J704" s="10" t="n">
        <x:v>0</x:v>
      </x:c>
      <x:c r="K704" s="10" t="n">
        <x:v>22</x:v>
      </x:c>
      <x:c r="L704" s="10" t="n">
        <x:f>G704*I704</x:f>
        <x:v>54.95</x:v>
      </x:c>
      <x:c r="M704" s="10" t="n">
        <x:f>ROUND((L704-J704)*H704/G704,2)</x:f>
        <x:v>0</x:v>
      </x:c>
      <x:c r="N704" s="10" t="n">
        <x:f>L704-J704-M704</x:f>
        <x:v>54.95</x:v>
      </x:c>
      <x:c r="O704" s="10" t="n">
        <x:f>(G704-H704)*K704</x:f>
        <x:v>22</x:v>
      </x:c>
      <x:c r="P704" s="10" t="n">
        <x:f>N704-O704</x:f>
        <x:v>32.95</x:v>
      </x:c>
      <x:c r="Q704" s="9" t="n">
        <x:f>A704-WEEKDAY(A704,2)+1</x:f>
        <x:v>46286</x:v>
      </x:c>
      <x:c r="R704" s="2" t="str">
        <x:f>IF(AND(A704&gt;='Review'!$B$4,A704&lt;='Review'!$D$4),"Selected","Outside")</x:f>
        <x:v>Outside</x:v>
      </x:c>
    </x:row>
    <x:row r="705" ht="20" customHeight="1">
      <x:c r="A705" s="9" t="n">
        <x:v>46290</x:v>
      </x:c>
      <x:c r="B705" s="2" t="str">
        <x:v>MM-1514</x:v>
      </x:c>
      <x:c r="C705" s="2" t="str">
        <x:v>Email</x:v>
      </x:c>
      <x:c r="D705" s="2" t="str">
        <x:v>GFT-001</x:v>
      </x:c>
      <x:c r="E705" s="2" t="str">
        <x:f>_xlfn.IFNA(VLOOKUP(D705,'Products'!$A$7:$I$22,2,FALSE),"Unmapped")</x:f>
        <x:v>Morning ritual gift set</x:v>
      </x:c>
      <x:c r="F705" s="2" t="str">
        <x:f>_xlfn.IFNA(VLOOKUP(D705,'Products'!$A$7:$I$22,3,FALSE),"Unmapped")</x:f>
        <x:v>Gifts</x:v>
      </x:c>
      <x:c r="G705" s="2" t="n">
        <x:v>1</x:v>
      </x:c>
      <x:c r="H705" s="2" t="n">
        <x:v>0</x:v>
      </x:c>
      <x:c r="I705" s="10" t="n">
        <x:v>59.95</x:v>
      </x:c>
      <x:c r="J705" s="10" t="n">
        <x:v>5.99</x:v>
      </x:c>
      <x:c r="K705" s="10" t="n">
        <x:v>24</x:v>
      </x:c>
      <x:c r="L705" s="10" t="n">
        <x:f>G705*I705</x:f>
        <x:v>59.95</x:v>
      </x:c>
      <x:c r="M705" s="10" t="n">
        <x:f>ROUND((L705-J705)*H705/G705,2)</x:f>
        <x:v>0</x:v>
      </x:c>
      <x:c r="N705" s="10" t="n">
        <x:f>L705-J705-M705</x:f>
        <x:v>53.96</x:v>
      </x:c>
      <x:c r="O705" s="10" t="n">
        <x:f>(G705-H705)*K705</x:f>
        <x:v>24</x:v>
      </x:c>
      <x:c r="P705" s="10" t="n">
        <x:f>N705-O705</x:f>
        <x:v>29.96</x:v>
      </x:c>
      <x:c r="Q705" s="9" t="n">
        <x:f>A705-WEEKDAY(A705,2)+1</x:f>
        <x:v>46286</x:v>
      </x:c>
      <x:c r="R705" s="2" t="str">
        <x:f>IF(AND(A705&gt;='Review'!$B$4,A705&lt;='Review'!$D$4),"Selected","Outside")</x:f>
        <x:v>Outside</x:v>
      </x:c>
    </x:row>
    <x:row r="706" ht="20" customHeight="1">
      <x:c r="A706" s="9" t="n">
        <x:v>46290</x:v>
      </x:c>
      <x:c r="B706" s="2" t="str">
        <x:v>MM-1507</x:v>
      </x:c>
      <x:c r="C706" s="2" t="str">
        <x:v>Organic Search</x:v>
      </x:c>
      <x:c r="D706" s="2" t="str">
        <x:v>GFT-002</x:v>
      </x:c>
      <x:c r="E706" s="2" t="str">
        <x:f>_xlfn.IFNA(VLOOKUP(D706,'Products'!$A$7:$I$22,2,FALSE),"Unmapped")</x:f>
        <x:v>Cozy weekend gift box</x:v>
      </x:c>
      <x:c r="F706" s="2" t="str">
        <x:f>_xlfn.IFNA(VLOOKUP(D706,'Products'!$A$7:$I$22,3,FALSE),"Unmapped")</x:f>
        <x:v>Gifts</x:v>
      </x:c>
      <x:c r="G706" s="2" t="n">
        <x:v>2</x:v>
      </x:c>
      <x:c r="H706" s="2" t="n">
        <x:v>0</x:v>
      </x:c>
      <x:c r="I706" s="10" t="n">
        <x:v>79.95</x:v>
      </x:c>
      <x:c r="J706" s="10" t="n">
        <x:v>15.99</x:v>
      </x:c>
      <x:c r="K706" s="10" t="n">
        <x:v>32</x:v>
      </x:c>
      <x:c r="L706" s="10" t="n">
        <x:f>G706*I706</x:f>
        <x:v>159.9</x:v>
      </x:c>
      <x:c r="M706" s="10" t="n">
        <x:f>ROUND((L706-J706)*H706/G706,2)</x:f>
        <x:v>0</x:v>
      </x:c>
      <x:c r="N706" s="10" t="n">
        <x:f>L706-J706-M706</x:f>
        <x:v>143.91</x:v>
      </x:c>
      <x:c r="O706" s="10" t="n">
        <x:f>(G706-H706)*K706</x:f>
        <x:v>64</x:v>
      </x:c>
      <x:c r="P706" s="10" t="n">
        <x:f>N706-O706</x:f>
        <x:v>79.91</x:v>
      </x:c>
      <x:c r="Q706" s="9" t="n">
        <x:f>A706-WEEKDAY(A706,2)+1</x:f>
        <x:v>46286</x:v>
      </x:c>
      <x:c r="R706" s="2" t="str">
        <x:f>IF(AND(A706&gt;='Review'!$B$4,A706&lt;='Review'!$D$4),"Selected","Outside")</x:f>
        <x:v>Outside</x:v>
      </x:c>
    </x:row>
    <x:row r="707" ht="20" customHeight="1">
      <x:c r="A707" s="9" t="n">
        <x:v>46290</x:v>
      </x:c>
      <x:c r="B707" s="2" t="str">
        <x:v>MM-1507</x:v>
      </x:c>
      <x:c r="C707" s="2" t="str">
        <x:v>Organic Search</x:v>
      </x:c>
      <x:c r="D707" s="2" t="str">
        <x:v>HAT-001</x:v>
      </x:c>
      <x:c r="E707" s="2" t="str">
        <x:f>_xlfn.IFNA(VLOOKUP(D707,'Products'!$A$7:$I$22,2,FALSE),"Unmapped")</x:f>
        <x:v>Classic canvas cap</x:v>
      </x:c>
      <x:c r="F707" s="2" t="str">
        <x:f>_xlfn.IFNA(VLOOKUP(D707,'Products'!$A$7:$I$22,3,FALSE),"Unmapped")</x:f>
        <x:v>Accessories</x:v>
      </x:c>
      <x:c r="G707" s="2" t="n">
        <x:v>2</x:v>
      </x:c>
      <x:c r="H707" s="2" t="n">
        <x:v>0</x:v>
      </x:c>
      <x:c r="I707" s="10" t="n">
        <x:v>24.95</x:v>
      </x:c>
      <x:c r="J707" s="10" t="n">
        <x:v>0</x:v>
      </x:c>
      <x:c r="K707" s="10" t="n">
        <x:v>8.5</x:v>
      </x:c>
      <x:c r="L707" s="10" t="n">
        <x:f>G707*I707</x:f>
        <x:v>49.9</x:v>
      </x:c>
      <x:c r="M707" s="10" t="n">
        <x:f>ROUND((L707-J707)*H707/G707,2)</x:f>
        <x:v>0</x:v>
      </x:c>
      <x:c r="N707" s="10" t="n">
        <x:f>L707-J707-M707</x:f>
        <x:v>49.9</x:v>
      </x:c>
      <x:c r="O707" s="10" t="n">
        <x:f>(G707-H707)*K707</x:f>
        <x:v>17</x:v>
      </x:c>
      <x:c r="P707" s="10" t="n">
        <x:f>N707-O707</x:f>
        <x:v>32.9</x:v>
      </x:c>
      <x:c r="Q707" s="9" t="n">
        <x:f>A707-WEEKDAY(A707,2)+1</x:f>
        <x:v>46286</x:v>
      </x:c>
      <x:c r="R707" s="2" t="str">
        <x:f>IF(AND(A707&gt;='Review'!$B$4,A707&lt;='Review'!$D$4),"Selected","Outside")</x:f>
        <x:v>Outside</x:v>
      </x:c>
    </x:row>
    <x:row r="708" ht="20" customHeight="1">
      <x:c r="A708" s="9" t="n">
        <x:v>46290</x:v>
      </x:c>
      <x:c r="B708" s="2" t="str">
        <x:v>MM-1509</x:v>
      </x:c>
      <x:c r="C708" s="2" t="str">
        <x:v>Paid Social</x:v>
      </x:c>
      <x:c r="D708" s="2" t="str">
        <x:v>APP-003</x:v>
      </x:c>
      <x:c r="E708" s="2" t="str">
        <x:f>_xlfn.IFNA(VLOOKUP(D708,'Products'!$A$7:$I$22,2,FALSE),"Unmapped")</x:f>
        <x:v>Coffee club tee</x:v>
      </x:c>
      <x:c r="F708" s="2" t="str">
        <x:f>_xlfn.IFNA(VLOOKUP(D708,'Products'!$A$7:$I$22,3,FALSE),"Unmapped")</x:f>
        <x:v>Apparel</x:v>
      </x:c>
      <x:c r="G708" s="2" t="n">
        <x:v>1</x:v>
      </x:c>
      <x:c r="H708" s="2" t="n">
        <x:v>0</x:v>
      </x:c>
      <x:c r="I708" s="10" t="n">
        <x:v>29.95</x:v>
      </x:c>
      <x:c r="J708" s="10" t="n">
        <x:v>0</x:v>
      </x:c>
      <x:c r="K708" s="10" t="n">
        <x:v>10</x:v>
      </x:c>
      <x:c r="L708" s="10" t="n">
        <x:f>G708*I708</x:f>
        <x:v>29.95</x:v>
      </x:c>
      <x:c r="M708" s="10" t="n">
        <x:f>ROUND((L708-J708)*H708/G708,2)</x:f>
        <x:v>0</x:v>
      </x:c>
      <x:c r="N708" s="10" t="n">
        <x:f>L708-J708-M708</x:f>
        <x:v>29.95</x:v>
      </x:c>
      <x:c r="O708" s="10" t="n">
        <x:f>(G708-H708)*K708</x:f>
        <x:v>10</x:v>
      </x:c>
      <x:c r="P708" s="10" t="n">
        <x:f>N708-O708</x:f>
        <x:v>19.95</x:v>
      </x:c>
      <x:c r="Q708" s="9" t="n">
        <x:f>A708-WEEKDAY(A708,2)+1</x:f>
        <x:v>46286</x:v>
      </x:c>
      <x:c r="R708" s="2" t="str">
        <x:f>IF(AND(A708&gt;='Review'!$B$4,A708&lt;='Review'!$D$4),"Selected","Outside")</x:f>
        <x:v>Outside</x:v>
      </x:c>
    </x:row>
    <x:row r="709" ht="20" customHeight="1">
      <x:c r="A709" s="9" t="n">
        <x:v>46290</x:v>
      </x:c>
      <x:c r="B709" s="2" t="str">
        <x:v>MM-1504</x:v>
      </x:c>
      <x:c r="C709" s="2" t="str">
        <x:v>Email</x:v>
      </x:c>
      <x:c r="D709" s="2" t="str">
        <x:v>HAT-001</x:v>
      </x:c>
      <x:c r="E709" s="2" t="str">
        <x:f>_xlfn.IFNA(VLOOKUP(D709,'Products'!$A$7:$I$22,2,FALSE),"Unmapped")</x:f>
        <x:v>Classic canvas cap</x:v>
      </x:c>
      <x:c r="F709" s="2" t="str">
        <x:f>_xlfn.IFNA(VLOOKUP(D709,'Products'!$A$7:$I$22,3,FALSE),"Unmapped")</x:f>
        <x:v>Accessories</x:v>
      </x:c>
      <x:c r="G709" s="2" t="n">
        <x:v>1</x:v>
      </x:c>
      <x:c r="H709" s="2" t="n">
        <x:v>0</x:v>
      </x:c>
      <x:c r="I709" s="10" t="n">
        <x:v>24.95</x:v>
      </x:c>
      <x:c r="J709" s="10" t="n">
        <x:v>2.49</x:v>
      </x:c>
      <x:c r="K709" s="10" t="n">
        <x:v>8.5</x:v>
      </x:c>
      <x:c r="L709" s="10" t="n">
        <x:f>G709*I709</x:f>
        <x:v>24.95</x:v>
      </x:c>
      <x:c r="M709" s="10" t="n">
        <x:f>ROUND((L709-J709)*H709/G709,2)</x:f>
        <x:v>0</x:v>
      </x:c>
      <x:c r="N709" s="10" t="n">
        <x:f>L709-J709-M709</x:f>
        <x:v>22.46</x:v>
      </x:c>
      <x:c r="O709" s="10" t="n">
        <x:f>(G709-H709)*K709</x:f>
        <x:v>8.5</x:v>
      </x:c>
      <x:c r="P709" s="10" t="n">
        <x:f>N709-O709</x:f>
        <x:v>13.96</x:v>
      </x:c>
      <x:c r="Q709" s="9" t="n">
        <x:f>A709-WEEKDAY(A709,2)+1</x:f>
        <x:v>46286</x:v>
      </x:c>
      <x:c r="R709" s="2" t="str">
        <x:f>IF(AND(A709&gt;='Review'!$B$4,A709&lt;='Review'!$D$4),"Selected","Outside")</x:f>
        <x:v>Outside</x:v>
      </x:c>
    </x:row>
    <x:row r="710" ht="20" customHeight="1">
      <x:c r="A710" s="9" t="n">
        <x:v>46290</x:v>
      </x:c>
      <x:c r="B710" s="2" t="str">
        <x:v>MM-1510</x:v>
      </x:c>
      <x:c r="C710" s="2" t="str">
        <x:v>Organic Search</x:v>
      </x:c>
      <x:c r="D710" s="2" t="str">
        <x:v>PIN-001</x:v>
      </x:c>
      <x:c r="E710" s="2" t="str">
        <x:f>_xlfn.IFNA(VLOOKUP(D710,'Products'!$A$7:$I$22,2,FALSE),"Unmapped")</x:f>
        <x:v>Coffee enamel pin</x:v>
      </x:c>
      <x:c r="F710" s="2" t="str">
        <x:f>_xlfn.IFNA(VLOOKUP(D710,'Products'!$A$7:$I$22,3,FALSE),"Unmapped")</x:f>
        <x:v>Accessories</x:v>
      </x:c>
      <x:c r="G710" s="2" t="n">
        <x:v>2</x:v>
      </x:c>
      <x:c r="H710" s="2" t="n">
        <x:v>0</x:v>
      </x:c>
      <x:c r="I710" s="10" t="n">
        <x:v>9.95</x:v>
      </x:c>
      <x:c r="J710" s="10" t="n">
        <x:v>0</x:v>
      </x:c>
      <x:c r="K710" s="10" t="n">
        <x:v>2.5</x:v>
      </x:c>
      <x:c r="L710" s="10" t="n">
        <x:f>G710*I710</x:f>
        <x:v>19.9</x:v>
      </x:c>
      <x:c r="M710" s="10" t="n">
        <x:f>ROUND((L710-J710)*H710/G710,2)</x:f>
        <x:v>0</x:v>
      </x:c>
      <x:c r="N710" s="10" t="n">
        <x:f>L710-J710-M710</x:f>
        <x:v>19.9</x:v>
      </x:c>
      <x:c r="O710" s="10" t="n">
        <x:f>(G710-H710)*K710</x:f>
        <x:v>5</x:v>
      </x:c>
      <x:c r="P710" s="10" t="n">
        <x:f>N710-O710</x:f>
        <x:v>14.899999999999999</x:v>
      </x:c>
      <x:c r="Q710" s="9" t="n">
        <x:f>A710-WEEKDAY(A710,2)+1</x:f>
        <x:v>46286</x:v>
      </x:c>
      <x:c r="R710" s="2" t="str">
        <x:f>IF(AND(A710&gt;='Review'!$B$4,A710&lt;='Review'!$D$4),"Selected","Outside")</x:f>
        <x:v>Outside</x:v>
      </x:c>
    </x:row>
    <x:row r="711" ht="20" customHeight="1">
      <x:c r="A711" s="9" t="n">
        <x:v>46290</x:v>
      </x:c>
      <x:c r="B711" s="2" t="str">
        <x:v>MM-1513</x:v>
      </x:c>
      <x:c r="C711" s="2" t="str">
        <x:v>Paid Social</x:v>
      </x:c>
      <x:c r="D711" s="2" t="str">
        <x:v>GFT-001</x:v>
      </x:c>
      <x:c r="E711" s="2" t="str">
        <x:f>_xlfn.IFNA(VLOOKUP(D711,'Products'!$A$7:$I$22,2,FALSE),"Unmapped")</x:f>
        <x:v>Morning ritual gift set</x:v>
      </x:c>
      <x:c r="F711" s="2" t="str">
        <x:f>_xlfn.IFNA(VLOOKUP(D711,'Products'!$A$7:$I$22,3,FALSE),"Unmapped")</x:f>
        <x:v>Gifts</x:v>
      </x:c>
      <x:c r="G711" s="2" t="n">
        <x:v>1</x:v>
      </x:c>
      <x:c r="H711" s="2" t="n">
        <x:v>0</x:v>
      </x:c>
      <x:c r="I711" s="10" t="n">
        <x:v>59.95</x:v>
      </x:c>
      <x:c r="J711" s="10" t="n">
        <x:v>0</x:v>
      </x:c>
      <x:c r="K711" s="10" t="n">
        <x:v>24</x:v>
      </x:c>
      <x:c r="L711" s="10" t="n">
        <x:f>G711*I711</x:f>
        <x:v>59.95</x:v>
      </x:c>
      <x:c r="M711" s="10" t="n">
        <x:f>ROUND((L711-J711)*H711/G711,2)</x:f>
        <x:v>0</x:v>
      </x:c>
      <x:c r="N711" s="10" t="n">
        <x:f>L711-J711-M711</x:f>
        <x:v>59.95</x:v>
      </x:c>
      <x:c r="O711" s="10" t="n">
        <x:f>(G711-H711)*K711</x:f>
        <x:v>24</x:v>
      </x:c>
      <x:c r="P711" s="10" t="n">
        <x:f>N711-O711</x:f>
        <x:v>35.95</x:v>
      </x:c>
      <x:c r="Q711" s="9" t="n">
        <x:f>A711-WEEKDAY(A711,2)+1</x:f>
        <x:v>46286</x:v>
      </x:c>
      <x:c r="R711" s="2" t="str">
        <x:f>IF(AND(A711&gt;='Review'!$B$4,A711&lt;='Review'!$D$4),"Selected","Outside")</x:f>
        <x:v>Outside</x:v>
      </x:c>
    </x:row>
    <x:row r="712" ht="20" customHeight="1">
      <x:c r="A712" s="9" t="n">
        <x:v>46290</x:v>
      </x:c>
      <x:c r="B712" s="2" t="str">
        <x:v>MM-1513</x:v>
      </x:c>
      <x:c r="C712" s="2" t="str">
        <x:v>Paid Social</x:v>
      </x:c>
      <x:c r="D712" s="2" t="str">
        <x:v>BOT-001</x:v>
      </x:c>
      <x:c r="E712" s="2" t="str">
        <x:f>_xlfn.IFNA(VLOOKUP(D712,'Products'!$A$7:$I$22,2,FALSE),"Unmapped")</x:f>
        <x:v>Trail water bottle</x:v>
      </x:c>
      <x:c r="F712" s="2" t="str">
        <x:f>_xlfn.IFNA(VLOOKUP(D712,'Products'!$A$7:$I$22,3,FALSE),"Unmapped")</x:f>
        <x:v>Drinkware</x:v>
      </x:c>
      <x:c r="G712" s="2" t="n">
        <x:v>3</x:v>
      </x:c>
      <x:c r="H712" s="2" t="n">
        <x:v>0</x:v>
      </x:c>
      <x:c r="I712" s="10" t="n">
        <x:v>34.95</x:v>
      </x:c>
      <x:c r="J712" s="10" t="n">
        <x:v>0</x:v>
      </x:c>
      <x:c r="K712" s="10" t="n">
        <x:v>13.5</x:v>
      </x:c>
      <x:c r="L712" s="10" t="n">
        <x:f>G712*I712</x:f>
        <x:v>104.85000000000001</x:v>
      </x:c>
      <x:c r="M712" s="10" t="n">
        <x:f>ROUND((L712-J712)*H712/G712,2)</x:f>
        <x:v>0</x:v>
      </x:c>
      <x:c r="N712" s="10" t="n">
        <x:f>L712-J712-M712</x:f>
        <x:v>104.85000000000001</x:v>
      </x:c>
      <x:c r="O712" s="10" t="n">
        <x:f>(G712-H712)*K712</x:f>
        <x:v>40.5</x:v>
      </x:c>
      <x:c r="P712" s="10" t="n">
        <x:f>N712-O712</x:f>
        <x:v>64.35000000000001</x:v>
      </x:c>
      <x:c r="Q712" s="9" t="n">
        <x:f>A712-WEEKDAY(A712,2)+1</x:f>
        <x:v>46286</x:v>
      </x:c>
      <x:c r="R712" s="2" t="str">
        <x:f>IF(AND(A712&gt;='Review'!$B$4,A712&lt;='Review'!$D$4),"Selected","Outside")</x:f>
        <x:v>Outside</x:v>
      </x:c>
    </x:row>
    <x:row r="713" ht="20" customHeight="1">
      <x:c r="A713" s="9" t="n">
        <x:v>46291</x:v>
      </x:c>
      <x:c r="B713" s="2" t="str">
        <x:v>MM-1521</x:v>
      </x:c>
      <x:c r="C713" s="2" t="str">
        <x:v>Paid Social</x:v>
      </x:c>
      <x:c r="D713" s="2" t="str">
        <x:v>MUG-001</x:v>
      </x:c>
      <x:c r="E713" s="2" t="str">
        <x:f>_xlfn.IFNA(VLOOKUP(D713,'Products'!$A$7:$I$22,2,FALSE),"Unmapped")</x:f>
        <x:v>Everyday ceramic mug</x:v>
      </x:c>
      <x:c r="F713" s="2" t="str">
        <x:f>_xlfn.IFNA(VLOOKUP(D713,'Products'!$A$7:$I$22,3,FALSE),"Unmapped")</x:f>
        <x:v>Drinkware</x:v>
      </x:c>
      <x:c r="G713" s="2" t="n">
        <x:v>1</x:v>
      </x:c>
      <x:c r="H713" s="2" t="n">
        <x:v>0</x:v>
      </x:c>
      <x:c r="I713" s="10" t="n">
        <x:v>18.95</x:v>
      </x:c>
      <x:c r="J713" s="10" t="n">
        <x:v>0</x:v>
      </x:c>
      <x:c r="K713" s="10" t="n">
        <x:v>6.5</x:v>
      </x:c>
      <x:c r="L713" s="10" t="n">
        <x:f>G713*I713</x:f>
        <x:v>18.95</x:v>
      </x:c>
      <x:c r="M713" s="10" t="n">
        <x:f>ROUND((L713-J713)*H713/G713,2)</x:f>
        <x:v>0</x:v>
      </x:c>
      <x:c r="N713" s="10" t="n">
        <x:f>L713-J713-M713</x:f>
        <x:v>18.95</x:v>
      </x:c>
      <x:c r="O713" s="10" t="n">
        <x:f>(G713-H713)*K713</x:f>
        <x:v>6.5</x:v>
      </x:c>
      <x:c r="P713" s="10" t="n">
        <x:f>N713-O713</x:f>
        <x:v>12.45</x:v>
      </x:c>
      <x:c r="Q713" s="9" t="n">
        <x:f>A713-WEEKDAY(A713,2)+1</x:f>
        <x:v>46286</x:v>
      </x:c>
      <x:c r="R713" s="2" t="str">
        <x:f>IF(AND(A713&gt;='Review'!$B$4,A713&lt;='Review'!$D$4),"Selected","Outside")</x:f>
        <x:v>Outside</x:v>
      </x:c>
    </x:row>
    <x:row r="714" ht="20" customHeight="1">
      <x:c r="A714" s="9" t="n">
        <x:v>46291</x:v>
      </x:c>
      <x:c r="B714" s="2" t="str">
        <x:v>MM-1521</x:v>
      </x:c>
      <x:c r="C714" s="2" t="str">
        <x:v>Paid Social</x:v>
      </x:c>
      <x:c r="D714" s="2" t="str">
        <x:v>TOTE-001</x:v>
      </x:c>
      <x:c r="E714" s="2" t="str">
        <x:f>_xlfn.IFNA(VLOOKUP(D714,'Products'!$A$7:$I$22,2,FALSE),"Unmapped")</x:f>
        <x:v>Market canvas tote</x:v>
      </x:c>
      <x:c r="F714" s="2" t="str">
        <x:f>_xlfn.IFNA(VLOOKUP(D714,'Products'!$A$7:$I$22,3,FALSE),"Unmapped")</x:f>
        <x:v>Accessories</x:v>
      </x:c>
      <x:c r="G714" s="2" t="n">
        <x:v>1</x:v>
      </x:c>
      <x:c r="H714" s="2" t="n">
        <x:v>0</x:v>
      </x:c>
      <x:c r="I714" s="10" t="n">
        <x:v>19.95</x:v>
      </x:c>
      <x:c r="J714" s="10" t="n">
        <x:v>0</x:v>
      </x:c>
      <x:c r="K714" s="10" t="n">
        <x:v>6</x:v>
      </x:c>
      <x:c r="L714" s="10" t="n">
        <x:f>G714*I714</x:f>
        <x:v>19.95</x:v>
      </x:c>
      <x:c r="M714" s="10" t="n">
        <x:f>ROUND((L714-J714)*H714/G714,2)</x:f>
        <x:v>0</x:v>
      </x:c>
      <x:c r="N714" s="10" t="n">
        <x:f>L714-J714-M714</x:f>
        <x:v>19.95</x:v>
      </x:c>
      <x:c r="O714" s="10" t="n">
        <x:f>(G714-H714)*K714</x:f>
        <x:v>6</x:v>
      </x:c>
      <x:c r="P714" s="10" t="n">
        <x:f>N714-O714</x:f>
        <x:v>13.95</x:v>
      </x:c>
      <x:c r="Q714" s="9" t="n">
        <x:f>A714-WEEKDAY(A714,2)+1</x:f>
        <x:v>46286</x:v>
      </x:c>
      <x:c r="R714" s="2" t="str">
        <x:f>IF(AND(A714&gt;='Review'!$B$4,A714&lt;='Review'!$D$4),"Selected","Outside")</x:f>
        <x:v>Outside</x:v>
      </x:c>
    </x:row>
    <x:row r="715" ht="20" customHeight="1">
      <x:c r="A715" s="9" t="n">
        <x:v>46291</x:v>
      </x:c>
      <x:c r="B715" s="2" t="str">
        <x:v>MM-1521</x:v>
      </x:c>
      <x:c r="C715" s="2" t="str">
        <x:v>Paid Social</x:v>
      </x:c>
      <x:c r="D715" s="2" t="str">
        <x:v>HAT-001</x:v>
      </x:c>
      <x:c r="E715" s="2" t="str">
        <x:f>_xlfn.IFNA(VLOOKUP(D715,'Products'!$A$7:$I$22,2,FALSE),"Unmapped")</x:f>
        <x:v>Classic canvas cap</x:v>
      </x:c>
      <x:c r="F715" s="2" t="str">
        <x:f>_xlfn.IFNA(VLOOKUP(D715,'Products'!$A$7:$I$22,3,FALSE),"Unmapped")</x:f>
        <x:v>Accessories</x:v>
      </x:c>
      <x:c r="G715" s="2" t="n">
        <x:v>1</x:v>
      </x:c>
      <x:c r="H715" s="2" t="n">
        <x:v>0</x:v>
      </x:c>
      <x:c r="I715" s="10" t="n">
        <x:v>24.95</x:v>
      </x:c>
      <x:c r="J715" s="10" t="n">
        <x:v>0</x:v>
      </x:c>
      <x:c r="K715" s="10" t="n">
        <x:v>8.5</x:v>
      </x:c>
      <x:c r="L715" s="10" t="n">
        <x:f>G715*I715</x:f>
        <x:v>24.95</x:v>
      </x:c>
      <x:c r="M715" s="10" t="n">
        <x:f>ROUND((L715-J715)*H715/G715,2)</x:f>
        <x:v>0</x:v>
      </x:c>
      <x:c r="N715" s="10" t="n">
        <x:f>L715-J715-M715</x:f>
        <x:v>24.95</x:v>
      </x:c>
      <x:c r="O715" s="10" t="n">
        <x:f>(G715-H715)*K715</x:f>
        <x:v>8.5</x:v>
      </x:c>
      <x:c r="P715" s="10" t="n">
        <x:f>N715-O715</x:f>
        <x:v>16.45</x:v>
      </x:c>
      <x:c r="Q715" s="9" t="n">
        <x:f>A715-WEEKDAY(A715,2)+1</x:f>
        <x:v>46286</x:v>
      </x:c>
      <x:c r="R715" s="2" t="str">
        <x:f>IF(AND(A715&gt;='Review'!$B$4,A715&lt;='Review'!$D$4),"Selected","Outside")</x:f>
        <x:v>Outside</x:v>
      </x:c>
    </x:row>
    <x:row r="716" ht="20" customHeight="1">
      <x:c r="A716" s="9" t="n">
        <x:v>46291</x:v>
      </x:c>
      <x:c r="B716" s="2" t="str">
        <x:v>MM-1524</x:v>
      </x:c>
      <x:c r="C716" s="2" t="str">
        <x:v>Organic Search</x:v>
      </x:c>
      <x:c r="D716" s="2" t="str">
        <x:v>PIN-001</x:v>
      </x:c>
      <x:c r="E716" s="2" t="str">
        <x:f>_xlfn.IFNA(VLOOKUP(D716,'Products'!$A$7:$I$22,2,FALSE),"Unmapped")</x:f>
        <x:v>Coffee enamel pin</x:v>
      </x:c>
      <x:c r="F716" s="2" t="str">
        <x:f>_xlfn.IFNA(VLOOKUP(D716,'Products'!$A$7:$I$22,3,FALSE),"Unmapped")</x:f>
        <x:v>Accessories</x:v>
      </x:c>
      <x:c r="G716" s="2" t="n">
        <x:v>2</x:v>
      </x:c>
      <x:c r="H716" s="2" t="n">
        <x:v>0</x:v>
      </x:c>
      <x:c r="I716" s="10" t="n">
        <x:v>9.95</x:v>
      </x:c>
      <x:c r="J716" s="10" t="n">
        <x:v>0</x:v>
      </x:c>
      <x:c r="K716" s="10" t="n">
        <x:v>2.5</x:v>
      </x:c>
      <x:c r="L716" s="10" t="n">
        <x:f>G716*I716</x:f>
        <x:v>19.9</x:v>
      </x:c>
      <x:c r="M716" s="10" t="n">
        <x:f>ROUND((L716-J716)*H716/G716,2)</x:f>
        <x:v>0</x:v>
      </x:c>
      <x:c r="N716" s="10" t="n">
        <x:f>L716-J716-M716</x:f>
        <x:v>19.9</x:v>
      </x:c>
      <x:c r="O716" s="10" t="n">
        <x:f>(G716-H716)*K716</x:f>
        <x:v>5</x:v>
      </x:c>
      <x:c r="P716" s="10" t="n">
        <x:f>N716-O716</x:f>
        <x:v>14.899999999999999</x:v>
      </x:c>
      <x:c r="Q716" s="9" t="n">
        <x:f>A716-WEEKDAY(A716,2)+1</x:f>
        <x:v>46286</x:v>
      </x:c>
      <x:c r="R716" s="2" t="str">
        <x:f>IF(AND(A716&gt;='Review'!$B$4,A716&lt;='Review'!$D$4),"Selected","Outside")</x:f>
        <x:v>Outside</x:v>
      </x:c>
    </x:row>
    <x:row r="717" ht="20" customHeight="1">
      <x:c r="A717" s="9" t="n">
        <x:v>46291</x:v>
      </x:c>
      <x:c r="B717" s="2" t="str">
        <x:v>MM-1526</x:v>
      </x:c>
      <x:c r="C717" s="2" t="str">
        <x:v>Email</x:v>
      </x:c>
      <x:c r="D717" s="2" t="str">
        <x:v>GFT-001</x:v>
      </x:c>
      <x:c r="E717" s="2" t="str">
        <x:f>_xlfn.IFNA(VLOOKUP(D717,'Products'!$A$7:$I$22,2,FALSE),"Unmapped")</x:f>
        <x:v>Morning ritual gift set</x:v>
      </x:c>
      <x:c r="F717" s="2" t="str">
        <x:f>_xlfn.IFNA(VLOOKUP(D717,'Products'!$A$7:$I$22,3,FALSE),"Unmapped")</x:f>
        <x:v>Gifts</x:v>
      </x:c>
      <x:c r="G717" s="2" t="n">
        <x:v>3</x:v>
      </x:c>
      <x:c r="H717" s="2" t="n">
        <x:v>0</x:v>
      </x:c>
      <x:c r="I717" s="10" t="n">
        <x:v>59.95</x:v>
      </x:c>
      <x:c r="J717" s="10" t="n">
        <x:v>17.98</x:v>
      </x:c>
      <x:c r="K717" s="10" t="n">
        <x:v>24</x:v>
      </x:c>
      <x:c r="L717" s="10" t="n">
        <x:f>G717*I717</x:f>
        <x:v>179.85000000000002</x:v>
      </x:c>
      <x:c r="M717" s="10" t="n">
        <x:f>ROUND((L717-J717)*H717/G717,2)</x:f>
        <x:v>0</x:v>
      </x:c>
      <x:c r="N717" s="10" t="n">
        <x:f>L717-J717-M717</x:f>
        <x:v>161.87000000000003</x:v>
      </x:c>
      <x:c r="O717" s="10" t="n">
        <x:f>(G717-H717)*K717</x:f>
        <x:v>72</x:v>
      </x:c>
      <x:c r="P717" s="10" t="n">
        <x:f>N717-O717</x:f>
        <x:v>89.87000000000003</x:v>
      </x:c>
      <x:c r="Q717" s="9" t="n">
        <x:f>A717-WEEKDAY(A717,2)+1</x:f>
        <x:v>46286</x:v>
      </x:c>
      <x:c r="R717" s="2" t="str">
        <x:f>IF(AND(A717&gt;='Review'!$B$4,A717&lt;='Review'!$D$4),"Selected","Outside")</x:f>
        <x:v>Outside</x:v>
      </x:c>
    </x:row>
    <x:row r="718" ht="20" customHeight="1">
      <x:c r="A718" s="9" t="n">
        <x:v>46291</x:v>
      </x:c>
      <x:c r="B718" s="2" t="str">
        <x:v>MM-1526</x:v>
      </x:c>
      <x:c r="C718" s="2" t="str">
        <x:v>Email</x:v>
      </x:c>
      <x:c r="D718" s="2" t="str">
        <x:v>MUG-001</x:v>
      </x:c>
      <x:c r="E718" s="2" t="str">
        <x:f>_xlfn.IFNA(VLOOKUP(D718,'Products'!$A$7:$I$22,2,FALSE),"Unmapped")</x:f>
        <x:v>Everyday ceramic mug</x:v>
      </x:c>
      <x:c r="F718" s="2" t="str">
        <x:f>_xlfn.IFNA(VLOOKUP(D718,'Products'!$A$7:$I$22,3,FALSE),"Unmapped")</x:f>
        <x:v>Drinkware</x:v>
      </x:c>
      <x:c r="G718" s="2" t="n">
        <x:v>1</x:v>
      </x:c>
      <x:c r="H718" s="2" t="n">
        <x:v>0</x:v>
      </x:c>
      <x:c r="I718" s="10" t="n">
        <x:v>18.95</x:v>
      </x:c>
      <x:c r="J718" s="10" t="n">
        <x:v>1.89</x:v>
      </x:c>
      <x:c r="K718" s="10" t="n">
        <x:v>6.5</x:v>
      </x:c>
      <x:c r="L718" s="10" t="n">
        <x:f>G718*I718</x:f>
        <x:v>18.95</x:v>
      </x:c>
      <x:c r="M718" s="10" t="n">
        <x:f>ROUND((L718-J718)*H718/G718,2)</x:f>
        <x:v>0</x:v>
      </x:c>
      <x:c r="N718" s="10" t="n">
        <x:f>L718-J718-M718</x:f>
        <x:v>17.06</x:v>
      </x:c>
      <x:c r="O718" s="10" t="n">
        <x:f>(G718-H718)*K718</x:f>
        <x:v>6.5</x:v>
      </x:c>
      <x:c r="P718" s="10" t="n">
        <x:f>N718-O718</x:f>
        <x:v>10.559999999999999</x:v>
      </x:c>
      <x:c r="Q718" s="9" t="n">
        <x:f>A718-WEEKDAY(A718,2)+1</x:f>
        <x:v>46286</x:v>
      </x:c>
      <x:c r="R718" s="2" t="str">
        <x:f>IF(AND(A718&gt;='Review'!$B$4,A718&lt;='Review'!$D$4),"Selected","Outside")</x:f>
        <x:v>Outside</x:v>
      </x:c>
    </x:row>
    <x:row r="719" ht="20" customHeight="1">
      <x:c r="A719" s="9" t="n">
        <x:v>46291</x:v>
      </x:c>
      <x:c r="B719" s="2" t="str">
        <x:v>MM-1526</x:v>
      </x:c>
      <x:c r="C719" s="2" t="str">
        <x:v>Email</x:v>
      </x:c>
      <x:c r="D719" s="2" t="str">
        <x:v>MUG-002</x:v>
      </x:c>
      <x:c r="E719" s="2" t="str">
        <x:f>_xlfn.IFNA(VLOOKUP(D719,'Products'!$A$7:$I$22,2,FALSE),"Unmapped")</x:f>
        <x:v>Campfire enamel mug</x:v>
      </x:c>
      <x:c r="F719" s="2" t="str">
        <x:f>_xlfn.IFNA(VLOOKUP(D719,'Products'!$A$7:$I$22,3,FALSE),"Unmapped")</x:f>
        <x:v>Drinkware</x:v>
      </x:c>
      <x:c r="G719" s="2" t="n">
        <x:v>1</x:v>
      </x:c>
      <x:c r="H719" s="2" t="n">
        <x:v>0</x:v>
      </x:c>
      <x:c r="I719" s="10" t="n">
        <x:v>22.95</x:v>
      </x:c>
      <x:c r="J719" s="10" t="n">
        <x:v>2.29</x:v>
      </x:c>
      <x:c r="K719" s="10" t="n">
        <x:v>8.5</x:v>
      </x:c>
      <x:c r="L719" s="10" t="n">
        <x:f>G719*I719</x:f>
        <x:v>22.95</x:v>
      </x:c>
      <x:c r="M719" s="10" t="n">
        <x:f>ROUND((L719-J719)*H719/G719,2)</x:f>
        <x:v>0</x:v>
      </x:c>
      <x:c r="N719" s="10" t="n">
        <x:f>L719-J719-M719</x:f>
        <x:v>20.66</x:v>
      </x:c>
      <x:c r="O719" s="10" t="n">
        <x:f>(G719-H719)*K719</x:f>
        <x:v>8.5</x:v>
      </x:c>
      <x:c r="P719" s="10" t="n">
        <x:f>N719-O719</x:f>
        <x:v>12.16</x:v>
      </x:c>
      <x:c r="Q719" s="9" t="n">
        <x:f>A719-WEEKDAY(A719,2)+1</x:f>
        <x:v>46286</x:v>
      </x:c>
      <x:c r="R719" s="2" t="str">
        <x:f>IF(AND(A719&gt;='Review'!$B$4,A719&lt;='Review'!$D$4),"Selected","Outside")</x:f>
        <x:v>Outside</x:v>
      </x:c>
    </x:row>
    <x:row r="720" ht="20" customHeight="1">
      <x:c r="A720" s="9" t="n">
        <x:v>46291</x:v>
      </x:c>
      <x:c r="B720" s="2" t="str">
        <x:v>MM-1532</x:v>
      </x:c>
      <x:c r="C720" s="2" t="str">
        <x:v>Email</x:v>
      </x:c>
      <x:c r="D720" s="2" t="str">
        <x:v>TOTE-001</x:v>
      </x:c>
      <x:c r="E720" s="2" t="str">
        <x:f>_xlfn.IFNA(VLOOKUP(D720,'Products'!$A$7:$I$22,2,FALSE),"Unmapped")</x:f>
        <x:v>Market canvas tote</x:v>
      </x:c>
      <x:c r="F720" s="2" t="str">
        <x:f>_xlfn.IFNA(VLOOKUP(D720,'Products'!$A$7:$I$22,3,FALSE),"Unmapped")</x:f>
        <x:v>Accessories</x:v>
      </x:c>
      <x:c r="G720" s="2" t="n">
        <x:v>2</x:v>
      </x:c>
      <x:c r="H720" s="2" t="n">
        <x:v>0</x:v>
      </x:c>
      <x:c r="I720" s="10" t="n">
        <x:v>19.95</x:v>
      </x:c>
      <x:c r="J720" s="10" t="n">
        <x:v>3.99</x:v>
      </x:c>
      <x:c r="K720" s="10" t="n">
        <x:v>6</x:v>
      </x:c>
      <x:c r="L720" s="10" t="n">
        <x:f>G720*I720</x:f>
        <x:v>39.9</x:v>
      </x:c>
      <x:c r="M720" s="10" t="n">
        <x:f>ROUND((L720-J720)*H720/G720,2)</x:f>
        <x:v>0</x:v>
      </x:c>
      <x:c r="N720" s="10" t="n">
        <x:f>L720-J720-M720</x:f>
        <x:v>35.91</x:v>
      </x:c>
      <x:c r="O720" s="10" t="n">
        <x:f>(G720-H720)*K720</x:f>
        <x:v>12</x:v>
      </x:c>
      <x:c r="P720" s="10" t="n">
        <x:f>N720-O720</x:f>
        <x:v>23.909999999999997</x:v>
      </x:c>
      <x:c r="Q720" s="9" t="n">
        <x:f>A720-WEEKDAY(A720,2)+1</x:f>
        <x:v>46286</x:v>
      </x:c>
      <x:c r="R720" s="2" t="str">
        <x:f>IF(AND(A720&gt;='Review'!$B$4,A720&lt;='Review'!$D$4),"Selected","Outside")</x:f>
        <x:v>Outside</x:v>
      </x:c>
    </x:row>
    <x:row r="721" ht="20" customHeight="1">
      <x:c r="A721" s="9" t="n">
        <x:v>46291</x:v>
      </x:c>
      <x:c r="B721" s="2" t="str">
        <x:v>MM-1532</x:v>
      </x:c>
      <x:c r="C721" s="2" t="str">
        <x:v>Email</x:v>
      </x:c>
      <x:c r="D721" s="2" t="str">
        <x:v>GFT-001</x:v>
      </x:c>
      <x:c r="E721" s="2" t="str">
        <x:f>_xlfn.IFNA(VLOOKUP(D721,'Products'!$A$7:$I$22,2,FALSE),"Unmapped")</x:f>
        <x:v>Morning ritual gift set</x:v>
      </x:c>
      <x:c r="F721" s="2" t="str">
        <x:f>_xlfn.IFNA(VLOOKUP(D721,'Products'!$A$7:$I$22,3,FALSE),"Unmapped")</x:f>
        <x:v>Gifts</x:v>
      </x:c>
      <x:c r="G721" s="2" t="n">
        <x:v>1</x:v>
      </x:c>
      <x:c r="H721" s="2" t="n">
        <x:v>0</x:v>
      </x:c>
      <x:c r="I721" s="10" t="n">
        <x:v>59.95</x:v>
      </x:c>
      <x:c r="J721" s="10" t="n">
        <x:v>5.99</x:v>
      </x:c>
      <x:c r="K721" s="10" t="n">
        <x:v>24</x:v>
      </x:c>
      <x:c r="L721" s="10" t="n">
        <x:f>G721*I721</x:f>
        <x:v>59.95</x:v>
      </x:c>
      <x:c r="M721" s="10" t="n">
        <x:f>ROUND((L721-J721)*H721/G721,2)</x:f>
        <x:v>0</x:v>
      </x:c>
      <x:c r="N721" s="10" t="n">
        <x:f>L721-J721-M721</x:f>
        <x:v>53.96</x:v>
      </x:c>
      <x:c r="O721" s="10" t="n">
        <x:f>(G721-H721)*K721</x:f>
        <x:v>24</x:v>
      </x:c>
      <x:c r="P721" s="10" t="n">
        <x:f>N721-O721</x:f>
        <x:v>29.96</x:v>
      </x:c>
      <x:c r="Q721" s="9" t="n">
        <x:f>A721-WEEKDAY(A721,2)+1</x:f>
        <x:v>46286</x:v>
      </x:c>
      <x:c r="R721" s="2" t="str">
        <x:f>IF(AND(A721&gt;='Review'!$B$4,A721&lt;='Review'!$D$4),"Selected","Outside")</x:f>
        <x:v>Outside</x:v>
      </x:c>
    </x:row>
    <x:row r="722" ht="20" customHeight="1">
      <x:c r="A722" s="9" t="n">
        <x:v>46291</x:v>
      </x:c>
      <x:c r="B722" s="2" t="str">
        <x:v>MM-1517</x:v>
      </x:c>
      <x:c r="C722" s="2" t="str">
        <x:v>Email</x:v>
      </x:c>
      <x:c r="D722" s="2" t="str">
        <x:v>GFT-002</x:v>
      </x:c>
      <x:c r="E722" s="2" t="str">
        <x:f>_xlfn.IFNA(VLOOKUP(D722,'Products'!$A$7:$I$22,2,FALSE),"Unmapped")</x:f>
        <x:v>Cozy weekend gift box</x:v>
      </x:c>
      <x:c r="F722" s="2" t="str">
        <x:f>_xlfn.IFNA(VLOOKUP(D722,'Products'!$A$7:$I$22,3,FALSE),"Unmapped")</x:f>
        <x:v>Gifts</x:v>
      </x:c>
      <x:c r="G722" s="2" t="n">
        <x:v>1</x:v>
      </x:c>
      <x:c r="H722" s="2" t="n">
        <x:v>0</x:v>
      </x:c>
      <x:c r="I722" s="10" t="n">
        <x:v>79.95</x:v>
      </x:c>
      <x:c r="J722" s="10" t="n">
        <x:v>7.99</x:v>
      </x:c>
      <x:c r="K722" s="10" t="n">
        <x:v>32</x:v>
      </x:c>
      <x:c r="L722" s="10" t="n">
        <x:f>G722*I722</x:f>
        <x:v>79.95</x:v>
      </x:c>
      <x:c r="M722" s="10" t="n">
        <x:f>ROUND((L722-J722)*H722/G722,2)</x:f>
        <x:v>0</x:v>
      </x:c>
      <x:c r="N722" s="10" t="n">
        <x:f>L722-J722-M722</x:f>
        <x:v>71.96000000000001</x:v>
      </x:c>
      <x:c r="O722" s="10" t="n">
        <x:f>(G722-H722)*K722</x:f>
        <x:v>32</x:v>
      </x:c>
      <x:c r="P722" s="10" t="n">
        <x:f>N722-O722</x:f>
        <x:v>39.96000000000001</x:v>
      </x:c>
      <x:c r="Q722" s="9" t="n">
        <x:f>A722-WEEKDAY(A722,2)+1</x:f>
        <x:v>46286</x:v>
      </x:c>
      <x:c r="R722" s="2" t="str">
        <x:f>IF(AND(A722&gt;='Review'!$B$4,A722&lt;='Review'!$D$4),"Selected","Outside")</x:f>
        <x:v>Outside</x:v>
      </x:c>
    </x:row>
    <x:row r="723" ht="20" customHeight="1">
      <x:c r="A723" s="9" t="n">
        <x:v>46291</x:v>
      </x:c>
      <x:c r="B723" s="2" t="str">
        <x:v>MM-1517</x:v>
      </x:c>
      <x:c r="C723" s="2" t="str">
        <x:v>Email</x:v>
      </x:c>
      <x:c r="D723" s="2" t="str">
        <x:v>KEY-001</x:v>
      </x:c>
      <x:c r="E723" s="2" t="str">
        <x:f>_xlfn.IFNA(VLOOKUP(D723,'Products'!$A$7:$I$22,2,FALSE),"Unmapped")</x:f>
        <x:v>Maple keyring</x:v>
      </x:c>
      <x:c r="F723" s="2" t="str">
        <x:f>_xlfn.IFNA(VLOOKUP(D723,'Products'!$A$7:$I$22,3,FALSE),"Unmapped")</x:f>
        <x:v>Accessories</x:v>
      </x:c>
      <x:c r="G723" s="2" t="n">
        <x:v>2</x:v>
      </x:c>
      <x:c r="H723" s="2" t="n">
        <x:v>0</x:v>
      </x:c>
      <x:c r="I723" s="10" t="n">
        <x:v>12.95</x:v>
      </x:c>
      <x:c r="J723" s="10" t="n">
        <x:v>2.59</x:v>
      </x:c>
      <x:c r="K723" s="10" t="n">
        <x:v>3.5</x:v>
      </x:c>
      <x:c r="L723" s="10" t="n">
        <x:f>G723*I723</x:f>
        <x:v>25.9</x:v>
      </x:c>
      <x:c r="M723" s="10" t="n">
        <x:f>ROUND((L723-J723)*H723/G723,2)</x:f>
        <x:v>0</x:v>
      </x:c>
      <x:c r="N723" s="10" t="n">
        <x:f>L723-J723-M723</x:f>
        <x:v>23.31</x:v>
      </x:c>
      <x:c r="O723" s="10" t="n">
        <x:f>(G723-H723)*K723</x:f>
        <x:v>7</x:v>
      </x:c>
      <x:c r="P723" s="10" t="n">
        <x:f>N723-O723</x:f>
        <x:v>16.31</x:v>
      </x:c>
      <x:c r="Q723" s="9" t="n">
        <x:f>A723-WEEKDAY(A723,2)+1</x:f>
        <x:v>46286</x:v>
      </x:c>
      <x:c r="R723" s="2" t="str">
        <x:f>IF(AND(A723&gt;='Review'!$B$4,A723&lt;='Review'!$D$4),"Selected","Outside")</x:f>
        <x:v>Outside</x:v>
      </x:c>
    </x:row>
    <x:row r="724" ht="20" customHeight="1">
      <x:c r="A724" s="9" t="n">
        <x:v>46291</x:v>
      </x:c>
      <x:c r="B724" s="2" t="str">
        <x:v>MM-1520</x:v>
      </x:c>
      <x:c r="C724" s="2" t="str">
        <x:v>Organic Search</x:v>
      </x:c>
      <x:c r="D724" s="2" t="str">
        <x:v>PIN-001</x:v>
      </x:c>
      <x:c r="E724" s="2" t="str">
        <x:f>_xlfn.IFNA(VLOOKUP(D724,'Products'!$A$7:$I$22,2,FALSE),"Unmapped")</x:f>
        <x:v>Coffee enamel pin</x:v>
      </x:c>
      <x:c r="F724" s="2" t="str">
        <x:f>_xlfn.IFNA(VLOOKUP(D724,'Products'!$A$7:$I$22,3,FALSE),"Unmapped")</x:f>
        <x:v>Accessories</x:v>
      </x:c>
      <x:c r="G724" s="2" t="n">
        <x:v>1</x:v>
      </x:c>
      <x:c r="H724" s="2" t="n">
        <x:v>0</x:v>
      </x:c>
      <x:c r="I724" s="10" t="n">
        <x:v>9.95</x:v>
      </x:c>
      <x:c r="J724" s="10" t="n">
        <x:v>0.99</x:v>
      </x:c>
      <x:c r="K724" s="10" t="n">
        <x:v>2.5</x:v>
      </x:c>
      <x:c r="L724" s="10" t="n">
        <x:f>G724*I724</x:f>
        <x:v>9.95</x:v>
      </x:c>
      <x:c r="M724" s="10" t="n">
        <x:f>ROUND((L724-J724)*H724/G724,2)</x:f>
        <x:v>0</x:v>
      </x:c>
      <x:c r="N724" s="10" t="n">
        <x:f>L724-J724-M724</x:f>
        <x:v>8.959999999999999</x:v>
      </x:c>
      <x:c r="O724" s="10" t="n">
        <x:f>(G724-H724)*K724</x:f>
        <x:v>2.5</x:v>
      </x:c>
      <x:c r="P724" s="10" t="n">
        <x:f>N724-O724</x:f>
        <x:v>6.459999999999999</x:v>
      </x:c>
      <x:c r="Q724" s="9" t="n">
        <x:f>A724-WEEKDAY(A724,2)+1</x:f>
        <x:v>46286</x:v>
      </x:c>
      <x:c r="R724" s="2" t="str">
        <x:f>IF(AND(A724&gt;='Review'!$B$4,A724&lt;='Review'!$D$4),"Selected","Outside")</x:f>
        <x:v>Outside</x:v>
      </x:c>
    </x:row>
    <x:row r="725" ht="20" customHeight="1">
      <x:c r="A725" s="9" t="n">
        <x:v>46291</x:v>
      </x:c>
      <x:c r="B725" s="2" t="str">
        <x:v>MM-1520</x:v>
      </x:c>
      <x:c r="C725" s="2" t="str">
        <x:v>Organic Search</x:v>
      </x:c>
      <x:c r="D725" s="2" t="str">
        <x:v>HAT-001</x:v>
      </x:c>
      <x:c r="E725" s="2" t="str">
        <x:f>_xlfn.IFNA(VLOOKUP(D725,'Products'!$A$7:$I$22,2,FALSE),"Unmapped")</x:f>
        <x:v>Classic canvas cap</x:v>
      </x:c>
      <x:c r="F725" s="2" t="str">
        <x:f>_xlfn.IFNA(VLOOKUP(D725,'Products'!$A$7:$I$22,3,FALSE),"Unmapped")</x:f>
        <x:v>Accessories</x:v>
      </x:c>
      <x:c r="G725" s="2" t="n">
        <x:v>1</x:v>
      </x:c>
      <x:c r="H725" s="2" t="n">
        <x:v>1</x:v>
      </x:c>
      <x:c r="I725" s="10" t="n">
        <x:v>24.95</x:v>
      </x:c>
      <x:c r="J725" s="10" t="n">
        <x:v>2.49</x:v>
      </x:c>
      <x:c r="K725" s="10" t="n">
        <x:v>8.5</x:v>
      </x:c>
      <x:c r="L725" s="10" t="n">
        <x:f>G725*I725</x:f>
        <x:v>24.95</x:v>
      </x:c>
      <x:c r="M725" s="10" t="n">
        <x:f>ROUND((L725-J725)*H725/G725,2)</x:f>
        <x:v>22.46</x:v>
      </x:c>
      <x:c r="N725" s="10" t="n">
        <x:f>L725-J725-M725</x:f>
        <x:v>0</x:v>
      </x:c>
      <x:c r="O725" s="10" t="n">
        <x:f>(G725-H725)*K725</x:f>
        <x:v>0</x:v>
      </x:c>
      <x:c r="P725" s="10" t="n">
        <x:f>N725-O725</x:f>
        <x:v>0</x:v>
      </x:c>
      <x:c r="Q725" s="9" t="n">
        <x:f>A725-WEEKDAY(A725,2)+1</x:f>
        <x:v>46286</x:v>
      </x:c>
      <x:c r="R725" s="2" t="str">
        <x:f>IF(AND(A725&gt;='Review'!$B$4,A725&lt;='Review'!$D$4),"Selected","Outside")</x:f>
        <x:v>Outside</x:v>
      </x:c>
    </x:row>
    <x:row r="726" ht="20" customHeight="1">
      <x:c r="A726" s="9" t="n">
        <x:v>46291</x:v>
      </x:c>
      <x:c r="B726" s="2" t="str">
        <x:v>MM-1523</x:v>
      </x:c>
      <x:c r="C726" s="2" t="str">
        <x:v>Paid Social</x:v>
      </x:c>
      <x:c r="D726" s="2" t="str">
        <x:v>APP-003</x:v>
      </x:c>
      <x:c r="E726" s="2" t="str">
        <x:f>_xlfn.IFNA(VLOOKUP(D726,'Products'!$A$7:$I$22,2,FALSE),"Unmapped")</x:f>
        <x:v>Coffee club tee</x:v>
      </x:c>
      <x:c r="F726" s="2" t="str">
        <x:f>_xlfn.IFNA(VLOOKUP(D726,'Products'!$A$7:$I$22,3,FALSE),"Unmapped")</x:f>
        <x:v>Apparel</x:v>
      </x:c>
      <x:c r="G726" s="2" t="n">
        <x:v>1</x:v>
      </x:c>
      <x:c r="H726" s="2" t="n">
        <x:v>0</x:v>
      </x:c>
      <x:c r="I726" s="10" t="n">
        <x:v>29.95</x:v>
      </x:c>
      <x:c r="J726" s="10" t="n">
        <x:v>0</x:v>
      </x:c>
      <x:c r="K726" s="10" t="n">
        <x:v>10</x:v>
      </x:c>
      <x:c r="L726" s="10" t="n">
        <x:f>G726*I726</x:f>
        <x:v>29.95</x:v>
      </x:c>
      <x:c r="M726" s="10" t="n">
        <x:f>ROUND((L726-J726)*H726/G726,2)</x:f>
        <x:v>0</x:v>
      </x:c>
      <x:c r="N726" s="10" t="n">
        <x:f>L726-J726-M726</x:f>
        <x:v>29.95</x:v>
      </x:c>
      <x:c r="O726" s="10" t="n">
        <x:f>(G726-H726)*K726</x:f>
        <x:v>10</x:v>
      </x:c>
      <x:c r="P726" s="10" t="n">
        <x:f>N726-O726</x:f>
        <x:v>19.95</x:v>
      </x:c>
      <x:c r="Q726" s="9" t="n">
        <x:f>A726-WEEKDAY(A726,2)+1</x:f>
        <x:v>46286</x:v>
      </x:c>
      <x:c r="R726" s="2" t="str">
        <x:f>IF(AND(A726&gt;='Review'!$B$4,A726&lt;='Review'!$D$4),"Selected","Outside")</x:f>
        <x:v>Outside</x:v>
      </x:c>
    </x:row>
    <x:row r="727" ht="20" customHeight="1">
      <x:c r="A727" s="9" t="n">
        <x:v>46291</x:v>
      </x:c>
      <x:c r="B727" s="2" t="str">
        <x:v>MM-1523</x:v>
      </x:c>
      <x:c r="C727" s="2" t="str">
        <x:v>Paid Social</x:v>
      </x:c>
      <x:c r="D727" s="2" t="str">
        <x:v>APP-002</x:v>
      </x:c>
      <x:c r="E727" s="2" t="str">
        <x:f>_xlfn.IFNA(VLOOKUP(D727,'Products'!$A$7:$I$22,2,FALSE),"Unmapped")</x:f>
        <x:v>Weekend hoodie</x:v>
      </x:c>
      <x:c r="F727" s="2" t="str">
        <x:f>_xlfn.IFNA(VLOOKUP(D727,'Products'!$A$7:$I$22,3,FALSE),"Unmapped")</x:f>
        <x:v>Apparel</x:v>
      </x:c>
      <x:c r="G727" s="2" t="n">
        <x:v>1</x:v>
      </x:c>
      <x:c r="H727" s="2" t="n">
        <x:v>0</x:v>
      </x:c>
      <x:c r="I727" s="10" t="n">
        <x:v>69.95</x:v>
      </x:c>
      <x:c r="J727" s="10" t="n">
        <x:v>0</x:v>
      </x:c>
      <x:c r="K727" s="10" t="n">
        <x:v>28</x:v>
      </x:c>
      <x:c r="L727" s="10" t="n">
        <x:f>G727*I727</x:f>
        <x:v>69.95</x:v>
      </x:c>
      <x:c r="M727" s="10" t="n">
        <x:f>ROUND((L727-J727)*H727/G727,2)</x:f>
        <x:v>0</x:v>
      </x:c>
      <x:c r="N727" s="10" t="n">
        <x:f>L727-J727-M727</x:f>
        <x:v>69.95</x:v>
      </x:c>
      <x:c r="O727" s="10" t="n">
        <x:f>(G727-H727)*K727</x:f>
        <x:v>28</x:v>
      </x:c>
      <x:c r="P727" s="10" t="n">
        <x:f>N727-O727</x:f>
        <x:v>41.95</x:v>
      </x:c>
      <x:c r="Q727" s="9" t="n">
        <x:f>A727-WEEKDAY(A727,2)+1</x:f>
        <x:v>46286</x:v>
      </x:c>
      <x:c r="R727" s="2" t="str">
        <x:f>IF(AND(A727&gt;='Review'!$B$4,A727&lt;='Review'!$D$4),"Selected","Outside")</x:f>
        <x:v>Outside</x:v>
      </x:c>
    </x:row>
    <x:row r="728" ht="20" customHeight="1">
      <x:c r="A728" s="9" t="n">
        <x:v>46291</x:v>
      </x:c>
      <x:c r="B728" s="2" t="str">
        <x:v>MM-1523</x:v>
      </x:c>
      <x:c r="C728" s="2" t="str">
        <x:v>Paid Social</x:v>
      </x:c>
      <x:c r="D728" s="2" t="str">
        <x:v>TUM-001</x:v>
      </x:c>
      <x:c r="E728" s="2" t="str">
        <x:f>_xlfn.IFNA(VLOOKUP(D728,'Products'!$A$7:$I$22,2,FALSE),"Unmapped")</x:f>
        <x:v>Maple travel tumbler</x:v>
      </x:c>
      <x:c r="F728" s="2" t="str">
        <x:f>_xlfn.IFNA(VLOOKUP(D728,'Products'!$A$7:$I$22,3,FALSE),"Unmapped")</x:f>
        <x:v>Drinkware</x:v>
      </x:c>
      <x:c r="G728" s="2" t="n">
        <x:v>3</x:v>
      </x:c>
      <x:c r="H728" s="2" t="n">
        <x:v>0</x:v>
      </x:c>
      <x:c r="I728" s="10" t="n">
        <x:v>32.95</x:v>
      </x:c>
      <x:c r="J728" s="10" t="n">
        <x:v>0</x:v>
      </x:c>
      <x:c r="K728" s="10" t="n">
        <x:v>12</x:v>
      </x:c>
      <x:c r="L728" s="10" t="n">
        <x:f>G728*I728</x:f>
        <x:v>98.85000000000001</x:v>
      </x:c>
      <x:c r="M728" s="10" t="n">
        <x:f>ROUND((L728-J728)*H728/G728,2)</x:f>
        <x:v>0</x:v>
      </x:c>
      <x:c r="N728" s="10" t="n">
        <x:f>L728-J728-M728</x:f>
        <x:v>98.85000000000001</x:v>
      </x:c>
      <x:c r="O728" s="10" t="n">
        <x:f>(G728-H728)*K728</x:f>
        <x:v>36</x:v>
      </x:c>
      <x:c r="P728" s="10" t="n">
        <x:f>N728-O728</x:f>
        <x:v>62.85000000000001</x:v>
      </x:c>
      <x:c r="Q728" s="9" t="n">
        <x:f>A728-WEEKDAY(A728,2)+1</x:f>
        <x:v>46286</x:v>
      </x:c>
      <x:c r="R728" s="2" t="str">
        <x:f>IF(AND(A728&gt;='Review'!$B$4,A728&lt;='Review'!$D$4),"Selected","Outside")</x:f>
        <x:v>Outside</x:v>
      </x:c>
    </x:row>
    <x:row r="729" ht="20" customHeight="1">
      <x:c r="A729" s="9" t="n">
        <x:v>46291</x:v>
      </x:c>
      <x:c r="B729" s="2" t="str">
        <x:v>MM-1527</x:v>
      </x:c>
      <x:c r="C729" s="2" t="str">
        <x:v>Email</x:v>
      </x:c>
      <x:c r="D729" s="2" t="str">
        <x:v>TOTE-001</x:v>
      </x:c>
      <x:c r="E729" s="2" t="str">
        <x:f>_xlfn.IFNA(VLOOKUP(D729,'Products'!$A$7:$I$22,2,FALSE),"Unmapped")</x:f>
        <x:v>Market canvas tote</x:v>
      </x:c>
      <x:c r="F729" s="2" t="str">
        <x:f>_xlfn.IFNA(VLOOKUP(D729,'Products'!$A$7:$I$22,3,FALSE),"Unmapped")</x:f>
        <x:v>Accessories</x:v>
      </x:c>
      <x:c r="G729" s="2" t="n">
        <x:v>1</x:v>
      </x:c>
      <x:c r="H729" s="2" t="n">
        <x:v>0</x:v>
      </x:c>
      <x:c r="I729" s="10" t="n">
        <x:v>19.95</x:v>
      </x:c>
      <x:c r="J729" s="10" t="n">
        <x:v>1.99</x:v>
      </x:c>
      <x:c r="K729" s="10" t="n">
        <x:v>6</x:v>
      </x:c>
      <x:c r="L729" s="10" t="n">
        <x:f>G729*I729</x:f>
        <x:v>19.95</x:v>
      </x:c>
      <x:c r="M729" s="10" t="n">
        <x:f>ROUND((L729-J729)*H729/G729,2)</x:f>
        <x:v>0</x:v>
      </x:c>
      <x:c r="N729" s="10" t="n">
        <x:f>L729-J729-M729</x:f>
        <x:v>17.96</x:v>
      </x:c>
      <x:c r="O729" s="10" t="n">
        <x:f>(G729-H729)*K729</x:f>
        <x:v>6</x:v>
      </x:c>
      <x:c r="P729" s="10" t="n">
        <x:f>N729-O729</x:f>
        <x:v>11.96</x:v>
      </x:c>
      <x:c r="Q729" s="9" t="n">
        <x:f>A729-WEEKDAY(A729,2)+1</x:f>
        <x:v>46286</x:v>
      </x:c>
      <x:c r="R729" s="2" t="str">
        <x:f>IF(AND(A729&gt;='Review'!$B$4,A729&lt;='Review'!$D$4),"Selected","Outside")</x:f>
        <x:v>Outside</x:v>
      </x:c>
    </x:row>
    <x:row r="730" ht="20" customHeight="1">
      <x:c r="A730" s="9" t="n">
        <x:v>46291</x:v>
      </x:c>
      <x:c r="B730" s="2" t="str">
        <x:v>MM-1528</x:v>
      </x:c>
      <x:c r="C730" s="2" t="str">
        <x:v>Organic Search</x:v>
      </x:c>
      <x:c r="D730" s="2" t="str">
        <x:v>APP-003</x:v>
      </x:c>
      <x:c r="E730" s="2" t="str">
        <x:f>_xlfn.IFNA(VLOOKUP(D730,'Products'!$A$7:$I$22,2,FALSE),"Unmapped")</x:f>
        <x:v>Coffee club tee</x:v>
      </x:c>
      <x:c r="F730" s="2" t="str">
        <x:f>_xlfn.IFNA(VLOOKUP(D730,'Products'!$A$7:$I$22,3,FALSE),"Unmapped")</x:f>
        <x:v>Apparel</x:v>
      </x:c>
      <x:c r="G730" s="2" t="n">
        <x:v>3</x:v>
      </x:c>
      <x:c r="H730" s="2" t="n">
        <x:v>0</x:v>
      </x:c>
      <x:c r="I730" s="10" t="n">
        <x:v>29.95</x:v>
      </x:c>
      <x:c r="J730" s="10" t="n">
        <x:v>0</x:v>
      </x:c>
      <x:c r="K730" s="10" t="n">
        <x:v>10</x:v>
      </x:c>
      <x:c r="L730" s="10" t="n">
        <x:f>G730*I730</x:f>
        <x:v>89.85</x:v>
      </x:c>
      <x:c r="M730" s="10" t="n">
        <x:f>ROUND((L730-J730)*H730/G730,2)</x:f>
        <x:v>0</x:v>
      </x:c>
      <x:c r="N730" s="10" t="n">
        <x:f>L730-J730-M730</x:f>
        <x:v>89.85</x:v>
      </x:c>
      <x:c r="O730" s="10" t="n">
        <x:f>(G730-H730)*K730</x:f>
        <x:v>30</x:v>
      </x:c>
      <x:c r="P730" s="10" t="n">
        <x:f>N730-O730</x:f>
        <x:v>59.849999999999994</x:v>
      </x:c>
      <x:c r="Q730" s="9" t="n">
        <x:f>A730-WEEKDAY(A730,2)+1</x:f>
        <x:v>46286</x:v>
      </x:c>
      <x:c r="R730" s="2" t="str">
        <x:f>IF(AND(A730&gt;='Review'!$B$4,A730&lt;='Review'!$D$4),"Selected","Outside")</x:f>
        <x:v>Outside</x:v>
      </x:c>
    </x:row>
    <x:row r="731" ht="20" customHeight="1">
      <x:c r="A731" s="9" t="n">
        <x:v>46291</x:v>
      </x:c>
      <x:c r="B731" s="2" t="str">
        <x:v>MM-1518</x:v>
      </x:c>
      <x:c r="C731" s="2" t="str">
        <x:v>Organic Search</x:v>
      </x:c>
      <x:c r="D731" s="2" t="str">
        <x:v>PIN-001</x:v>
      </x:c>
      <x:c r="E731" s="2" t="str">
        <x:f>_xlfn.IFNA(VLOOKUP(D731,'Products'!$A$7:$I$22,2,FALSE),"Unmapped")</x:f>
        <x:v>Coffee enamel pin</x:v>
      </x:c>
      <x:c r="F731" s="2" t="str">
        <x:f>_xlfn.IFNA(VLOOKUP(D731,'Products'!$A$7:$I$22,3,FALSE),"Unmapped")</x:f>
        <x:v>Accessories</x:v>
      </x:c>
      <x:c r="G731" s="2" t="n">
        <x:v>3</x:v>
      </x:c>
      <x:c r="H731" s="2" t="n">
        <x:v>0</x:v>
      </x:c>
      <x:c r="I731" s="10" t="n">
        <x:v>9.95</x:v>
      </x:c>
      <x:c r="J731" s="10" t="n">
        <x:v>0</x:v>
      </x:c>
      <x:c r="K731" s="10" t="n">
        <x:v>2.5</x:v>
      </x:c>
      <x:c r="L731" s="10" t="n">
        <x:f>G731*I731</x:f>
        <x:v>29.849999999999998</x:v>
      </x:c>
      <x:c r="M731" s="10" t="n">
        <x:f>ROUND((L731-J731)*H731/G731,2)</x:f>
        <x:v>0</x:v>
      </x:c>
      <x:c r="N731" s="10" t="n">
        <x:f>L731-J731-M731</x:f>
        <x:v>29.849999999999998</x:v>
      </x:c>
      <x:c r="O731" s="10" t="n">
        <x:f>(G731-H731)*K731</x:f>
        <x:v>7.5</x:v>
      </x:c>
      <x:c r="P731" s="10" t="n">
        <x:f>N731-O731</x:f>
        <x:v>22.349999999999998</x:v>
      </x:c>
      <x:c r="Q731" s="9" t="n">
        <x:f>A731-WEEKDAY(A731,2)+1</x:f>
        <x:v>46286</x:v>
      </x:c>
      <x:c r="R731" s="2" t="str">
        <x:f>IF(AND(A731&gt;='Review'!$B$4,A731&lt;='Review'!$D$4),"Selected","Outside")</x:f>
        <x:v>Outside</x:v>
      </x:c>
    </x:row>
    <x:row r="732" ht="20" customHeight="1">
      <x:c r="A732" s="9" t="n">
        <x:v>46291</x:v>
      </x:c>
      <x:c r="B732" s="2" t="str">
        <x:v>MM-1518</x:v>
      </x:c>
      <x:c r="C732" s="2" t="str">
        <x:v>Organic Search</x:v>
      </x:c>
      <x:c r="D732" s="2" t="str">
        <x:v>APP-002</x:v>
      </x:c>
      <x:c r="E732" s="2" t="str">
        <x:f>_xlfn.IFNA(VLOOKUP(D732,'Products'!$A$7:$I$22,2,FALSE),"Unmapped")</x:f>
        <x:v>Weekend hoodie</x:v>
      </x:c>
      <x:c r="F732" s="2" t="str">
        <x:f>_xlfn.IFNA(VLOOKUP(D732,'Products'!$A$7:$I$22,3,FALSE),"Unmapped")</x:f>
        <x:v>Apparel</x:v>
      </x:c>
      <x:c r="G732" s="2" t="n">
        <x:v>1</x:v>
      </x:c>
      <x:c r="H732" s="2" t="n">
        <x:v>0</x:v>
      </x:c>
      <x:c r="I732" s="10" t="n">
        <x:v>69.95</x:v>
      </x:c>
      <x:c r="J732" s="10" t="n">
        <x:v>0</x:v>
      </x:c>
      <x:c r="K732" s="10" t="n">
        <x:v>28</x:v>
      </x:c>
      <x:c r="L732" s="10" t="n">
        <x:f>G732*I732</x:f>
        <x:v>69.95</x:v>
      </x:c>
      <x:c r="M732" s="10" t="n">
        <x:f>ROUND((L732-J732)*H732/G732,2)</x:f>
        <x:v>0</x:v>
      </x:c>
      <x:c r="N732" s="10" t="n">
        <x:f>L732-J732-M732</x:f>
        <x:v>69.95</x:v>
      </x:c>
      <x:c r="O732" s="10" t="n">
        <x:f>(G732-H732)*K732</x:f>
        <x:v>28</x:v>
      </x:c>
      <x:c r="P732" s="10" t="n">
        <x:f>N732-O732</x:f>
        <x:v>41.95</x:v>
      </x:c>
      <x:c r="Q732" s="9" t="n">
        <x:f>A732-WEEKDAY(A732,2)+1</x:f>
        <x:v>46286</x:v>
      </x:c>
      <x:c r="R732" s="2" t="str">
        <x:f>IF(AND(A732&gt;='Review'!$B$4,A732&lt;='Review'!$D$4),"Selected","Outside")</x:f>
        <x:v>Outside</x:v>
      </x:c>
    </x:row>
    <x:row r="733" ht="20" customHeight="1">
      <x:c r="A733" s="9" t="n">
        <x:v>46291</x:v>
      </x:c>
      <x:c r="B733" s="2" t="str">
        <x:v>MM-1518</x:v>
      </x:c>
      <x:c r="C733" s="2" t="str">
        <x:v>Organic Search</x:v>
      </x:c>
      <x:c r="D733" s="2" t="str">
        <x:v>TOTE-001</x:v>
      </x:c>
      <x:c r="E733" s="2" t="str">
        <x:f>_xlfn.IFNA(VLOOKUP(D733,'Products'!$A$7:$I$22,2,FALSE),"Unmapped")</x:f>
        <x:v>Market canvas tote</x:v>
      </x:c>
      <x:c r="F733" s="2" t="str">
        <x:f>_xlfn.IFNA(VLOOKUP(D733,'Products'!$A$7:$I$22,3,FALSE),"Unmapped")</x:f>
        <x:v>Accessories</x:v>
      </x:c>
      <x:c r="G733" s="2" t="n">
        <x:v>3</x:v>
      </x:c>
      <x:c r="H733" s="2" t="n">
        <x:v>0</x:v>
      </x:c>
      <x:c r="I733" s="10" t="n">
        <x:v>19.95</x:v>
      </x:c>
      <x:c r="J733" s="10" t="n">
        <x:v>0</x:v>
      </x:c>
      <x:c r="K733" s="10" t="n">
        <x:v>6</x:v>
      </x:c>
      <x:c r="L733" s="10" t="n">
        <x:f>G733*I733</x:f>
        <x:v>59.849999999999994</x:v>
      </x:c>
      <x:c r="M733" s="10" t="n">
        <x:f>ROUND((L733-J733)*H733/G733,2)</x:f>
        <x:v>0</x:v>
      </x:c>
      <x:c r="N733" s="10" t="n">
        <x:f>L733-J733-M733</x:f>
        <x:v>59.849999999999994</x:v>
      </x:c>
      <x:c r="O733" s="10" t="n">
        <x:f>(G733-H733)*K733</x:f>
        <x:v>18</x:v>
      </x:c>
      <x:c r="P733" s="10" t="n">
        <x:f>N733-O733</x:f>
        <x:v>41.849999999999994</x:v>
      </x:c>
      <x:c r="Q733" s="9" t="n">
        <x:f>A733-WEEKDAY(A733,2)+1</x:f>
        <x:v>46286</x:v>
      </x:c>
      <x:c r="R733" s="2" t="str">
        <x:f>IF(AND(A733&gt;='Review'!$B$4,A733&lt;='Review'!$D$4),"Selected","Outside")</x:f>
        <x:v>Outside</x:v>
      </x:c>
    </x:row>
    <x:row r="734" ht="20" customHeight="1">
      <x:c r="A734" s="9" t="n">
        <x:v>46291</x:v>
      </x:c>
      <x:c r="B734" s="2" t="str">
        <x:v>MM-1522</x:v>
      </x:c>
      <x:c r="C734" s="2" t="str">
        <x:v>Organic Search</x:v>
      </x:c>
      <x:c r="D734" s="2" t="str">
        <x:v>TUM-002</x:v>
      </x:c>
      <x:c r="E734" s="2" t="str">
        <x:f>_xlfn.IFNA(VLOOKUP(D734,'Products'!$A$7:$I$22,2,FALSE),"Unmapped")</x:f>
        <x:v>Cold brew glass cup</x:v>
      </x:c>
      <x:c r="F734" s="2" t="str">
        <x:f>_xlfn.IFNA(VLOOKUP(D734,'Products'!$A$7:$I$22,3,FALSE),"Unmapped")</x:f>
        <x:v>Drinkware</x:v>
      </x:c>
      <x:c r="G734" s="2" t="n">
        <x:v>1</x:v>
      </x:c>
      <x:c r="H734" s="2" t="n">
        <x:v>0</x:v>
      </x:c>
      <x:c r="I734" s="10" t="n">
        <x:v>24.95</x:v>
      </x:c>
      <x:c r="J734" s="10" t="n">
        <x:v>0</x:v>
      </x:c>
      <x:c r="K734" s="10" t="n">
        <x:v>9</x:v>
      </x:c>
      <x:c r="L734" s="10" t="n">
        <x:f>G734*I734</x:f>
        <x:v>24.95</x:v>
      </x:c>
      <x:c r="M734" s="10" t="n">
        <x:f>ROUND((L734-J734)*H734/G734,2)</x:f>
        <x:v>0</x:v>
      </x:c>
      <x:c r="N734" s="10" t="n">
        <x:f>L734-J734-M734</x:f>
        <x:v>24.95</x:v>
      </x:c>
      <x:c r="O734" s="10" t="n">
        <x:f>(G734-H734)*K734</x:f>
        <x:v>9</x:v>
      </x:c>
      <x:c r="P734" s="10" t="n">
        <x:f>N734-O734</x:f>
        <x:v>15.95</x:v>
      </x:c>
      <x:c r="Q734" s="9" t="n">
        <x:f>A734-WEEKDAY(A734,2)+1</x:f>
        <x:v>46286</x:v>
      </x:c>
      <x:c r="R734" s="2" t="str">
        <x:f>IF(AND(A734&gt;='Review'!$B$4,A734&lt;='Review'!$D$4),"Selected","Outside")</x:f>
        <x:v>Outside</x:v>
      </x:c>
    </x:row>
    <x:row r="735" ht="20" customHeight="1">
      <x:c r="A735" s="9" t="n">
        <x:v>46291</x:v>
      </x:c>
      <x:c r="B735" s="2" t="str">
        <x:v>MM-1522</x:v>
      </x:c>
      <x:c r="C735" s="2" t="str">
        <x:v>Organic Search</x:v>
      </x:c>
      <x:c r="D735" s="2" t="str">
        <x:v>MUG-001</x:v>
      </x:c>
      <x:c r="E735" s="2" t="str">
        <x:f>_xlfn.IFNA(VLOOKUP(D735,'Products'!$A$7:$I$22,2,FALSE),"Unmapped")</x:f>
        <x:v>Everyday ceramic mug</x:v>
      </x:c>
      <x:c r="F735" s="2" t="str">
        <x:f>_xlfn.IFNA(VLOOKUP(D735,'Products'!$A$7:$I$22,3,FALSE),"Unmapped")</x:f>
        <x:v>Drinkware</x:v>
      </x:c>
      <x:c r="G735" s="2" t="n">
        <x:v>1</x:v>
      </x:c>
      <x:c r="H735" s="2" t="n">
        <x:v>0</x:v>
      </x:c>
      <x:c r="I735" s="10" t="n">
        <x:v>18.95</x:v>
      </x:c>
      <x:c r="J735" s="10" t="n">
        <x:v>0</x:v>
      </x:c>
      <x:c r="K735" s="10" t="n">
        <x:v>6.5</x:v>
      </x:c>
      <x:c r="L735" s="10" t="n">
        <x:f>G735*I735</x:f>
        <x:v>18.95</x:v>
      </x:c>
      <x:c r="M735" s="10" t="n">
        <x:f>ROUND((L735-J735)*H735/G735,2)</x:f>
        <x:v>0</x:v>
      </x:c>
      <x:c r="N735" s="10" t="n">
        <x:f>L735-J735-M735</x:f>
        <x:v>18.95</x:v>
      </x:c>
      <x:c r="O735" s="10" t="n">
        <x:f>(G735-H735)*K735</x:f>
        <x:v>6.5</x:v>
      </x:c>
      <x:c r="P735" s="10" t="n">
        <x:f>N735-O735</x:f>
        <x:v>12.45</x:v>
      </x:c>
      <x:c r="Q735" s="9" t="n">
        <x:f>A735-WEEKDAY(A735,2)+1</x:f>
        <x:v>46286</x:v>
      </x:c>
      <x:c r="R735" s="2" t="str">
        <x:f>IF(AND(A735&gt;='Review'!$B$4,A735&lt;='Review'!$D$4),"Selected","Outside")</x:f>
        <x:v>Outside</x:v>
      </x:c>
    </x:row>
    <x:row r="736" ht="20" customHeight="1">
      <x:c r="A736" s="9" t="n">
        <x:v>46291</x:v>
      </x:c>
      <x:c r="B736" s="2" t="str">
        <x:v>MM-1530</x:v>
      </x:c>
      <x:c r="C736" s="2" t="str">
        <x:v>Organic Search</x:v>
      </x:c>
      <x:c r="D736" s="2" t="str">
        <x:v>HAT-001</x:v>
      </x:c>
      <x:c r="E736" s="2" t="str">
        <x:f>_xlfn.IFNA(VLOOKUP(D736,'Products'!$A$7:$I$22,2,FALSE),"Unmapped")</x:f>
        <x:v>Classic canvas cap</x:v>
      </x:c>
      <x:c r="F736" s="2" t="str">
        <x:f>_xlfn.IFNA(VLOOKUP(D736,'Products'!$A$7:$I$22,3,FALSE),"Unmapped")</x:f>
        <x:v>Accessories</x:v>
      </x:c>
      <x:c r="G736" s="2" t="n">
        <x:v>1</x:v>
      </x:c>
      <x:c r="H736" s="2" t="n">
        <x:v>1</x:v>
      </x:c>
      <x:c r="I736" s="10" t="n">
        <x:v>24.95</x:v>
      </x:c>
      <x:c r="J736" s="10" t="n">
        <x:v>0</x:v>
      </x:c>
      <x:c r="K736" s="10" t="n">
        <x:v>8.5</x:v>
      </x:c>
      <x:c r="L736" s="10" t="n">
        <x:f>G736*I736</x:f>
        <x:v>24.95</x:v>
      </x:c>
      <x:c r="M736" s="10" t="n">
        <x:f>ROUND((L736-J736)*H736/G736,2)</x:f>
        <x:v>24.95</x:v>
      </x:c>
      <x:c r="N736" s="10" t="n">
        <x:f>L736-J736-M736</x:f>
        <x:v>0</x:v>
      </x:c>
      <x:c r="O736" s="10" t="n">
        <x:f>(G736-H736)*K736</x:f>
        <x:v>0</x:v>
      </x:c>
      <x:c r="P736" s="10" t="n">
        <x:f>N736-O736</x:f>
        <x:v>0</x:v>
      </x:c>
      <x:c r="Q736" s="9" t="n">
        <x:f>A736-WEEKDAY(A736,2)+1</x:f>
        <x:v>46286</x:v>
      </x:c>
      <x:c r="R736" s="2" t="str">
        <x:f>IF(AND(A736&gt;='Review'!$B$4,A736&lt;='Review'!$D$4),"Selected","Outside")</x:f>
        <x:v>Outside</x:v>
      </x:c>
    </x:row>
    <x:row r="737" ht="20" customHeight="1">
      <x:c r="A737" s="9" t="n">
        <x:v>46291</x:v>
      </x:c>
      <x:c r="B737" s="2" t="str">
        <x:v>MM-1530</x:v>
      </x:c>
      <x:c r="C737" s="2" t="str">
        <x:v>Organic Search</x:v>
      </x:c>
      <x:c r="D737" s="2" t="str">
        <x:v>MUG-002</x:v>
      </x:c>
      <x:c r="E737" s="2" t="str">
        <x:f>_xlfn.IFNA(VLOOKUP(D737,'Products'!$A$7:$I$22,2,FALSE),"Unmapped")</x:f>
        <x:v>Campfire enamel mug</x:v>
      </x:c>
      <x:c r="F737" s="2" t="str">
        <x:f>_xlfn.IFNA(VLOOKUP(D737,'Products'!$A$7:$I$22,3,FALSE),"Unmapped")</x:f>
        <x:v>Drinkware</x:v>
      </x:c>
      <x:c r="G737" s="2" t="n">
        <x:v>1</x:v>
      </x:c>
      <x:c r="H737" s="2" t="n">
        <x:v>0</x:v>
      </x:c>
      <x:c r="I737" s="10" t="n">
        <x:v>22.95</x:v>
      </x:c>
      <x:c r="J737" s="10" t="n">
        <x:v>0</x:v>
      </x:c>
      <x:c r="K737" s="10" t="n">
        <x:v>8.5</x:v>
      </x:c>
      <x:c r="L737" s="10" t="n">
        <x:f>G737*I737</x:f>
        <x:v>22.95</x:v>
      </x:c>
      <x:c r="M737" s="10" t="n">
        <x:f>ROUND((L737-J737)*H737/G737,2)</x:f>
        <x:v>0</x:v>
      </x:c>
      <x:c r="N737" s="10" t="n">
        <x:f>L737-J737-M737</x:f>
        <x:v>22.95</x:v>
      </x:c>
      <x:c r="O737" s="10" t="n">
        <x:f>(G737-H737)*K737</x:f>
        <x:v>8.5</x:v>
      </x:c>
      <x:c r="P737" s="10" t="n">
        <x:f>N737-O737</x:f>
        <x:v>14.45</x:v>
      </x:c>
      <x:c r="Q737" s="9" t="n">
        <x:f>A737-WEEKDAY(A737,2)+1</x:f>
        <x:v>46286</x:v>
      </x:c>
      <x:c r="R737" s="2" t="str">
        <x:f>IF(AND(A737&gt;='Review'!$B$4,A737&lt;='Review'!$D$4),"Selected","Outside")</x:f>
        <x:v>Outside</x:v>
      </x:c>
    </x:row>
    <x:row r="738" ht="20" customHeight="1">
      <x:c r="A738" s="9" t="n">
        <x:v>46291</x:v>
      </x:c>
      <x:c r="B738" s="2" t="str">
        <x:v>MM-1531</x:v>
      </x:c>
      <x:c r="C738" s="2" t="str">
        <x:v>Email</x:v>
      </x:c>
      <x:c r="D738" s="2" t="str">
        <x:v>KEY-001</x:v>
      </x:c>
      <x:c r="E738" s="2" t="str">
        <x:f>_xlfn.IFNA(VLOOKUP(D738,'Products'!$A$7:$I$22,2,FALSE),"Unmapped")</x:f>
        <x:v>Maple keyring</x:v>
      </x:c>
      <x:c r="F738" s="2" t="str">
        <x:f>_xlfn.IFNA(VLOOKUP(D738,'Products'!$A$7:$I$22,3,FALSE),"Unmapped")</x:f>
        <x:v>Accessories</x:v>
      </x:c>
      <x:c r="G738" s="2" t="n">
        <x:v>2</x:v>
      </x:c>
      <x:c r="H738" s="2" t="n">
        <x:v>0</x:v>
      </x:c>
      <x:c r="I738" s="10" t="n">
        <x:v>12.95</x:v>
      </x:c>
      <x:c r="J738" s="10" t="n">
        <x:v>2.59</x:v>
      </x:c>
      <x:c r="K738" s="10" t="n">
        <x:v>3.5</x:v>
      </x:c>
      <x:c r="L738" s="10" t="n">
        <x:f>G738*I738</x:f>
        <x:v>25.9</x:v>
      </x:c>
      <x:c r="M738" s="10" t="n">
        <x:f>ROUND((L738-J738)*H738/G738,2)</x:f>
        <x:v>0</x:v>
      </x:c>
      <x:c r="N738" s="10" t="n">
        <x:f>L738-J738-M738</x:f>
        <x:v>23.31</x:v>
      </x:c>
      <x:c r="O738" s="10" t="n">
        <x:f>(G738-H738)*K738</x:f>
        <x:v>7</x:v>
      </x:c>
      <x:c r="P738" s="10" t="n">
        <x:f>N738-O738</x:f>
        <x:v>16.31</x:v>
      </x:c>
      <x:c r="Q738" s="9" t="n">
        <x:f>A738-WEEKDAY(A738,2)+1</x:f>
        <x:v>46286</x:v>
      </x:c>
      <x:c r="R738" s="2" t="str">
        <x:f>IF(AND(A738&gt;='Review'!$B$4,A738&lt;='Review'!$D$4),"Selected","Outside")</x:f>
        <x:v>Outside</x:v>
      </x:c>
    </x:row>
    <x:row r="739" ht="20" customHeight="1">
      <x:c r="A739" s="9" t="n">
        <x:v>46291</x:v>
      </x:c>
      <x:c r="B739" s="2" t="str">
        <x:v>MM-1515</x:v>
      </x:c>
      <x:c r="C739" s="2" t="str">
        <x:v>Paid Social</x:v>
      </x:c>
      <x:c r="D739" s="2" t="str">
        <x:v>GFT-001</x:v>
      </x:c>
      <x:c r="E739" s="2" t="str">
        <x:f>_xlfn.IFNA(VLOOKUP(D739,'Products'!$A$7:$I$22,2,FALSE),"Unmapped")</x:f>
        <x:v>Morning ritual gift set</x:v>
      </x:c>
      <x:c r="F739" s="2" t="str">
        <x:f>_xlfn.IFNA(VLOOKUP(D739,'Products'!$A$7:$I$22,3,FALSE),"Unmapped")</x:f>
        <x:v>Gifts</x:v>
      </x:c>
      <x:c r="G739" s="2" t="n">
        <x:v>1</x:v>
      </x:c>
      <x:c r="H739" s="2" t="n">
        <x:v>0</x:v>
      </x:c>
      <x:c r="I739" s="10" t="n">
        <x:v>59.95</x:v>
      </x:c>
      <x:c r="J739" s="10" t="n">
        <x:v>0</x:v>
      </x:c>
      <x:c r="K739" s="10" t="n">
        <x:v>24</x:v>
      </x:c>
      <x:c r="L739" s="10" t="n">
        <x:f>G739*I739</x:f>
        <x:v>59.95</x:v>
      </x:c>
      <x:c r="M739" s="10" t="n">
        <x:f>ROUND((L739-J739)*H739/G739,2)</x:f>
        <x:v>0</x:v>
      </x:c>
      <x:c r="N739" s="10" t="n">
        <x:f>L739-J739-M739</x:f>
        <x:v>59.95</x:v>
      </x:c>
      <x:c r="O739" s="10" t="n">
        <x:f>(G739-H739)*K739</x:f>
        <x:v>24</x:v>
      </x:c>
      <x:c r="P739" s="10" t="n">
        <x:f>N739-O739</x:f>
        <x:v>35.95</x:v>
      </x:c>
      <x:c r="Q739" s="9" t="n">
        <x:f>A739-WEEKDAY(A739,2)+1</x:f>
        <x:v>46286</x:v>
      </x:c>
      <x:c r="R739" s="2" t="str">
        <x:f>IF(AND(A739&gt;='Review'!$B$4,A739&lt;='Review'!$D$4),"Selected","Outside")</x:f>
        <x:v>Outside</x:v>
      </x:c>
    </x:row>
    <x:row r="740" ht="20" customHeight="1">
      <x:c r="A740" s="9" t="n">
        <x:v>46291</x:v>
      </x:c>
      <x:c r="B740" s="2" t="str">
        <x:v>MM-1515</x:v>
      </x:c>
      <x:c r="C740" s="2" t="str">
        <x:v>Paid Social</x:v>
      </x:c>
      <x:c r="D740" s="2" t="str">
        <x:v>MUG-001</x:v>
      </x:c>
      <x:c r="E740" s="2" t="str">
        <x:f>_xlfn.IFNA(VLOOKUP(D740,'Products'!$A$7:$I$22,2,FALSE),"Unmapped")</x:f>
        <x:v>Everyday ceramic mug</x:v>
      </x:c>
      <x:c r="F740" s="2" t="str">
        <x:f>_xlfn.IFNA(VLOOKUP(D740,'Products'!$A$7:$I$22,3,FALSE),"Unmapped")</x:f>
        <x:v>Drinkware</x:v>
      </x:c>
      <x:c r="G740" s="2" t="n">
        <x:v>1</x:v>
      </x:c>
      <x:c r="H740" s="2" t="n">
        <x:v>0</x:v>
      </x:c>
      <x:c r="I740" s="10" t="n">
        <x:v>18.95</x:v>
      </x:c>
      <x:c r="J740" s="10" t="n">
        <x:v>0</x:v>
      </x:c>
      <x:c r="K740" s="10" t="n">
        <x:v>6.5</x:v>
      </x:c>
      <x:c r="L740" s="10" t="n">
        <x:f>G740*I740</x:f>
        <x:v>18.95</x:v>
      </x:c>
      <x:c r="M740" s="10" t="n">
        <x:f>ROUND((L740-J740)*H740/G740,2)</x:f>
        <x:v>0</x:v>
      </x:c>
      <x:c r="N740" s="10" t="n">
        <x:f>L740-J740-M740</x:f>
        <x:v>18.95</x:v>
      </x:c>
      <x:c r="O740" s="10" t="n">
        <x:f>(G740-H740)*K740</x:f>
        <x:v>6.5</x:v>
      </x:c>
      <x:c r="P740" s="10" t="n">
        <x:f>N740-O740</x:f>
        <x:v>12.45</x:v>
      </x:c>
      <x:c r="Q740" s="9" t="n">
        <x:f>A740-WEEKDAY(A740,2)+1</x:f>
        <x:v>46286</x:v>
      </x:c>
      <x:c r="R740" s="2" t="str">
        <x:f>IF(AND(A740&gt;='Review'!$B$4,A740&lt;='Review'!$D$4),"Selected","Outside")</x:f>
        <x:v>Outside</x:v>
      </x:c>
    </x:row>
    <x:row r="741" ht="20" customHeight="1">
      <x:c r="A741" s="9" t="n">
        <x:v>46291</x:v>
      </x:c>
      <x:c r="B741" s="2" t="str">
        <x:v>MM-1515</x:v>
      </x:c>
      <x:c r="C741" s="2" t="str">
        <x:v>Paid Social</x:v>
      </x:c>
      <x:c r="D741" s="2" t="str">
        <x:v>PIN-001</x:v>
      </x:c>
      <x:c r="E741" s="2" t="str">
        <x:f>_xlfn.IFNA(VLOOKUP(D741,'Products'!$A$7:$I$22,2,FALSE),"Unmapped")</x:f>
        <x:v>Coffee enamel pin</x:v>
      </x:c>
      <x:c r="F741" s="2" t="str">
        <x:f>_xlfn.IFNA(VLOOKUP(D741,'Products'!$A$7:$I$22,3,FALSE),"Unmapped")</x:f>
        <x:v>Accessories</x:v>
      </x:c>
      <x:c r="G741" s="2" t="n">
        <x:v>2</x:v>
      </x:c>
      <x:c r="H741" s="2" t="n">
        <x:v>0</x:v>
      </x:c>
      <x:c r="I741" s="10" t="n">
        <x:v>9.95</x:v>
      </x:c>
      <x:c r="J741" s="10" t="n">
        <x:v>1.99</x:v>
      </x:c>
      <x:c r="K741" s="10" t="n">
        <x:v>2.5</x:v>
      </x:c>
      <x:c r="L741" s="10" t="n">
        <x:f>G741*I741</x:f>
        <x:v>19.9</x:v>
      </x:c>
      <x:c r="M741" s="10" t="n">
        <x:f>ROUND((L741-J741)*H741/G741,2)</x:f>
        <x:v>0</x:v>
      </x:c>
      <x:c r="N741" s="10" t="n">
        <x:f>L741-J741-M741</x:f>
        <x:v>17.91</x:v>
      </x:c>
      <x:c r="O741" s="10" t="n">
        <x:f>(G741-H741)*K741</x:f>
        <x:v>5</x:v>
      </x:c>
      <x:c r="P741" s="10" t="n">
        <x:f>N741-O741</x:f>
        <x:v>12.91</x:v>
      </x:c>
      <x:c r="Q741" s="9" t="n">
        <x:f>A741-WEEKDAY(A741,2)+1</x:f>
        <x:v>46286</x:v>
      </x:c>
      <x:c r="R741" s="2" t="str">
        <x:f>IF(AND(A741&gt;='Review'!$B$4,A741&lt;='Review'!$D$4),"Selected","Outside")</x:f>
        <x:v>Outside</x:v>
      </x:c>
    </x:row>
    <x:row r="742" ht="20" customHeight="1">
      <x:c r="A742" s="9" t="n">
        <x:v>46291</x:v>
      </x:c>
      <x:c r="B742" s="2" t="str">
        <x:v>MM-1516</x:v>
      </x:c>
      <x:c r="C742" s="2" t="str">
        <x:v>Paid Social</x:v>
      </x:c>
      <x:c r="D742" s="2" t="str">
        <x:v>KEY-001</x:v>
      </x:c>
      <x:c r="E742" s="2" t="str">
        <x:f>_xlfn.IFNA(VLOOKUP(D742,'Products'!$A$7:$I$22,2,FALSE),"Unmapped")</x:f>
        <x:v>Maple keyring</x:v>
      </x:c>
      <x:c r="F742" s="2" t="str">
        <x:f>_xlfn.IFNA(VLOOKUP(D742,'Products'!$A$7:$I$22,3,FALSE),"Unmapped")</x:f>
        <x:v>Accessories</x:v>
      </x:c>
      <x:c r="G742" s="2" t="n">
        <x:v>1</x:v>
      </x:c>
      <x:c r="H742" s="2" t="n">
        <x:v>0</x:v>
      </x:c>
      <x:c r="I742" s="10" t="n">
        <x:v>12.95</x:v>
      </x:c>
      <x:c r="J742" s="10" t="n">
        <x:v>0</x:v>
      </x:c>
      <x:c r="K742" s="10" t="n">
        <x:v>3.5</x:v>
      </x:c>
      <x:c r="L742" s="10" t="n">
        <x:f>G742*I742</x:f>
        <x:v>12.95</x:v>
      </x:c>
      <x:c r="M742" s="10" t="n">
        <x:f>ROUND((L742-J742)*H742/G742,2)</x:f>
        <x:v>0</x:v>
      </x:c>
      <x:c r="N742" s="10" t="n">
        <x:f>L742-J742-M742</x:f>
        <x:v>12.95</x:v>
      </x:c>
      <x:c r="O742" s="10" t="n">
        <x:f>(G742-H742)*K742</x:f>
        <x:v>3.5</x:v>
      </x:c>
      <x:c r="P742" s="10" t="n">
        <x:f>N742-O742</x:f>
        <x:v>9.45</x:v>
      </x:c>
      <x:c r="Q742" s="9" t="n">
        <x:f>A742-WEEKDAY(A742,2)+1</x:f>
        <x:v>46286</x:v>
      </x:c>
      <x:c r="R742" s="2" t="str">
        <x:f>IF(AND(A742&gt;='Review'!$B$4,A742&lt;='Review'!$D$4),"Selected","Outside")</x:f>
        <x:v>Outside</x:v>
      </x:c>
    </x:row>
    <x:row r="743" ht="20" customHeight="1">
      <x:c r="A743" s="9" t="n">
        <x:v>46291</x:v>
      </x:c>
      <x:c r="B743" s="2" t="str">
        <x:v>MM-1525</x:v>
      </x:c>
      <x:c r="C743" s="2" t="str">
        <x:v>Direct</x:v>
      </x:c>
      <x:c r="D743" s="2" t="str">
        <x:v>TOTE-001</x:v>
      </x:c>
      <x:c r="E743" s="2" t="str">
        <x:f>_xlfn.IFNA(VLOOKUP(D743,'Products'!$A$7:$I$22,2,FALSE),"Unmapped")</x:f>
        <x:v>Market canvas tote</x:v>
      </x:c>
      <x:c r="F743" s="2" t="str">
        <x:f>_xlfn.IFNA(VLOOKUP(D743,'Products'!$A$7:$I$22,3,FALSE),"Unmapped")</x:f>
        <x:v>Accessories</x:v>
      </x:c>
      <x:c r="G743" s="2" t="n">
        <x:v>1</x:v>
      </x:c>
      <x:c r="H743" s="2" t="n">
        <x:v>0</x:v>
      </x:c>
      <x:c r="I743" s="10" t="n">
        <x:v>19.95</x:v>
      </x:c>
      <x:c r="J743" s="10" t="n">
        <x:v>0</x:v>
      </x:c>
      <x:c r="K743" s="10" t="n">
        <x:v>6</x:v>
      </x:c>
      <x:c r="L743" s="10" t="n">
        <x:f>G743*I743</x:f>
        <x:v>19.95</x:v>
      </x:c>
      <x:c r="M743" s="10" t="n">
        <x:f>ROUND((L743-J743)*H743/G743,2)</x:f>
        <x:v>0</x:v>
      </x:c>
      <x:c r="N743" s="10" t="n">
        <x:f>L743-J743-M743</x:f>
        <x:v>19.95</x:v>
      </x:c>
      <x:c r="O743" s="10" t="n">
        <x:f>(G743-H743)*K743</x:f>
        <x:v>6</x:v>
      </x:c>
      <x:c r="P743" s="10" t="n">
        <x:f>N743-O743</x:f>
        <x:v>13.95</x:v>
      </x:c>
      <x:c r="Q743" s="9" t="n">
        <x:f>A743-WEEKDAY(A743,2)+1</x:f>
        <x:v>46286</x:v>
      </x:c>
      <x:c r="R743" s="2" t="str">
        <x:f>IF(AND(A743&gt;='Review'!$B$4,A743&lt;='Review'!$D$4),"Selected","Outside")</x:f>
        <x:v>Outside</x:v>
      </x:c>
    </x:row>
    <x:row r="744" ht="20" customHeight="1">
      <x:c r="A744" s="9" t="n">
        <x:v>46291</x:v>
      </x:c>
      <x:c r="B744" s="2" t="str">
        <x:v>MM-1525</x:v>
      </x:c>
      <x:c r="C744" s="2" t="str">
        <x:v>Direct</x:v>
      </x:c>
      <x:c r="D744" s="2" t="str">
        <x:v>KEY-001</x:v>
      </x:c>
      <x:c r="E744" s="2" t="str">
        <x:f>_xlfn.IFNA(VLOOKUP(D744,'Products'!$A$7:$I$22,2,FALSE),"Unmapped")</x:f>
        <x:v>Maple keyring</x:v>
      </x:c>
      <x:c r="F744" s="2" t="str">
        <x:f>_xlfn.IFNA(VLOOKUP(D744,'Products'!$A$7:$I$22,3,FALSE),"Unmapped")</x:f>
        <x:v>Accessories</x:v>
      </x:c>
      <x:c r="G744" s="2" t="n">
        <x:v>2</x:v>
      </x:c>
      <x:c r="H744" s="2" t="n">
        <x:v>0</x:v>
      </x:c>
      <x:c r="I744" s="10" t="n">
        <x:v>12.95</x:v>
      </x:c>
      <x:c r="J744" s="10" t="n">
        <x:v>2.59</x:v>
      </x:c>
      <x:c r="K744" s="10" t="n">
        <x:v>3.5</x:v>
      </x:c>
      <x:c r="L744" s="10" t="n">
        <x:f>G744*I744</x:f>
        <x:v>25.9</x:v>
      </x:c>
      <x:c r="M744" s="10" t="n">
        <x:f>ROUND((L744-J744)*H744/G744,2)</x:f>
        <x:v>0</x:v>
      </x:c>
      <x:c r="N744" s="10" t="n">
        <x:f>L744-J744-M744</x:f>
        <x:v>23.31</x:v>
      </x:c>
      <x:c r="O744" s="10" t="n">
        <x:f>(G744-H744)*K744</x:f>
        <x:v>7</x:v>
      </x:c>
      <x:c r="P744" s="10" t="n">
        <x:f>N744-O744</x:f>
        <x:v>16.31</x:v>
      </x:c>
      <x:c r="Q744" s="9" t="n">
        <x:f>A744-WEEKDAY(A744,2)+1</x:f>
        <x:v>46286</x:v>
      </x:c>
      <x:c r="R744" s="2" t="str">
        <x:f>IF(AND(A744&gt;='Review'!$B$4,A744&lt;='Review'!$D$4),"Selected","Outside")</x:f>
        <x:v>Outside</x:v>
      </x:c>
    </x:row>
    <x:row r="745" ht="20" customHeight="1">
      <x:c r="A745" s="9" t="n">
        <x:v>46291</x:v>
      </x:c>
      <x:c r="B745" s="2" t="str">
        <x:v>MM-1529</x:v>
      </x:c>
      <x:c r="C745" s="2" t="str">
        <x:v>Email</x:v>
      </x:c>
      <x:c r="D745" s="2" t="str">
        <x:v>KEY-001</x:v>
      </x:c>
      <x:c r="E745" s="2" t="str">
        <x:f>_xlfn.IFNA(VLOOKUP(D745,'Products'!$A$7:$I$22,2,FALSE),"Unmapped")</x:f>
        <x:v>Maple keyring</x:v>
      </x:c>
      <x:c r="F745" s="2" t="str">
        <x:f>_xlfn.IFNA(VLOOKUP(D745,'Products'!$A$7:$I$22,3,FALSE),"Unmapped")</x:f>
        <x:v>Accessories</x:v>
      </x:c>
      <x:c r="G745" s="2" t="n">
        <x:v>1</x:v>
      </x:c>
      <x:c r="H745" s="2" t="n">
        <x:v>0</x:v>
      </x:c>
      <x:c r="I745" s="10" t="n">
        <x:v>12.95</x:v>
      </x:c>
      <x:c r="J745" s="10" t="n">
        <x:v>1.29</x:v>
      </x:c>
      <x:c r="K745" s="10" t="n">
        <x:v>3.5</x:v>
      </x:c>
      <x:c r="L745" s="10" t="n">
        <x:f>G745*I745</x:f>
        <x:v>12.95</x:v>
      </x:c>
      <x:c r="M745" s="10" t="n">
        <x:f>ROUND((L745-J745)*H745/G745,2)</x:f>
        <x:v>0</x:v>
      </x:c>
      <x:c r="N745" s="10" t="n">
        <x:f>L745-J745-M745</x:f>
        <x:v>11.66</x:v>
      </x:c>
      <x:c r="O745" s="10" t="n">
        <x:f>(G745-H745)*K745</x:f>
        <x:v>3.5</x:v>
      </x:c>
      <x:c r="P745" s="10" t="n">
        <x:f>N745-O745</x:f>
        <x:v>8.16</x:v>
      </x:c>
      <x:c r="Q745" s="9" t="n">
        <x:f>A745-WEEKDAY(A745,2)+1</x:f>
        <x:v>46286</x:v>
      </x:c>
      <x:c r="R745" s="2" t="str">
        <x:f>IF(AND(A745&gt;='Review'!$B$4,A745&lt;='Review'!$D$4),"Selected","Outside")</x:f>
        <x:v>Outside</x:v>
      </x:c>
    </x:row>
    <x:row r="746" ht="20" customHeight="1">
      <x:c r="A746" s="9" t="n">
        <x:v>46291</x:v>
      </x:c>
      <x:c r="B746" s="2" t="str">
        <x:v>MM-1529</x:v>
      </x:c>
      <x:c r="C746" s="2" t="str">
        <x:v>Email</x:v>
      </x:c>
      <x:c r="D746" s="2" t="str">
        <x:v>TUM-001</x:v>
      </x:c>
      <x:c r="E746" s="2" t="str">
        <x:f>_xlfn.IFNA(VLOOKUP(D746,'Products'!$A$7:$I$22,2,FALSE),"Unmapped")</x:f>
        <x:v>Maple travel tumbler</x:v>
      </x:c>
      <x:c r="F746" s="2" t="str">
        <x:f>_xlfn.IFNA(VLOOKUP(D746,'Products'!$A$7:$I$22,3,FALSE),"Unmapped")</x:f>
        <x:v>Drinkware</x:v>
      </x:c>
      <x:c r="G746" s="2" t="n">
        <x:v>1</x:v>
      </x:c>
      <x:c r="H746" s="2" t="n">
        <x:v>0</x:v>
      </x:c>
      <x:c r="I746" s="10" t="n">
        <x:v>32.95</x:v>
      </x:c>
      <x:c r="J746" s="10" t="n">
        <x:v>3.29</x:v>
      </x:c>
      <x:c r="K746" s="10" t="n">
        <x:v>12</x:v>
      </x:c>
      <x:c r="L746" s="10" t="n">
        <x:f>G746*I746</x:f>
        <x:v>32.95</x:v>
      </x:c>
      <x:c r="M746" s="10" t="n">
        <x:f>ROUND((L746-J746)*H746/G746,2)</x:f>
        <x:v>0</x:v>
      </x:c>
      <x:c r="N746" s="10" t="n">
        <x:f>L746-J746-M746</x:f>
        <x:v>29.660000000000004</x:v>
      </x:c>
      <x:c r="O746" s="10" t="n">
        <x:f>(G746-H746)*K746</x:f>
        <x:v>12</x:v>
      </x:c>
      <x:c r="P746" s="10" t="n">
        <x:f>N746-O746</x:f>
        <x:v>17.660000000000004</x:v>
      </x:c>
      <x:c r="Q746" s="9" t="n">
        <x:f>A746-WEEKDAY(A746,2)+1</x:f>
        <x:v>46286</x:v>
      </x:c>
      <x:c r="R746" s="2" t="str">
        <x:f>IF(AND(A746&gt;='Review'!$B$4,A746&lt;='Review'!$D$4),"Selected","Outside")</x:f>
        <x:v>Outside</x:v>
      </x:c>
    </x:row>
    <x:row r="747" ht="20" customHeight="1">
      <x:c r="A747" s="9" t="n">
        <x:v>46291</x:v>
      </x:c>
      <x:c r="B747" s="2" t="str">
        <x:v>MM-1529</x:v>
      </x:c>
      <x:c r="C747" s="2" t="str">
        <x:v>Email</x:v>
      </x:c>
      <x:c r="D747" s="2" t="str">
        <x:v>HAT-001</x:v>
      </x:c>
      <x:c r="E747" s="2" t="str">
        <x:f>_xlfn.IFNA(VLOOKUP(D747,'Products'!$A$7:$I$22,2,FALSE),"Unmapped")</x:f>
        <x:v>Classic canvas cap</x:v>
      </x:c>
      <x:c r="F747" s="2" t="str">
        <x:f>_xlfn.IFNA(VLOOKUP(D747,'Products'!$A$7:$I$22,3,FALSE),"Unmapped")</x:f>
        <x:v>Accessories</x:v>
      </x:c>
      <x:c r="G747" s="2" t="n">
        <x:v>1</x:v>
      </x:c>
      <x:c r="H747" s="2" t="n">
        <x:v>0</x:v>
      </x:c>
      <x:c r="I747" s="10" t="n">
        <x:v>24.95</x:v>
      </x:c>
      <x:c r="J747" s="10" t="n">
        <x:v>2.49</x:v>
      </x:c>
      <x:c r="K747" s="10" t="n">
        <x:v>8.5</x:v>
      </x:c>
      <x:c r="L747" s="10" t="n">
        <x:f>G747*I747</x:f>
        <x:v>24.95</x:v>
      </x:c>
      <x:c r="M747" s="10" t="n">
        <x:f>ROUND((L747-J747)*H747/G747,2)</x:f>
        <x:v>0</x:v>
      </x:c>
      <x:c r="N747" s="10" t="n">
        <x:f>L747-J747-M747</x:f>
        <x:v>22.46</x:v>
      </x:c>
      <x:c r="O747" s="10" t="n">
        <x:f>(G747-H747)*K747</x:f>
        <x:v>8.5</x:v>
      </x:c>
      <x:c r="P747" s="10" t="n">
        <x:f>N747-O747</x:f>
        <x:v>13.96</x:v>
      </x:c>
      <x:c r="Q747" s="9" t="n">
        <x:f>A747-WEEKDAY(A747,2)+1</x:f>
        <x:v>46286</x:v>
      </x:c>
      <x:c r="R747" s="2" t="str">
        <x:f>IF(AND(A747&gt;='Review'!$B$4,A747&lt;='Review'!$D$4),"Selected","Outside")</x:f>
        <x:v>Outside</x:v>
      </x:c>
    </x:row>
    <x:row r="748" ht="20" customHeight="1">
      <x:c r="A748" s="9" t="n">
        <x:v>46292</x:v>
      </x:c>
      <x:c r="B748" s="2" t="str">
        <x:v>MM-1550</x:v>
      </x:c>
      <x:c r="C748" s="2" t="str">
        <x:v>Email</x:v>
      </x:c>
      <x:c r="D748" s="2" t="str">
        <x:v>TUM-001</x:v>
      </x:c>
      <x:c r="E748" s="2" t="str">
        <x:f>_xlfn.IFNA(VLOOKUP(D748,'Products'!$A$7:$I$22,2,FALSE),"Unmapped")</x:f>
        <x:v>Maple travel tumbler</x:v>
      </x:c>
      <x:c r="F748" s="2" t="str">
        <x:f>_xlfn.IFNA(VLOOKUP(D748,'Products'!$A$7:$I$22,3,FALSE),"Unmapped")</x:f>
        <x:v>Drinkware</x:v>
      </x:c>
      <x:c r="G748" s="2" t="n">
        <x:v>1</x:v>
      </x:c>
      <x:c r="H748" s="2" t="n">
        <x:v>0</x:v>
      </x:c>
      <x:c r="I748" s="10" t="n">
        <x:v>32.95</x:v>
      </x:c>
      <x:c r="J748" s="10" t="n">
        <x:v>3.29</x:v>
      </x:c>
      <x:c r="K748" s="10" t="n">
        <x:v>12</x:v>
      </x:c>
      <x:c r="L748" s="10" t="n">
        <x:f>G748*I748</x:f>
        <x:v>32.95</x:v>
      </x:c>
      <x:c r="M748" s="10" t="n">
        <x:f>ROUND((L748-J748)*H748/G748,2)</x:f>
        <x:v>0</x:v>
      </x:c>
      <x:c r="N748" s="10" t="n">
        <x:f>L748-J748-M748</x:f>
        <x:v>29.660000000000004</x:v>
      </x:c>
      <x:c r="O748" s="10" t="n">
        <x:f>(G748-H748)*K748</x:f>
        <x:v>12</x:v>
      </x:c>
      <x:c r="P748" s="10" t="n">
        <x:f>N748-O748</x:f>
        <x:v>17.660000000000004</x:v>
      </x:c>
      <x:c r="Q748" s="9" t="n">
        <x:f>A748-WEEKDAY(A748,2)+1</x:f>
        <x:v>46286</x:v>
      </x:c>
      <x:c r="R748" s="2" t="str">
        <x:f>IF(AND(A748&gt;='Review'!$B$4,A748&lt;='Review'!$D$4),"Selected","Outside")</x:f>
        <x:v>Selected</x:v>
      </x:c>
    </x:row>
    <x:row r="749" ht="20" customHeight="1">
      <x:c r="A749" s="9" t="n">
        <x:v>46292</x:v>
      </x:c>
      <x:c r="B749" s="2" t="str">
        <x:v>MM-1537</x:v>
      </x:c>
      <x:c r="C749" s="2" t="str">
        <x:v>Direct</x:v>
      </x:c>
      <x:c r="D749" s="2" t="str">
        <x:v>PIN-001</x:v>
      </x:c>
      <x:c r="E749" s="2" t="str">
        <x:f>_xlfn.IFNA(VLOOKUP(D749,'Products'!$A$7:$I$22,2,FALSE),"Unmapped")</x:f>
        <x:v>Coffee enamel pin</x:v>
      </x:c>
      <x:c r="F749" s="2" t="str">
        <x:f>_xlfn.IFNA(VLOOKUP(D749,'Products'!$A$7:$I$22,3,FALSE),"Unmapped")</x:f>
        <x:v>Accessories</x:v>
      </x:c>
      <x:c r="G749" s="2" t="n">
        <x:v>1</x:v>
      </x:c>
      <x:c r="H749" s="2" t="n">
        <x:v>0</x:v>
      </x:c>
      <x:c r="I749" s="10" t="n">
        <x:v>9.95</x:v>
      </x:c>
      <x:c r="J749" s="10" t="n">
        <x:v>0.99</x:v>
      </x:c>
      <x:c r="K749" s="10" t="n">
        <x:v>2.5</x:v>
      </x:c>
      <x:c r="L749" s="10" t="n">
        <x:f>G749*I749</x:f>
        <x:v>9.95</x:v>
      </x:c>
      <x:c r="M749" s="10" t="n">
        <x:f>ROUND((L749-J749)*H749/G749,2)</x:f>
        <x:v>0</x:v>
      </x:c>
      <x:c r="N749" s="10" t="n">
        <x:f>L749-J749-M749</x:f>
        <x:v>8.959999999999999</x:v>
      </x:c>
      <x:c r="O749" s="10" t="n">
        <x:f>(G749-H749)*K749</x:f>
        <x:v>2.5</x:v>
      </x:c>
      <x:c r="P749" s="10" t="n">
        <x:f>N749-O749</x:f>
        <x:v>6.459999999999999</x:v>
      </x:c>
      <x:c r="Q749" s="9" t="n">
        <x:f>A749-WEEKDAY(A749,2)+1</x:f>
        <x:v>46286</x:v>
      </x:c>
      <x:c r="R749" s="2" t="str">
        <x:f>IF(AND(A749&gt;='Review'!$B$4,A749&lt;='Review'!$D$4),"Selected","Outside")</x:f>
        <x:v>Selected</x:v>
      </x:c>
    </x:row>
    <x:row r="750" ht="20" customHeight="1">
      <x:c r="A750" s="9" t="n">
        <x:v>46292</x:v>
      </x:c>
      <x:c r="B750" s="2" t="str">
        <x:v>MM-1537</x:v>
      </x:c>
      <x:c r="C750" s="2" t="str">
        <x:v>Direct</x:v>
      </x:c>
      <x:c r="D750" s="2" t="str">
        <x:v>TUM-002</x:v>
      </x:c>
      <x:c r="E750" s="2" t="str">
        <x:f>_xlfn.IFNA(VLOOKUP(D750,'Products'!$A$7:$I$22,2,FALSE),"Unmapped")</x:f>
        <x:v>Cold brew glass cup</x:v>
      </x:c>
      <x:c r="F750" s="2" t="str">
        <x:f>_xlfn.IFNA(VLOOKUP(D750,'Products'!$A$7:$I$22,3,FALSE),"Unmapped")</x:f>
        <x:v>Drinkware</x:v>
      </x:c>
      <x:c r="G750" s="2" t="n">
        <x:v>1</x:v>
      </x:c>
      <x:c r="H750" s="2" t="n">
        <x:v>0</x:v>
      </x:c>
      <x:c r="I750" s="10" t="n">
        <x:v>24.95</x:v>
      </x:c>
      <x:c r="J750" s="10" t="n">
        <x:v>0</x:v>
      </x:c>
      <x:c r="K750" s="10" t="n">
        <x:v>9</x:v>
      </x:c>
      <x:c r="L750" s="10" t="n">
        <x:f>G750*I750</x:f>
        <x:v>24.95</x:v>
      </x:c>
      <x:c r="M750" s="10" t="n">
        <x:f>ROUND((L750-J750)*H750/G750,2)</x:f>
        <x:v>0</x:v>
      </x:c>
      <x:c r="N750" s="10" t="n">
        <x:f>L750-J750-M750</x:f>
        <x:v>24.95</x:v>
      </x:c>
      <x:c r="O750" s="10" t="n">
        <x:f>(G750-H750)*K750</x:f>
        <x:v>9</x:v>
      </x:c>
      <x:c r="P750" s="10" t="n">
        <x:f>N750-O750</x:f>
        <x:v>15.95</x:v>
      </x:c>
      <x:c r="Q750" s="9" t="n">
        <x:f>A750-WEEKDAY(A750,2)+1</x:f>
        <x:v>46286</x:v>
      </x:c>
      <x:c r="R750" s="2" t="str">
        <x:f>IF(AND(A750&gt;='Review'!$B$4,A750&lt;='Review'!$D$4),"Selected","Outside")</x:f>
        <x:v>Selected</x:v>
      </x:c>
    </x:row>
    <x:row r="751" ht="20" customHeight="1">
      <x:c r="A751" s="9" t="n">
        <x:v>46292</x:v>
      </x:c>
      <x:c r="B751" s="2" t="str">
        <x:v>MM-1547</x:v>
      </x:c>
      <x:c r="C751" s="2" t="str">
        <x:v>Organic Search</x:v>
      </x:c>
      <x:c r="D751" s="2" t="str">
        <x:v>MUG-002</x:v>
      </x:c>
      <x:c r="E751" s="2" t="str">
        <x:f>_xlfn.IFNA(VLOOKUP(D751,'Products'!$A$7:$I$22,2,FALSE),"Unmapped")</x:f>
        <x:v>Campfire enamel mug</x:v>
      </x:c>
      <x:c r="F751" s="2" t="str">
        <x:f>_xlfn.IFNA(VLOOKUP(D751,'Products'!$A$7:$I$22,3,FALSE),"Unmapped")</x:f>
        <x:v>Drinkware</x:v>
      </x:c>
      <x:c r="G751" s="2" t="n">
        <x:v>1</x:v>
      </x:c>
      <x:c r="H751" s="2" t="n">
        <x:v>0</x:v>
      </x:c>
      <x:c r="I751" s="10" t="n">
        <x:v>22.95</x:v>
      </x:c>
      <x:c r="J751" s="10" t="n">
        <x:v>0</x:v>
      </x:c>
      <x:c r="K751" s="10" t="n">
        <x:v>8.5</x:v>
      </x:c>
      <x:c r="L751" s="10" t="n">
        <x:f>G751*I751</x:f>
        <x:v>22.95</x:v>
      </x:c>
      <x:c r="M751" s="10" t="n">
        <x:f>ROUND((L751-J751)*H751/G751,2)</x:f>
        <x:v>0</x:v>
      </x:c>
      <x:c r="N751" s="10" t="n">
        <x:f>L751-J751-M751</x:f>
        <x:v>22.95</x:v>
      </x:c>
      <x:c r="O751" s="10" t="n">
        <x:f>(G751-H751)*K751</x:f>
        <x:v>8.5</x:v>
      </x:c>
      <x:c r="P751" s="10" t="n">
        <x:f>N751-O751</x:f>
        <x:v>14.45</x:v>
      </x:c>
      <x:c r="Q751" s="9" t="n">
        <x:f>A751-WEEKDAY(A751,2)+1</x:f>
        <x:v>46286</x:v>
      </x:c>
      <x:c r="R751" s="2" t="str">
        <x:f>IF(AND(A751&gt;='Review'!$B$4,A751&lt;='Review'!$D$4),"Selected","Outside")</x:f>
        <x:v>Selected</x:v>
      </x:c>
    </x:row>
    <x:row r="752" ht="20" customHeight="1">
      <x:c r="A752" s="9" t="n">
        <x:v>46292</x:v>
      </x:c>
      <x:c r="B752" s="2" t="str">
        <x:v>MM-1549</x:v>
      </x:c>
      <x:c r="C752" s="2" t="str">
        <x:v>Email</x:v>
      </x:c>
      <x:c r="D752" s="2" t="str">
        <x:v>BOT-001</x:v>
      </x:c>
      <x:c r="E752" s="2" t="str">
        <x:f>_xlfn.IFNA(VLOOKUP(D752,'Products'!$A$7:$I$22,2,FALSE),"Unmapped")</x:f>
        <x:v>Trail water bottle</x:v>
      </x:c>
      <x:c r="F752" s="2" t="str">
        <x:f>_xlfn.IFNA(VLOOKUP(D752,'Products'!$A$7:$I$22,3,FALSE),"Unmapped")</x:f>
        <x:v>Drinkware</x:v>
      </x:c>
      <x:c r="G752" s="2" t="n">
        <x:v>2</x:v>
      </x:c>
      <x:c r="H752" s="2" t="n">
        <x:v>0</x:v>
      </x:c>
      <x:c r="I752" s="10" t="n">
        <x:v>34.95</x:v>
      </x:c>
      <x:c r="J752" s="10" t="n">
        <x:v>6.99</x:v>
      </x:c>
      <x:c r="K752" s="10" t="n">
        <x:v>13.5</x:v>
      </x:c>
      <x:c r="L752" s="10" t="n">
        <x:f>G752*I752</x:f>
        <x:v>69.9</x:v>
      </x:c>
      <x:c r="M752" s="10" t="n">
        <x:f>ROUND((L752-J752)*H752/G752,2)</x:f>
        <x:v>0</x:v>
      </x:c>
      <x:c r="N752" s="10" t="n">
        <x:f>L752-J752-M752</x:f>
        <x:v>62.910000000000004</x:v>
      </x:c>
      <x:c r="O752" s="10" t="n">
        <x:f>(G752-H752)*K752</x:f>
        <x:v>27</x:v>
      </x:c>
      <x:c r="P752" s="10" t="n">
        <x:f>N752-O752</x:f>
        <x:v>35.910000000000004</x:v>
      </x:c>
      <x:c r="Q752" s="9" t="n">
        <x:f>A752-WEEKDAY(A752,2)+1</x:f>
        <x:v>46286</x:v>
      </x:c>
      <x:c r="R752" s="2" t="str">
        <x:f>IF(AND(A752&gt;='Review'!$B$4,A752&lt;='Review'!$D$4),"Selected","Outside")</x:f>
        <x:v>Selected</x:v>
      </x:c>
    </x:row>
    <x:row r="753" ht="20" customHeight="1">
      <x:c r="A753" s="9" t="n">
        <x:v>46292</x:v>
      </x:c>
      <x:c r="B753" s="2" t="str">
        <x:v>MM-1544</x:v>
      </x:c>
      <x:c r="C753" s="2" t="str">
        <x:v>Email</x:v>
      </x:c>
      <x:c r="D753" s="2" t="str">
        <x:v>PIN-001</x:v>
      </x:c>
      <x:c r="E753" s="2" t="str">
        <x:f>_xlfn.IFNA(VLOOKUP(D753,'Products'!$A$7:$I$22,2,FALSE),"Unmapped")</x:f>
        <x:v>Coffee enamel pin</x:v>
      </x:c>
      <x:c r="F753" s="2" t="str">
        <x:f>_xlfn.IFNA(VLOOKUP(D753,'Products'!$A$7:$I$22,3,FALSE),"Unmapped")</x:f>
        <x:v>Accessories</x:v>
      </x:c>
      <x:c r="G753" s="2" t="n">
        <x:v>1</x:v>
      </x:c>
      <x:c r="H753" s="2" t="n">
        <x:v>0</x:v>
      </x:c>
      <x:c r="I753" s="10" t="n">
        <x:v>9.95</x:v>
      </x:c>
      <x:c r="J753" s="10" t="n">
        <x:v>0.99</x:v>
      </x:c>
      <x:c r="K753" s="10" t="n">
        <x:v>2.5</x:v>
      </x:c>
      <x:c r="L753" s="10" t="n">
        <x:f>G753*I753</x:f>
        <x:v>9.95</x:v>
      </x:c>
      <x:c r="M753" s="10" t="n">
        <x:f>ROUND((L753-J753)*H753/G753,2)</x:f>
        <x:v>0</x:v>
      </x:c>
      <x:c r="N753" s="10" t="n">
        <x:f>L753-J753-M753</x:f>
        <x:v>8.959999999999999</x:v>
      </x:c>
      <x:c r="O753" s="10" t="n">
        <x:f>(G753-H753)*K753</x:f>
        <x:v>2.5</x:v>
      </x:c>
      <x:c r="P753" s="10" t="n">
        <x:f>N753-O753</x:f>
        <x:v>6.459999999999999</x:v>
      </x:c>
      <x:c r="Q753" s="9" t="n">
        <x:f>A753-WEEKDAY(A753,2)+1</x:f>
        <x:v>46286</x:v>
      </x:c>
      <x:c r="R753" s="2" t="str">
        <x:f>IF(AND(A753&gt;='Review'!$B$4,A753&lt;='Review'!$D$4),"Selected","Outside")</x:f>
        <x:v>Selected</x:v>
      </x:c>
    </x:row>
    <x:row r="754" ht="20" customHeight="1">
      <x:c r="A754" s="9" t="n">
        <x:v>46292</x:v>
      </x:c>
      <x:c r="B754" s="2" t="str">
        <x:v>MM-1545</x:v>
      </x:c>
      <x:c r="C754" s="2" t="str">
        <x:v>Direct</x:v>
      </x:c>
      <x:c r="D754" s="2" t="str">
        <x:v>APP-002</x:v>
      </x:c>
      <x:c r="E754" s="2" t="str">
        <x:f>_xlfn.IFNA(VLOOKUP(D754,'Products'!$A$7:$I$22,2,FALSE),"Unmapped")</x:f>
        <x:v>Weekend hoodie</x:v>
      </x:c>
      <x:c r="F754" s="2" t="str">
        <x:f>_xlfn.IFNA(VLOOKUP(D754,'Products'!$A$7:$I$22,3,FALSE),"Unmapped")</x:f>
        <x:v>Apparel</x:v>
      </x:c>
      <x:c r="G754" s="2" t="n">
        <x:v>1</x:v>
      </x:c>
      <x:c r="H754" s="2" t="n">
        <x:v>0</x:v>
      </x:c>
      <x:c r="I754" s="10" t="n">
        <x:v>69.95</x:v>
      </x:c>
      <x:c r="J754" s="10" t="n">
        <x:v>0</x:v>
      </x:c>
      <x:c r="K754" s="10" t="n">
        <x:v>28</x:v>
      </x:c>
      <x:c r="L754" s="10" t="n">
        <x:f>G754*I754</x:f>
        <x:v>69.95</x:v>
      </x:c>
      <x:c r="M754" s="10" t="n">
        <x:f>ROUND((L754-J754)*H754/G754,2)</x:f>
        <x:v>0</x:v>
      </x:c>
      <x:c r="N754" s="10" t="n">
        <x:f>L754-J754-M754</x:f>
        <x:v>69.95</x:v>
      </x:c>
      <x:c r="O754" s="10" t="n">
        <x:f>(G754-H754)*K754</x:f>
        <x:v>28</x:v>
      </x:c>
      <x:c r="P754" s="10" t="n">
        <x:f>N754-O754</x:f>
        <x:v>41.95</x:v>
      </x:c>
      <x:c r="Q754" s="9" t="n">
        <x:f>A754-WEEKDAY(A754,2)+1</x:f>
        <x:v>46286</x:v>
      </x:c>
      <x:c r="R754" s="2" t="str">
        <x:f>IF(AND(A754&gt;='Review'!$B$4,A754&lt;='Review'!$D$4),"Selected","Outside")</x:f>
        <x:v>Selected</x:v>
      </x:c>
    </x:row>
    <x:row r="755" ht="20" customHeight="1">
      <x:c r="A755" s="9" t="n">
        <x:v>46292</x:v>
      </x:c>
      <x:c r="B755" s="2" t="str">
        <x:v>MM-1545</x:v>
      </x:c>
      <x:c r="C755" s="2" t="str">
        <x:v>Direct</x:v>
      </x:c>
      <x:c r="D755" s="2" t="str">
        <x:v>GFT-001</x:v>
      </x:c>
      <x:c r="E755" s="2" t="str">
        <x:f>_xlfn.IFNA(VLOOKUP(D755,'Products'!$A$7:$I$22,2,FALSE),"Unmapped")</x:f>
        <x:v>Morning ritual gift set</x:v>
      </x:c>
      <x:c r="F755" s="2" t="str">
        <x:f>_xlfn.IFNA(VLOOKUP(D755,'Products'!$A$7:$I$22,3,FALSE),"Unmapped")</x:f>
        <x:v>Gifts</x:v>
      </x:c>
      <x:c r="G755" s="2" t="n">
        <x:v>1</x:v>
      </x:c>
      <x:c r="H755" s="2" t="n">
        <x:v>0</x:v>
      </x:c>
      <x:c r="I755" s="10" t="n">
        <x:v>59.95</x:v>
      </x:c>
      <x:c r="J755" s="10" t="n">
        <x:v>0</x:v>
      </x:c>
      <x:c r="K755" s="10" t="n">
        <x:v>24</x:v>
      </x:c>
      <x:c r="L755" s="10" t="n">
        <x:f>G755*I755</x:f>
        <x:v>59.95</x:v>
      </x:c>
      <x:c r="M755" s="10" t="n">
        <x:f>ROUND((L755-J755)*H755/G755,2)</x:f>
        <x:v>0</x:v>
      </x:c>
      <x:c r="N755" s="10" t="n">
        <x:f>L755-J755-M755</x:f>
        <x:v>59.95</x:v>
      </x:c>
      <x:c r="O755" s="10" t="n">
        <x:f>(G755-H755)*K755</x:f>
        <x:v>24</x:v>
      </x:c>
      <x:c r="P755" s="10" t="n">
        <x:f>N755-O755</x:f>
        <x:v>35.95</x:v>
      </x:c>
      <x:c r="Q755" s="9" t="n">
        <x:f>A755-WEEKDAY(A755,2)+1</x:f>
        <x:v>46286</x:v>
      </x:c>
      <x:c r="R755" s="2" t="str">
        <x:f>IF(AND(A755&gt;='Review'!$B$4,A755&lt;='Review'!$D$4),"Selected","Outside")</x:f>
        <x:v>Selected</x:v>
      </x:c>
    </x:row>
    <x:row r="756" ht="20" customHeight="1">
      <x:c r="A756" s="9" t="n">
        <x:v>46292</x:v>
      </x:c>
      <x:c r="B756" s="2" t="str">
        <x:v>MM-1534</x:v>
      </x:c>
      <x:c r="C756" s="2" t="str">
        <x:v>Direct</x:v>
      </x:c>
      <x:c r="D756" s="2" t="str">
        <x:v>APP-001</x:v>
      </x:c>
      <x:c r="E756" s="2" t="str">
        <x:f>_xlfn.IFNA(VLOOKUP(D756,'Products'!$A$7:$I$22,2,FALSE),"Unmapped")</x:f>
        <x:v>Everyday crewneck</x:v>
      </x:c>
      <x:c r="F756" s="2" t="str">
        <x:f>_xlfn.IFNA(VLOOKUP(D756,'Products'!$A$7:$I$22,3,FALSE),"Unmapped")</x:f>
        <x:v>Apparel</x:v>
      </x:c>
      <x:c r="G756" s="2" t="n">
        <x:v>1</x:v>
      </x:c>
      <x:c r="H756" s="2" t="n">
        <x:v>1</x:v>
      </x:c>
      <x:c r="I756" s="10" t="n">
        <x:v>54.95</x:v>
      </x:c>
      <x:c r="J756" s="10" t="n">
        <x:v>0</x:v>
      </x:c>
      <x:c r="K756" s="10" t="n">
        <x:v>22</x:v>
      </x:c>
      <x:c r="L756" s="10" t="n">
        <x:f>G756*I756</x:f>
        <x:v>54.95</x:v>
      </x:c>
      <x:c r="M756" s="10" t="n">
        <x:f>ROUND((L756-J756)*H756/G756,2)</x:f>
        <x:v>54.95</x:v>
      </x:c>
      <x:c r="N756" s="10" t="n">
        <x:f>L756-J756-M756</x:f>
        <x:v>0</x:v>
      </x:c>
      <x:c r="O756" s="10" t="n">
        <x:f>(G756-H756)*K756</x:f>
        <x:v>0</x:v>
      </x:c>
      <x:c r="P756" s="10" t="n">
        <x:f>N756-O756</x:f>
        <x:v>0</x:v>
      </x:c>
      <x:c r="Q756" s="9" t="n">
        <x:f>A756-WEEKDAY(A756,2)+1</x:f>
        <x:v>46286</x:v>
      </x:c>
      <x:c r="R756" s="2" t="str">
        <x:f>IF(AND(A756&gt;='Review'!$B$4,A756&lt;='Review'!$D$4),"Selected","Outside")</x:f>
        <x:v>Selected</x:v>
      </x:c>
    </x:row>
    <x:row r="757" ht="20" customHeight="1">
      <x:c r="A757" s="9" t="n">
        <x:v>46292</x:v>
      </x:c>
      <x:c r="B757" s="2" t="str">
        <x:v>MM-1542</x:v>
      </x:c>
      <x:c r="C757" s="2" t="str">
        <x:v>Organic Search</x:v>
      </x:c>
      <x:c r="D757" s="2" t="str">
        <x:v>BOT-001</x:v>
      </x:c>
      <x:c r="E757" s="2" t="str">
        <x:f>_xlfn.IFNA(VLOOKUP(D757,'Products'!$A$7:$I$22,2,FALSE),"Unmapped")</x:f>
        <x:v>Trail water bottle</x:v>
      </x:c>
      <x:c r="F757" s="2" t="str">
        <x:f>_xlfn.IFNA(VLOOKUP(D757,'Products'!$A$7:$I$22,3,FALSE),"Unmapped")</x:f>
        <x:v>Drinkware</x:v>
      </x:c>
      <x:c r="G757" s="2" t="n">
        <x:v>1</x:v>
      </x:c>
      <x:c r="H757" s="2" t="n">
        <x:v>0</x:v>
      </x:c>
      <x:c r="I757" s="10" t="n">
        <x:v>34.95</x:v>
      </x:c>
      <x:c r="J757" s="10" t="n">
        <x:v>3.49</x:v>
      </x:c>
      <x:c r="K757" s="10" t="n">
        <x:v>13.5</x:v>
      </x:c>
      <x:c r="L757" s="10" t="n">
        <x:f>G757*I757</x:f>
        <x:v>34.95</x:v>
      </x:c>
      <x:c r="M757" s="10" t="n">
        <x:f>ROUND((L757-J757)*H757/G757,2)</x:f>
        <x:v>0</x:v>
      </x:c>
      <x:c r="N757" s="10" t="n">
        <x:f>L757-J757-M757</x:f>
        <x:v>31.46</x:v>
      </x:c>
      <x:c r="O757" s="10" t="n">
        <x:f>(G757-H757)*K757</x:f>
        <x:v>13.5</x:v>
      </x:c>
      <x:c r="P757" s="10" t="n">
        <x:f>N757-O757</x:f>
        <x:v>17.96</x:v>
      </x:c>
      <x:c r="Q757" s="9" t="n">
        <x:f>A757-WEEKDAY(A757,2)+1</x:f>
        <x:v>46286</x:v>
      </x:c>
      <x:c r="R757" s="2" t="str">
        <x:f>IF(AND(A757&gt;='Review'!$B$4,A757&lt;='Review'!$D$4),"Selected","Outside")</x:f>
        <x:v>Selected</x:v>
      </x:c>
    </x:row>
    <x:row r="758" ht="20" customHeight="1">
      <x:c r="A758" s="9" t="n">
        <x:v>46292</x:v>
      </x:c>
      <x:c r="B758" s="2" t="str">
        <x:v>MM-1542</x:v>
      </x:c>
      <x:c r="C758" s="2" t="str">
        <x:v>Organic Search</x:v>
      </x:c>
      <x:c r="D758" s="2" t="str">
        <x:v>TUM-001</x:v>
      </x:c>
      <x:c r="E758" s="2" t="str">
        <x:f>_xlfn.IFNA(VLOOKUP(D758,'Products'!$A$7:$I$22,2,FALSE),"Unmapped")</x:f>
        <x:v>Maple travel tumbler</x:v>
      </x:c>
      <x:c r="F758" s="2" t="str">
        <x:f>_xlfn.IFNA(VLOOKUP(D758,'Products'!$A$7:$I$22,3,FALSE),"Unmapped")</x:f>
        <x:v>Drinkware</x:v>
      </x:c>
      <x:c r="G758" s="2" t="n">
        <x:v>1</x:v>
      </x:c>
      <x:c r="H758" s="2" t="n">
        <x:v>0</x:v>
      </x:c>
      <x:c r="I758" s="10" t="n">
        <x:v>32.95</x:v>
      </x:c>
      <x:c r="J758" s="10" t="n">
        <x:v>0</x:v>
      </x:c>
      <x:c r="K758" s="10" t="n">
        <x:v>12</x:v>
      </x:c>
      <x:c r="L758" s="10" t="n">
        <x:f>G758*I758</x:f>
        <x:v>32.95</x:v>
      </x:c>
      <x:c r="M758" s="10" t="n">
        <x:f>ROUND((L758-J758)*H758/G758,2)</x:f>
        <x:v>0</x:v>
      </x:c>
      <x:c r="N758" s="10" t="n">
        <x:f>L758-J758-M758</x:f>
        <x:v>32.95</x:v>
      </x:c>
      <x:c r="O758" s="10" t="n">
        <x:f>(G758-H758)*K758</x:f>
        <x:v>12</x:v>
      </x:c>
      <x:c r="P758" s="10" t="n">
        <x:f>N758-O758</x:f>
        <x:v>20.950000000000003</x:v>
      </x:c>
      <x:c r="Q758" s="9" t="n">
        <x:f>A758-WEEKDAY(A758,2)+1</x:f>
        <x:v>46286</x:v>
      </x:c>
      <x:c r="R758" s="2" t="str">
        <x:f>IF(AND(A758&gt;='Review'!$B$4,A758&lt;='Review'!$D$4),"Selected","Outside")</x:f>
        <x:v>Selected</x:v>
      </x:c>
    </x:row>
    <x:row r="759" ht="20" customHeight="1">
      <x:c r="A759" s="9" t="n">
        <x:v>46292</x:v>
      </x:c>
      <x:c r="B759" s="2" t="str">
        <x:v>MM-1543</x:v>
      </x:c>
      <x:c r="C759" s="2" t="str">
        <x:v>Paid Social</x:v>
      </x:c>
      <x:c r="D759" s="2" t="str">
        <x:v>APP-002</x:v>
      </x:c>
      <x:c r="E759" s="2" t="str">
        <x:f>_xlfn.IFNA(VLOOKUP(D759,'Products'!$A$7:$I$22,2,FALSE),"Unmapped")</x:f>
        <x:v>Weekend hoodie</x:v>
      </x:c>
      <x:c r="F759" s="2" t="str">
        <x:f>_xlfn.IFNA(VLOOKUP(D759,'Products'!$A$7:$I$22,3,FALSE),"Unmapped")</x:f>
        <x:v>Apparel</x:v>
      </x:c>
      <x:c r="G759" s="2" t="n">
        <x:v>1</x:v>
      </x:c>
      <x:c r="H759" s="2" t="n">
        <x:v>0</x:v>
      </x:c>
      <x:c r="I759" s="10" t="n">
        <x:v>69.95</x:v>
      </x:c>
      <x:c r="J759" s="10" t="n">
        <x:v>0</x:v>
      </x:c>
      <x:c r="K759" s="10" t="n">
        <x:v>28</x:v>
      </x:c>
      <x:c r="L759" s="10" t="n">
        <x:f>G759*I759</x:f>
        <x:v>69.95</x:v>
      </x:c>
      <x:c r="M759" s="10" t="n">
        <x:f>ROUND((L759-J759)*H759/G759,2)</x:f>
        <x:v>0</x:v>
      </x:c>
      <x:c r="N759" s="10" t="n">
        <x:f>L759-J759-M759</x:f>
        <x:v>69.95</x:v>
      </x:c>
      <x:c r="O759" s="10" t="n">
        <x:f>(G759-H759)*K759</x:f>
        <x:v>28</x:v>
      </x:c>
      <x:c r="P759" s="10" t="n">
        <x:f>N759-O759</x:f>
        <x:v>41.95</x:v>
      </x:c>
      <x:c r="Q759" s="9" t="n">
        <x:f>A759-WEEKDAY(A759,2)+1</x:f>
        <x:v>46286</x:v>
      </x:c>
      <x:c r="R759" s="2" t="str">
        <x:f>IF(AND(A759&gt;='Review'!$B$4,A759&lt;='Review'!$D$4),"Selected","Outside")</x:f>
        <x:v>Selected</x:v>
      </x:c>
    </x:row>
    <x:row r="760" ht="20" customHeight="1">
      <x:c r="A760" s="9" t="n">
        <x:v>46292</x:v>
      </x:c>
      <x:c r="B760" s="2" t="str">
        <x:v>MM-1543</x:v>
      </x:c>
      <x:c r="C760" s="2" t="str">
        <x:v>Paid Social</x:v>
      </x:c>
      <x:c r="D760" s="2" t="str">
        <x:v>KEY-001</x:v>
      </x:c>
      <x:c r="E760" s="2" t="str">
        <x:f>_xlfn.IFNA(VLOOKUP(D760,'Products'!$A$7:$I$22,2,FALSE),"Unmapped")</x:f>
        <x:v>Maple keyring</x:v>
      </x:c>
      <x:c r="F760" s="2" t="str">
        <x:f>_xlfn.IFNA(VLOOKUP(D760,'Products'!$A$7:$I$22,3,FALSE),"Unmapped")</x:f>
        <x:v>Accessories</x:v>
      </x:c>
      <x:c r="G760" s="2" t="n">
        <x:v>1</x:v>
      </x:c>
      <x:c r="H760" s="2" t="n">
        <x:v>0</x:v>
      </x:c>
      <x:c r="I760" s="10" t="n">
        <x:v>12.95</x:v>
      </x:c>
      <x:c r="J760" s="10" t="n">
        <x:v>0</x:v>
      </x:c>
      <x:c r="K760" s="10" t="n">
        <x:v>3.5</x:v>
      </x:c>
      <x:c r="L760" s="10" t="n">
        <x:f>G760*I760</x:f>
        <x:v>12.95</x:v>
      </x:c>
      <x:c r="M760" s="10" t="n">
        <x:f>ROUND((L760-J760)*H760/G760,2)</x:f>
        <x:v>0</x:v>
      </x:c>
      <x:c r="N760" s="10" t="n">
        <x:f>L760-J760-M760</x:f>
        <x:v>12.95</x:v>
      </x:c>
      <x:c r="O760" s="10" t="n">
        <x:f>(G760-H760)*K760</x:f>
        <x:v>3.5</x:v>
      </x:c>
      <x:c r="P760" s="10" t="n">
        <x:f>N760-O760</x:f>
        <x:v>9.45</x:v>
      </x:c>
      <x:c r="Q760" s="9" t="n">
        <x:f>A760-WEEKDAY(A760,2)+1</x:f>
        <x:v>46286</x:v>
      </x:c>
      <x:c r="R760" s="2" t="str">
        <x:f>IF(AND(A760&gt;='Review'!$B$4,A760&lt;='Review'!$D$4),"Selected","Outside")</x:f>
        <x:v>Selected</x:v>
      </x:c>
    </x:row>
    <x:row r="761" ht="20" customHeight="1">
      <x:c r="A761" s="9" t="n">
        <x:v>46292</x:v>
      </x:c>
      <x:c r="B761" s="2" t="str">
        <x:v>MM-1533</x:v>
      </x:c>
      <x:c r="C761" s="2" t="str">
        <x:v>Organic Search</x:v>
      </x:c>
      <x:c r="D761" s="2" t="str">
        <x:v>APP-002</x:v>
      </x:c>
      <x:c r="E761" s="2" t="str">
        <x:f>_xlfn.IFNA(VLOOKUP(D761,'Products'!$A$7:$I$22,2,FALSE),"Unmapped")</x:f>
        <x:v>Weekend hoodie</x:v>
      </x:c>
      <x:c r="F761" s="2" t="str">
        <x:f>_xlfn.IFNA(VLOOKUP(D761,'Products'!$A$7:$I$22,3,FALSE),"Unmapped")</x:f>
        <x:v>Apparel</x:v>
      </x:c>
      <x:c r="G761" s="2" t="n">
        <x:v>1</x:v>
      </x:c>
      <x:c r="H761" s="2" t="n">
        <x:v>0</x:v>
      </x:c>
      <x:c r="I761" s="10" t="n">
        <x:v>69.95</x:v>
      </x:c>
      <x:c r="J761" s="10" t="n">
        <x:v>0</x:v>
      </x:c>
      <x:c r="K761" s="10" t="n">
        <x:v>28</x:v>
      </x:c>
      <x:c r="L761" s="10" t="n">
        <x:f>G761*I761</x:f>
        <x:v>69.95</x:v>
      </x:c>
      <x:c r="M761" s="10" t="n">
        <x:f>ROUND((L761-J761)*H761/G761,2)</x:f>
        <x:v>0</x:v>
      </x:c>
      <x:c r="N761" s="10" t="n">
        <x:f>L761-J761-M761</x:f>
        <x:v>69.95</x:v>
      </x:c>
      <x:c r="O761" s="10" t="n">
        <x:f>(G761-H761)*K761</x:f>
        <x:v>28</x:v>
      </x:c>
      <x:c r="P761" s="10" t="n">
        <x:f>N761-O761</x:f>
        <x:v>41.95</x:v>
      </x:c>
      <x:c r="Q761" s="9" t="n">
        <x:f>A761-WEEKDAY(A761,2)+1</x:f>
        <x:v>46286</x:v>
      </x:c>
      <x:c r="R761" s="2" t="str">
        <x:f>IF(AND(A761&gt;='Review'!$B$4,A761&lt;='Review'!$D$4),"Selected","Outside")</x:f>
        <x:v>Selected</x:v>
      </x:c>
    </x:row>
    <x:row r="762" ht="20" customHeight="1">
      <x:c r="A762" s="9" t="n">
        <x:v>46292</x:v>
      </x:c>
      <x:c r="B762" s="2" t="str">
        <x:v>MM-1533</x:v>
      </x:c>
      <x:c r="C762" s="2" t="str">
        <x:v>Organic Search</x:v>
      </x:c>
      <x:c r="D762" s="2" t="str">
        <x:v>BOT-001</x:v>
      </x:c>
      <x:c r="E762" s="2" t="str">
        <x:f>_xlfn.IFNA(VLOOKUP(D762,'Products'!$A$7:$I$22,2,FALSE),"Unmapped")</x:f>
        <x:v>Trail water bottle</x:v>
      </x:c>
      <x:c r="F762" s="2" t="str">
        <x:f>_xlfn.IFNA(VLOOKUP(D762,'Products'!$A$7:$I$22,3,FALSE),"Unmapped")</x:f>
        <x:v>Drinkware</x:v>
      </x:c>
      <x:c r="G762" s="2" t="n">
        <x:v>2</x:v>
      </x:c>
      <x:c r="H762" s="2" t="n">
        <x:v>0</x:v>
      </x:c>
      <x:c r="I762" s="10" t="n">
        <x:v>34.95</x:v>
      </x:c>
      <x:c r="J762" s="10" t="n">
        <x:v>0</x:v>
      </x:c>
      <x:c r="K762" s="10" t="n">
        <x:v>13.5</x:v>
      </x:c>
      <x:c r="L762" s="10" t="n">
        <x:f>G762*I762</x:f>
        <x:v>69.9</x:v>
      </x:c>
      <x:c r="M762" s="10" t="n">
        <x:f>ROUND((L762-J762)*H762/G762,2)</x:f>
        <x:v>0</x:v>
      </x:c>
      <x:c r="N762" s="10" t="n">
        <x:f>L762-J762-M762</x:f>
        <x:v>69.9</x:v>
      </x:c>
      <x:c r="O762" s="10" t="n">
        <x:f>(G762-H762)*K762</x:f>
        <x:v>27</x:v>
      </x:c>
      <x:c r="P762" s="10" t="n">
        <x:f>N762-O762</x:f>
        <x:v>42.900000000000006</x:v>
      </x:c>
      <x:c r="Q762" s="9" t="n">
        <x:f>A762-WEEKDAY(A762,2)+1</x:f>
        <x:v>46286</x:v>
      </x:c>
      <x:c r="R762" s="2" t="str">
        <x:f>IF(AND(A762&gt;='Review'!$B$4,A762&lt;='Review'!$D$4),"Selected","Outside")</x:f>
        <x:v>Selected</x:v>
      </x:c>
    </x:row>
    <x:row r="763" ht="20" customHeight="1">
      <x:c r="A763" s="9" t="n">
        <x:v>46292</x:v>
      </x:c>
      <x:c r="B763" s="2" t="str">
        <x:v>MM-1533</x:v>
      </x:c>
      <x:c r="C763" s="2" t="str">
        <x:v>Organic Search</x:v>
      </x:c>
      <x:c r="D763" s="2" t="str">
        <x:v>APP-001</x:v>
      </x:c>
      <x:c r="E763" s="2" t="str">
        <x:f>_xlfn.IFNA(VLOOKUP(D763,'Products'!$A$7:$I$22,2,FALSE),"Unmapped")</x:f>
        <x:v>Everyday crewneck</x:v>
      </x:c>
      <x:c r="F763" s="2" t="str">
        <x:f>_xlfn.IFNA(VLOOKUP(D763,'Products'!$A$7:$I$22,3,FALSE),"Unmapped")</x:f>
        <x:v>Apparel</x:v>
      </x:c>
      <x:c r="G763" s="2" t="n">
        <x:v>1</x:v>
      </x:c>
      <x:c r="H763" s="2" t="n">
        <x:v>0</x:v>
      </x:c>
      <x:c r="I763" s="10" t="n">
        <x:v>54.95</x:v>
      </x:c>
      <x:c r="J763" s="10" t="n">
        <x:v>0</x:v>
      </x:c>
      <x:c r="K763" s="10" t="n">
        <x:v>22</x:v>
      </x:c>
      <x:c r="L763" s="10" t="n">
        <x:f>G763*I763</x:f>
        <x:v>54.95</x:v>
      </x:c>
      <x:c r="M763" s="10" t="n">
        <x:f>ROUND((L763-J763)*H763/G763,2)</x:f>
        <x:v>0</x:v>
      </x:c>
      <x:c r="N763" s="10" t="n">
        <x:f>L763-J763-M763</x:f>
        <x:v>54.95</x:v>
      </x:c>
      <x:c r="O763" s="10" t="n">
        <x:f>(G763-H763)*K763</x:f>
        <x:v>22</x:v>
      </x:c>
      <x:c r="P763" s="10" t="n">
        <x:f>N763-O763</x:f>
        <x:v>32.95</x:v>
      </x:c>
      <x:c r="Q763" s="9" t="n">
        <x:f>A763-WEEKDAY(A763,2)+1</x:f>
        <x:v>46286</x:v>
      </x:c>
      <x:c r="R763" s="2" t="str">
        <x:f>IF(AND(A763&gt;='Review'!$B$4,A763&lt;='Review'!$D$4),"Selected","Outside")</x:f>
        <x:v>Selected</x:v>
      </x:c>
    </x:row>
    <x:row r="764" ht="20" customHeight="1">
      <x:c r="A764" s="9" t="n">
        <x:v>46292</x:v>
      </x:c>
      <x:c r="B764" s="2" t="str">
        <x:v>MM-1539</x:v>
      </x:c>
      <x:c r="C764" s="2" t="str">
        <x:v>Organic Search</x:v>
      </x:c>
      <x:c r="D764" s="2" t="str">
        <x:v>APP-002</x:v>
      </x:c>
      <x:c r="E764" s="2" t="str">
        <x:f>_xlfn.IFNA(VLOOKUP(D764,'Products'!$A$7:$I$22,2,FALSE),"Unmapped")</x:f>
        <x:v>Weekend hoodie</x:v>
      </x:c>
      <x:c r="F764" s="2" t="str">
        <x:f>_xlfn.IFNA(VLOOKUP(D764,'Products'!$A$7:$I$22,3,FALSE),"Unmapped")</x:f>
        <x:v>Apparel</x:v>
      </x:c>
      <x:c r="G764" s="2" t="n">
        <x:v>1</x:v>
      </x:c>
      <x:c r="H764" s="2" t="n">
        <x:v>0</x:v>
      </x:c>
      <x:c r="I764" s="10" t="n">
        <x:v>69.95</x:v>
      </x:c>
      <x:c r="J764" s="10" t="n">
        <x:v>6.99</x:v>
      </x:c>
      <x:c r="K764" s="10" t="n">
        <x:v>28</x:v>
      </x:c>
      <x:c r="L764" s="10" t="n">
        <x:f>G764*I764</x:f>
        <x:v>69.95</x:v>
      </x:c>
      <x:c r="M764" s="10" t="n">
        <x:f>ROUND((L764-J764)*H764/G764,2)</x:f>
        <x:v>0</x:v>
      </x:c>
      <x:c r="N764" s="10" t="n">
        <x:f>L764-J764-M764</x:f>
        <x:v>62.96</x:v>
      </x:c>
      <x:c r="O764" s="10" t="n">
        <x:f>(G764-H764)*K764</x:f>
        <x:v>28</x:v>
      </x:c>
      <x:c r="P764" s="10" t="n">
        <x:f>N764-O764</x:f>
        <x:v>34.96</x:v>
      </x:c>
      <x:c r="Q764" s="9" t="n">
        <x:f>A764-WEEKDAY(A764,2)+1</x:f>
        <x:v>46286</x:v>
      </x:c>
      <x:c r="R764" s="2" t="str">
        <x:f>IF(AND(A764&gt;='Review'!$B$4,A764&lt;='Review'!$D$4),"Selected","Outside")</x:f>
        <x:v>Selected</x:v>
      </x:c>
    </x:row>
    <x:row r="765" ht="20" customHeight="1">
      <x:c r="A765" s="9" t="n">
        <x:v>46292</x:v>
      </x:c>
      <x:c r="B765" s="2" t="str">
        <x:v>MM-1539</x:v>
      </x:c>
      <x:c r="C765" s="2" t="str">
        <x:v>Organic Search</x:v>
      </x:c>
      <x:c r="D765" s="2" t="str">
        <x:v>TUM-002</x:v>
      </x:c>
      <x:c r="E765" s="2" t="str">
        <x:f>_xlfn.IFNA(VLOOKUP(D765,'Products'!$A$7:$I$22,2,FALSE),"Unmapped")</x:f>
        <x:v>Cold brew glass cup</x:v>
      </x:c>
      <x:c r="F765" s="2" t="str">
        <x:f>_xlfn.IFNA(VLOOKUP(D765,'Products'!$A$7:$I$22,3,FALSE),"Unmapped")</x:f>
        <x:v>Drinkware</x:v>
      </x:c>
      <x:c r="G765" s="2" t="n">
        <x:v>1</x:v>
      </x:c>
      <x:c r="H765" s="2" t="n">
        <x:v>0</x:v>
      </x:c>
      <x:c r="I765" s="10" t="n">
        <x:v>24.95</x:v>
      </x:c>
      <x:c r="J765" s="10" t="n">
        <x:v>0</x:v>
      </x:c>
      <x:c r="K765" s="10" t="n">
        <x:v>9</x:v>
      </x:c>
      <x:c r="L765" s="10" t="n">
        <x:f>G765*I765</x:f>
        <x:v>24.95</x:v>
      </x:c>
      <x:c r="M765" s="10" t="n">
        <x:f>ROUND((L765-J765)*H765/G765,2)</x:f>
        <x:v>0</x:v>
      </x:c>
      <x:c r="N765" s="10" t="n">
        <x:f>L765-J765-M765</x:f>
        <x:v>24.95</x:v>
      </x:c>
      <x:c r="O765" s="10" t="n">
        <x:f>(G765-H765)*K765</x:f>
        <x:v>9</x:v>
      </x:c>
      <x:c r="P765" s="10" t="n">
        <x:f>N765-O765</x:f>
        <x:v>15.95</x:v>
      </x:c>
      <x:c r="Q765" s="9" t="n">
        <x:f>A765-WEEKDAY(A765,2)+1</x:f>
        <x:v>46286</x:v>
      </x:c>
      <x:c r="R765" s="2" t="str">
        <x:f>IF(AND(A765&gt;='Review'!$B$4,A765&lt;='Review'!$D$4),"Selected","Outside")</x:f>
        <x:v>Selected</x:v>
      </x:c>
    </x:row>
    <x:row r="766" ht="20" customHeight="1">
      <x:c r="A766" s="9" t="n">
        <x:v>46292</x:v>
      </x:c>
      <x:c r="B766" s="2" t="str">
        <x:v>MM-1546</x:v>
      </x:c>
      <x:c r="C766" s="2" t="str">
        <x:v>Organic Search</x:v>
      </x:c>
      <x:c r="D766" s="2" t="str">
        <x:v>TUM-001</x:v>
      </x:c>
      <x:c r="E766" s="2" t="str">
        <x:f>_xlfn.IFNA(VLOOKUP(D766,'Products'!$A$7:$I$22,2,FALSE),"Unmapped")</x:f>
        <x:v>Maple travel tumbler</x:v>
      </x:c>
      <x:c r="F766" s="2" t="str">
        <x:f>_xlfn.IFNA(VLOOKUP(D766,'Products'!$A$7:$I$22,3,FALSE),"Unmapped")</x:f>
        <x:v>Drinkware</x:v>
      </x:c>
      <x:c r="G766" s="2" t="n">
        <x:v>1</x:v>
      </x:c>
      <x:c r="H766" s="2" t="n">
        <x:v>0</x:v>
      </x:c>
      <x:c r="I766" s="10" t="n">
        <x:v>32.95</x:v>
      </x:c>
      <x:c r="J766" s="10" t="n">
        <x:v>0</x:v>
      </x:c>
      <x:c r="K766" s="10" t="n">
        <x:v>12</x:v>
      </x:c>
      <x:c r="L766" s="10" t="n">
        <x:f>G766*I766</x:f>
        <x:v>32.95</x:v>
      </x:c>
      <x:c r="M766" s="10" t="n">
        <x:f>ROUND((L766-J766)*H766/G766,2)</x:f>
        <x:v>0</x:v>
      </x:c>
      <x:c r="N766" s="10" t="n">
        <x:f>L766-J766-M766</x:f>
        <x:v>32.95</x:v>
      </x:c>
      <x:c r="O766" s="10" t="n">
        <x:f>(G766-H766)*K766</x:f>
        <x:v>12</x:v>
      </x:c>
      <x:c r="P766" s="10" t="n">
        <x:f>N766-O766</x:f>
        <x:v>20.950000000000003</x:v>
      </x:c>
      <x:c r="Q766" s="9" t="n">
        <x:f>A766-WEEKDAY(A766,2)+1</x:f>
        <x:v>46286</x:v>
      </x:c>
      <x:c r="R766" s="2" t="str">
        <x:f>IF(AND(A766&gt;='Review'!$B$4,A766&lt;='Review'!$D$4),"Selected","Outside")</x:f>
        <x:v>Selected</x:v>
      </x:c>
    </x:row>
    <x:row r="767" ht="20" customHeight="1">
      <x:c r="A767" s="9" t="n">
        <x:v>46292</x:v>
      </x:c>
      <x:c r="B767" s="2" t="str">
        <x:v>MM-1552</x:v>
      </x:c>
      <x:c r="C767" s="2" t="str">
        <x:v>Organic Search</x:v>
      </x:c>
      <x:c r="D767" s="2" t="str">
        <x:v>KEY-001</x:v>
      </x:c>
      <x:c r="E767" s="2" t="str">
        <x:f>_xlfn.IFNA(VLOOKUP(D767,'Products'!$A$7:$I$22,2,FALSE),"Unmapped")</x:f>
        <x:v>Maple keyring</x:v>
      </x:c>
      <x:c r="F767" s="2" t="str">
        <x:f>_xlfn.IFNA(VLOOKUP(D767,'Products'!$A$7:$I$22,3,FALSE),"Unmapped")</x:f>
        <x:v>Accessories</x:v>
      </x:c>
      <x:c r="G767" s="2" t="n">
        <x:v>1</x:v>
      </x:c>
      <x:c r="H767" s="2" t="n">
        <x:v>0</x:v>
      </x:c>
      <x:c r="I767" s="10" t="n">
        <x:v>12.95</x:v>
      </x:c>
      <x:c r="J767" s="10" t="n">
        <x:v>0</x:v>
      </x:c>
      <x:c r="K767" s="10" t="n">
        <x:v>3.5</x:v>
      </x:c>
      <x:c r="L767" s="10" t="n">
        <x:f>G767*I767</x:f>
        <x:v>12.95</x:v>
      </x:c>
      <x:c r="M767" s="10" t="n">
        <x:f>ROUND((L767-J767)*H767/G767,2)</x:f>
        <x:v>0</x:v>
      </x:c>
      <x:c r="N767" s="10" t="n">
        <x:f>L767-J767-M767</x:f>
        <x:v>12.95</x:v>
      </x:c>
      <x:c r="O767" s="10" t="n">
        <x:f>(G767-H767)*K767</x:f>
        <x:v>3.5</x:v>
      </x:c>
      <x:c r="P767" s="10" t="n">
        <x:f>N767-O767</x:f>
        <x:v>9.45</x:v>
      </x:c>
      <x:c r="Q767" s="9" t="n">
        <x:f>A767-WEEKDAY(A767,2)+1</x:f>
        <x:v>46286</x:v>
      </x:c>
      <x:c r="R767" s="2" t="str">
        <x:f>IF(AND(A767&gt;='Review'!$B$4,A767&lt;='Review'!$D$4),"Selected","Outside")</x:f>
        <x:v>Selected</x:v>
      </x:c>
    </x:row>
    <x:row r="768" ht="20" customHeight="1">
      <x:c r="A768" s="9" t="n">
        <x:v>46292</x:v>
      </x:c>
      <x:c r="B768" s="2" t="str">
        <x:v>MM-1541</x:v>
      </x:c>
      <x:c r="C768" s="2" t="str">
        <x:v>Organic Search</x:v>
      </x:c>
      <x:c r="D768" s="2" t="str">
        <x:v>APP-001</x:v>
      </x:c>
      <x:c r="E768" s="2" t="str">
        <x:f>_xlfn.IFNA(VLOOKUP(D768,'Products'!$A$7:$I$22,2,FALSE),"Unmapped")</x:f>
        <x:v>Everyday crewneck</x:v>
      </x:c>
      <x:c r="F768" s="2" t="str">
        <x:f>_xlfn.IFNA(VLOOKUP(D768,'Products'!$A$7:$I$22,3,FALSE),"Unmapped")</x:f>
        <x:v>Apparel</x:v>
      </x:c>
      <x:c r="G768" s="2" t="n">
        <x:v>1</x:v>
      </x:c>
      <x:c r="H768" s="2" t="n">
        <x:v>0</x:v>
      </x:c>
      <x:c r="I768" s="10" t="n">
        <x:v>54.95</x:v>
      </x:c>
      <x:c r="J768" s="10" t="n">
        <x:v>5.49</x:v>
      </x:c>
      <x:c r="K768" s="10" t="n">
        <x:v>22</x:v>
      </x:c>
      <x:c r="L768" s="10" t="n">
        <x:f>G768*I768</x:f>
        <x:v>54.95</x:v>
      </x:c>
      <x:c r="M768" s="10" t="n">
        <x:f>ROUND((L768-J768)*H768/G768,2)</x:f>
        <x:v>0</x:v>
      </x:c>
      <x:c r="N768" s="10" t="n">
        <x:f>L768-J768-M768</x:f>
        <x:v>49.46</x:v>
      </x:c>
      <x:c r="O768" s="10" t="n">
        <x:f>(G768-H768)*K768</x:f>
        <x:v>22</x:v>
      </x:c>
      <x:c r="P768" s="10" t="n">
        <x:f>N768-O768</x:f>
        <x:v>27.46</x:v>
      </x:c>
      <x:c r="Q768" s="9" t="n">
        <x:f>A768-WEEKDAY(A768,2)+1</x:f>
        <x:v>46286</x:v>
      </x:c>
      <x:c r="R768" s="2" t="str">
        <x:f>IF(AND(A768&gt;='Review'!$B$4,A768&lt;='Review'!$D$4),"Selected","Outside")</x:f>
        <x:v>Selected</x:v>
      </x:c>
    </x:row>
    <x:row r="769" ht="20" customHeight="1">
      <x:c r="A769" s="9" t="n">
        <x:v>46292</x:v>
      </x:c>
      <x:c r="B769" s="2" t="str">
        <x:v>MM-1548</x:v>
      </x:c>
      <x:c r="C769" s="2" t="str">
        <x:v>Direct</x:v>
      </x:c>
      <x:c r="D769" s="2" t="str">
        <x:v>MUG-001</x:v>
      </x:c>
      <x:c r="E769" s="2" t="str">
        <x:f>_xlfn.IFNA(VLOOKUP(D769,'Products'!$A$7:$I$22,2,FALSE),"Unmapped")</x:f>
        <x:v>Everyday ceramic mug</x:v>
      </x:c>
      <x:c r="F769" s="2" t="str">
        <x:f>_xlfn.IFNA(VLOOKUP(D769,'Products'!$A$7:$I$22,3,FALSE),"Unmapped")</x:f>
        <x:v>Drinkware</x:v>
      </x:c>
      <x:c r="G769" s="2" t="n">
        <x:v>1</x:v>
      </x:c>
      <x:c r="H769" s="2" t="n">
        <x:v>0</x:v>
      </x:c>
      <x:c r="I769" s="10" t="n">
        <x:v>18.95</x:v>
      </x:c>
      <x:c r="J769" s="10" t="n">
        <x:v>0</x:v>
      </x:c>
      <x:c r="K769" s="10" t="n">
        <x:v>6.5</x:v>
      </x:c>
      <x:c r="L769" s="10" t="n">
        <x:f>G769*I769</x:f>
        <x:v>18.95</x:v>
      </x:c>
      <x:c r="M769" s="10" t="n">
        <x:f>ROUND((L769-J769)*H769/G769,2)</x:f>
        <x:v>0</x:v>
      </x:c>
      <x:c r="N769" s="10" t="n">
        <x:f>L769-J769-M769</x:f>
        <x:v>18.95</x:v>
      </x:c>
      <x:c r="O769" s="10" t="n">
        <x:f>(G769-H769)*K769</x:f>
        <x:v>6.5</x:v>
      </x:c>
      <x:c r="P769" s="10" t="n">
        <x:f>N769-O769</x:f>
        <x:v>12.45</x:v>
      </x:c>
      <x:c r="Q769" s="9" t="n">
        <x:f>A769-WEEKDAY(A769,2)+1</x:f>
        <x:v>46286</x:v>
      </x:c>
      <x:c r="R769" s="2" t="str">
        <x:f>IF(AND(A769&gt;='Review'!$B$4,A769&lt;='Review'!$D$4),"Selected","Outside")</x:f>
        <x:v>Selected</x:v>
      </x:c>
    </x:row>
    <x:row r="770" ht="20" customHeight="1">
      <x:c r="A770" s="9" t="n">
        <x:v>46292</x:v>
      </x:c>
      <x:c r="B770" s="2" t="str">
        <x:v>MM-1551</x:v>
      </x:c>
      <x:c r="C770" s="2" t="str">
        <x:v>Paid Social</x:v>
      </x:c>
      <x:c r="D770" s="2" t="str">
        <x:v>MUG-002</x:v>
      </x:c>
      <x:c r="E770" s="2" t="str">
        <x:f>_xlfn.IFNA(VLOOKUP(D770,'Products'!$A$7:$I$22,2,FALSE),"Unmapped")</x:f>
        <x:v>Campfire enamel mug</x:v>
      </x:c>
      <x:c r="F770" s="2" t="str">
        <x:f>_xlfn.IFNA(VLOOKUP(D770,'Products'!$A$7:$I$22,3,FALSE),"Unmapped")</x:f>
        <x:v>Drinkware</x:v>
      </x:c>
      <x:c r="G770" s="2" t="n">
        <x:v>1</x:v>
      </x:c>
      <x:c r="H770" s="2" t="n">
        <x:v>0</x:v>
      </x:c>
      <x:c r="I770" s="10" t="n">
        <x:v>22.95</x:v>
      </x:c>
      <x:c r="J770" s="10" t="n">
        <x:v>2.29</x:v>
      </x:c>
      <x:c r="K770" s="10" t="n">
        <x:v>8.5</x:v>
      </x:c>
      <x:c r="L770" s="10" t="n">
        <x:f>G770*I770</x:f>
        <x:v>22.95</x:v>
      </x:c>
      <x:c r="M770" s="10" t="n">
        <x:f>ROUND((L770-J770)*H770/G770,2)</x:f>
        <x:v>0</x:v>
      </x:c>
      <x:c r="N770" s="10" t="n">
        <x:f>L770-J770-M770</x:f>
        <x:v>20.66</x:v>
      </x:c>
      <x:c r="O770" s="10" t="n">
        <x:f>(G770-H770)*K770</x:f>
        <x:v>8.5</x:v>
      </x:c>
      <x:c r="P770" s="10" t="n">
        <x:f>N770-O770</x:f>
        <x:v>12.16</x:v>
      </x:c>
      <x:c r="Q770" s="9" t="n">
        <x:f>A770-WEEKDAY(A770,2)+1</x:f>
        <x:v>46286</x:v>
      </x:c>
      <x:c r="R770" s="2" t="str">
        <x:f>IF(AND(A770&gt;='Review'!$B$4,A770&lt;='Review'!$D$4),"Selected","Outside")</x:f>
        <x:v>Selected</x:v>
      </x:c>
    </x:row>
    <x:row r="771" ht="20" customHeight="1">
      <x:c r="A771" s="9" t="n">
        <x:v>46292</x:v>
      </x:c>
      <x:c r="B771" s="2" t="str">
        <x:v>MM-1536</x:v>
      </x:c>
      <x:c r="C771" s="2" t="str">
        <x:v>Direct</x:v>
      </x:c>
      <x:c r="D771" s="2" t="str">
        <x:v>TUM-001</x:v>
      </x:c>
      <x:c r="E771" s="2" t="str">
        <x:f>_xlfn.IFNA(VLOOKUP(D771,'Products'!$A$7:$I$22,2,FALSE),"Unmapped")</x:f>
        <x:v>Maple travel tumbler</x:v>
      </x:c>
      <x:c r="F771" s="2" t="str">
        <x:f>_xlfn.IFNA(VLOOKUP(D771,'Products'!$A$7:$I$22,3,FALSE),"Unmapped")</x:f>
        <x:v>Drinkware</x:v>
      </x:c>
      <x:c r="G771" s="2" t="n">
        <x:v>1</x:v>
      </x:c>
      <x:c r="H771" s="2" t="n">
        <x:v>0</x:v>
      </x:c>
      <x:c r="I771" s="10" t="n">
        <x:v>32.95</x:v>
      </x:c>
      <x:c r="J771" s="10" t="n">
        <x:v>0</x:v>
      </x:c>
      <x:c r="K771" s="10" t="n">
        <x:v>12</x:v>
      </x:c>
      <x:c r="L771" s="10" t="n">
        <x:f>G771*I771</x:f>
        <x:v>32.95</x:v>
      </x:c>
      <x:c r="M771" s="10" t="n">
        <x:f>ROUND((L771-J771)*H771/G771,2)</x:f>
        <x:v>0</x:v>
      </x:c>
      <x:c r="N771" s="10" t="n">
        <x:f>L771-J771-M771</x:f>
        <x:v>32.95</x:v>
      </x:c>
      <x:c r="O771" s="10" t="n">
        <x:f>(G771-H771)*K771</x:f>
        <x:v>12</x:v>
      </x:c>
      <x:c r="P771" s="10" t="n">
        <x:f>N771-O771</x:f>
        <x:v>20.950000000000003</x:v>
      </x:c>
      <x:c r="Q771" s="9" t="n">
        <x:f>A771-WEEKDAY(A771,2)+1</x:f>
        <x:v>46286</x:v>
      </x:c>
      <x:c r="R771" s="2" t="str">
        <x:f>IF(AND(A771&gt;='Review'!$B$4,A771&lt;='Review'!$D$4),"Selected","Outside")</x:f>
        <x:v>Selected</x:v>
      </x:c>
    </x:row>
    <x:row r="772" ht="20" customHeight="1">
      <x:c r="A772" s="9" t="n">
        <x:v>46292</x:v>
      </x:c>
      <x:c r="B772" s="2" t="str">
        <x:v>MM-1538</x:v>
      </x:c>
      <x:c r="C772" s="2" t="str">
        <x:v>Organic Search</x:v>
      </x:c>
      <x:c r="D772" s="2" t="str">
        <x:v>MUG-001</x:v>
      </x:c>
      <x:c r="E772" s="2" t="str">
        <x:f>_xlfn.IFNA(VLOOKUP(D772,'Products'!$A$7:$I$22,2,FALSE),"Unmapped")</x:f>
        <x:v>Everyday ceramic mug</x:v>
      </x:c>
      <x:c r="F772" s="2" t="str">
        <x:f>_xlfn.IFNA(VLOOKUP(D772,'Products'!$A$7:$I$22,3,FALSE),"Unmapped")</x:f>
        <x:v>Drinkware</x:v>
      </x:c>
      <x:c r="G772" s="2" t="n">
        <x:v>1</x:v>
      </x:c>
      <x:c r="H772" s="2" t="n">
        <x:v>0</x:v>
      </x:c>
      <x:c r="I772" s="10" t="n">
        <x:v>18.95</x:v>
      </x:c>
      <x:c r="J772" s="10" t="n">
        <x:v>0</x:v>
      </x:c>
      <x:c r="K772" s="10" t="n">
        <x:v>6.5</x:v>
      </x:c>
      <x:c r="L772" s="10" t="n">
        <x:f>G772*I772</x:f>
        <x:v>18.95</x:v>
      </x:c>
      <x:c r="M772" s="10" t="n">
        <x:f>ROUND((L772-J772)*H772/G772,2)</x:f>
        <x:v>0</x:v>
      </x:c>
      <x:c r="N772" s="10" t="n">
        <x:f>L772-J772-M772</x:f>
        <x:v>18.95</x:v>
      </x:c>
      <x:c r="O772" s="10" t="n">
        <x:f>(G772-H772)*K772</x:f>
        <x:v>6.5</x:v>
      </x:c>
      <x:c r="P772" s="10" t="n">
        <x:f>N772-O772</x:f>
        <x:v>12.45</x:v>
      </x:c>
      <x:c r="Q772" s="9" t="n">
        <x:f>A772-WEEKDAY(A772,2)+1</x:f>
        <x:v>46286</x:v>
      </x:c>
      <x:c r="R772" s="2" t="str">
        <x:f>IF(AND(A772&gt;='Review'!$B$4,A772&lt;='Review'!$D$4),"Selected","Outside")</x:f>
        <x:v>Selected</x:v>
      </x:c>
    </x:row>
    <x:row r="773" ht="20" customHeight="1">
      <x:c r="A773" s="9" t="n">
        <x:v>46292</x:v>
      </x:c>
      <x:c r="B773" s="2" t="str">
        <x:v>MM-1538</x:v>
      </x:c>
      <x:c r="C773" s="2" t="str">
        <x:v>Organic Search</x:v>
      </x:c>
      <x:c r="D773" s="2" t="str">
        <x:v>HAT-001</x:v>
      </x:c>
      <x:c r="E773" s="2" t="str">
        <x:f>_xlfn.IFNA(VLOOKUP(D773,'Products'!$A$7:$I$22,2,FALSE),"Unmapped")</x:f>
        <x:v>Classic canvas cap</x:v>
      </x:c>
      <x:c r="F773" s="2" t="str">
        <x:f>_xlfn.IFNA(VLOOKUP(D773,'Products'!$A$7:$I$22,3,FALSE),"Unmapped")</x:f>
        <x:v>Accessories</x:v>
      </x:c>
      <x:c r="G773" s="2" t="n">
        <x:v>3</x:v>
      </x:c>
      <x:c r="H773" s="2" t="n">
        <x:v>0</x:v>
      </x:c>
      <x:c r="I773" s="10" t="n">
        <x:v>24.95</x:v>
      </x:c>
      <x:c r="J773" s="10" t="n">
        <x:v>0</x:v>
      </x:c>
      <x:c r="K773" s="10" t="n">
        <x:v>8.5</x:v>
      </x:c>
      <x:c r="L773" s="10" t="n">
        <x:f>G773*I773</x:f>
        <x:v>74.85</x:v>
      </x:c>
      <x:c r="M773" s="10" t="n">
        <x:f>ROUND((L773-J773)*H773/G773,2)</x:f>
        <x:v>0</x:v>
      </x:c>
      <x:c r="N773" s="10" t="n">
        <x:f>L773-J773-M773</x:f>
        <x:v>74.85</x:v>
      </x:c>
      <x:c r="O773" s="10" t="n">
        <x:f>(G773-H773)*K773</x:f>
        <x:v>25.5</x:v>
      </x:c>
      <x:c r="P773" s="10" t="n">
        <x:f>N773-O773</x:f>
        <x:v>49.349999999999994</x:v>
      </x:c>
      <x:c r="Q773" s="9" t="n">
        <x:f>A773-WEEKDAY(A773,2)+1</x:f>
        <x:v>46286</x:v>
      </x:c>
      <x:c r="R773" s="2" t="str">
        <x:f>IF(AND(A773&gt;='Review'!$B$4,A773&lt;='Review'!$D$4),"Selected","Outside")</x:f>
        <x:v>Selected</x:v>
      </x:c>
    </x:row>
    <x:row r="774" ht="20" customHeight="1">
      <x:c r="A774" s="9" t="n">
        <x:v>46292</x:v>
      </x:c>
      <x:c r="B774" s="2" t="str">
        <x:v>MM-1535</x:v>
      </x:c>
      <x:c r="C774" s="2" t="str">
        <x:v>Direct</x:v>
      </x:c>
      <x:c r="D774" s="2" t="str">
        <x:v>TUM-002</x:v>
      </x:c>
      <x:c r="E774" s="2" t="str">
        <x:f>_xlfn.IFNA(VLOOKUP(D774,'Products'!$A$7:$I$22,2,FALSE),"Unmapped")</x:f>
        <x:v>Cold brew glass cup</x:v>
      </x:c>
      <x:c r="F774" s="2" t="str">
        <x:f>_xlfn.IFNA(VLOOKUP(D774,'Products'!$A$7:$I$22,3,FALSE),"Unmapped")</x:f>
        <x:v>Drinkware</x:v>
      </x:c>
      <x:c r="G774" s="2" t="n">
        <x:v>1</x:v>
      </x:c>
      <x:c r="H774" s="2" t="n">
        <x:v>0</x:v>
      </x:c>
      <x:c r="I774" s="10" t="n">
        <x:v>24.95</x:v>
      </x:c>
      <x:c r="J774" s="10" t="n">
        <x:v>0</x:v>
      </x:c>
      <x:c r="K774" s="10" t="n">
        <x:v>9</x:v>
      </x:c>
      <x:c r="L774" s="10" t="n">
        <x:f>G774*I774</x:f>
        <x:v>24.95</x:v>
      </x:c>
      <x:c r="M774" s="10" t="n">
        <x:f>ROUND((L774-J774)*H774/G774,2)</x:f>
        <x:v>0</x:v>
      </x:c>
      <x:c r="N774" s="10" t="n">
        <x:f>L774-J774-M774</x:f>
        <x:v>24.95</x:v>
      </x:c>
      <x:c r="O774" s="10" t="n">
        <x:f>(G774-H774)*K774</x:f>
        <x:v>9</x:v>
      </x:c>
      <x:c r="P774" s="10" t="n">
        <x:f>N774-O774</x:f>
        <x:v>15.95</x:v>
      </x:c>
      <x:c r="Q774" s="9" t="n">
        <x:f>A774-WEEKDAY(A774,2)+1</x:f>
        <x:v>46286</x:v>
      </x:c>
      <x:c r="R774" s="2" t="str">
        <x:f>IF(AND(A774&gt;='Review'!$B$4,A774&lt;='Review'!$D$4),"Selected","Outside")</x:f>
        <x:v>Selected</x:v>
      </x:c>
    </x:row>
    <x:row r="775" ht="20" customHeight="1">
      <x:c r="A775" s="9" t="n">
        <x:v>46292</x:v>
      </x:c>
      <x:c r="B775" s="2" t="str">
        <x:v>MM-1540</x:v>
      </x:c>
      <x:c r="C775" s="2" t="str">
        <x:v>Email</x:v>
      </x:c>
      <x:c r="D775" s="2" t="str">
        <x:v>GFT-002</x:v>
      </x:c>
      <x:c r="E775" s="2" t="str">
        <x:f>_xlfn.IFNA(VLOOKUP(D775,'Products'!$A$7:$I$22,2,FALSE),"Unmapped")</x:f>
        <x:v>Cozy weekend gift box</x:v>
      </x:c>
      <x:c r="F775" s="2" t="str">
        <x:f>_xlfn.IFNA(VLOOKUP(D775,'Products'!$A$7:$I$22,3,FALSE),"Unmapped")</x:f>
        <x:v>Gifts</x:v>
      </x:c>
      <x:c r="G775" s="2" t="n">
        <x:v>1</x:v>
      </x:c>
      <x:c r="H775" s="2" t="n">
        <x:v>0</x:v>
      </x:c>
      <x:c r="I775" s="10" t="n">
        <x:v>79.95</x:v>
      </x:c>
      <x:c r="J775" s="10" t="n">
        <x:v>7.99</x:v>
      </x:c>
      <x:c r="K775" s="10" t="n">
        <x:v>32</x:v>
      </x:c>
      <x:c r="L775" s="10" t="n">
        <x:f>G775*I775</x:f>
        <x:v>79.95</x:v>
      </x:c>
      <x:c r="M775" s="10" t="n">
        <x:f>ROUND((L775-J775)*H775/G775,2)</x:f>
        <x:v>0</x:v>
      </x:c>
      <x:c r="N775" s="10" t="n">
        <x:f>L775-J775-M775</x:f>
        <x:v>71.96000000000001</x:v>
      </x:c>
      <x:c r="O775" s="10" t="n">
        <x:f>(G775-H775)*K775</x:f>
        <x:v>32</x:v>
      </x:c>
      <x:c r="P775" s="10" t="n">
        <x:f>N775-O775</x:f>
        <x:v>39.96000000000001</x:v>
      </x:c>
      <x:c r="Q775" s="9" t="n">
        <x:f>A775-WEEKDAY(A775,2)+1</x:f>
        <x:v>46286</x:v>
      </x:c>
      <x:c r="R775" s="2" t="str">
        <x:f>IF(AND(A775&gt;='Review'!$B$4,A775&lt;='Review'!$D$4),"Selected","Outside")</x:f>
        <x:v>Selected</x:v>
      </x:c>
    </x:row>
    <x:row r="776" ht="20" customHeight="1">
      <x:c r="A776" s="9" t="n">
        <x:v>46293</x:v>
      </x:c>
      <x:c r="B776" s="2" t="str">
        <x:v>MM-1553</x:v>
      </x:c>
      <x:c r="C776" s="2" t="str">
        <x:v>Organic Search</x:v>
      </x:c>
      <x:c r="D776" s="2" t="str">
        <x:v>MUG-002</x:v>
      </x:c>
      <x:c r="E776" s="2" t="str">
        <x:f>_xlfn.IFNA(VLOOKUP(D776,'Products'!$A$7:$I$22,2,FALSE),"Unmapped")</x:f>
        <x:v>Campfire enamel mug</x:v>
      </x:c>
      <x:c r="F776" s="2" t="str">
        <x:f>_xlfn.IFNA(VLOOKUP(D776,'Products'!$A$7:$I$22,3,FALSE),"Unmapped")</x:f>
        <x:v>Drinkware</x:v>
      </x:c>
      <x:c r="G776" s="2" t="n">
        <x:v>1</x:v>
      </x:c>
      <x:c r="H776" s="2" t="n">
        <x:v>0</x:v>
      </x:c>
      <x:c r="I776" s="10" t="n">
        <x:v>22.95</x:v>
      </x:c>
      <x:c r="J776" s="10" t="n">
        <x:v>2.29</x:v>
      </x:c>
      <x:c r="K776" s="10" t="n">
        <x:v>8.5</x:v>
      </x:c>
      <x:c r="L776" s="10" t="n">
        <x:f>G776*I776</x:f>
        <x:v>22.95</x:v>
      </x:c>
      <x:c r="M776" s="10" t="n">
        <x:f>ROUND((L776-J776)*H776/G776,2)</x:f>
        <x:v>0</x:v>
      </x:c>
      <x:c r="N776" s="10" t="n">
        <x:f>L776-J776-M776</x:f>
        <x:v>20.66</x:v>
      </x:c>
      <x:c r="O776" s="10" t="n">
        <x:f>(G776-H776)*K776</x:f>
        <x:v>8.5</x:v>
      </x:c>
      <x:c r="P776" s="10" t="n">
        <x:f>N776-O776</x:f>
        <x:v>12.16</x:v>
      </x:c>
      <x:c r="Q776" s="9" t="n">
        <x:f>A776-WEEKDAY(A776,2)+1</x:f>
        <x:v>46293</x:v>
      </x:c>
      <x:c r="R776" s="2" t="str">
        <x:f>IF(AND(A776&gt;='Review'!$B$4,A776&lt;='Review'!$D$4),"Selected","Outside")</x:f>
        <x:v>Selected</x:v>
      </x:c>
    </x:row>
    <x:row r="777" ht="20" customHeight="1">
      <x:c r="A777" s="9" t="n">
        <x:v>46293</x:v>
      </x:c>
      <x:c r="B777" s="2" t="str">
        <x:v>MM-1562</x:v>
      </x:c>
      <x:c r="C777" s="2" t="str">
        <x:v>Paid Social</x:v>
      </x:c>
      <x:c r="D777" s="2" t="str">
        <x:v>HAT-001</x:v>
      </x:c>
      <x:c r="E777" s="2" t="str">
        <x:f>_xlfn.IFNA(VLOOKUP(D777,'Products'!$A$7:$I$22,2,FALSE),"Unmapped")</x:f>
        <x:v>Classic canvas cap</x:v>
      </x:c>
      <x:c r="F777" s="2" t="str">
        <x:f>_xlfn.IFNA(VLOOKUP(D777,'Products'!$A$7:$I$22,3,FALSE),"Unmapped")</x:f>
        <x:v>Accessories</x:v>
      </x:c>
      <x:c r="G777" s="2" t="n">
        <x:v>1</x:v>
      </x:c>
      <x:c r="H777" s="2" t="n">
        <x:v>0</x:v>
      </x:c>
      <x:c r="I777" s="10" t="n">
        <x:v>24.95</x:v>
      </x:c>
      <x:c r="J777" s="10" t="n">
        <x:v>0</x:v>
      </x:c>
      <x:c r="K777" s="10" t="n">
        <x:v>8.5</x:v>
      </x:c>
      <x:c r="L777" s="10" t="n">
        <x:f>G777*I777</x:f>
        <x:v>24.95</x:v>
      </x:c>
      <x:c r="M777" s="10" t="n">
        <x:f>ROUND((L777-J777)*H777/G777,2)</x:f>
        <x:v>0</x:v>
      </x:c>
      <x:c r="N777" s="10" t="n">
        <x:f>L777-J777-M777</x:f>
        <x:v>24.95</x:v>
      </x:c>
      <x:c r="O777" s="10" t="n">
        <x:f>(G777-H777)*K777</x:f>
        <x:v>8.5</x:v>
      </x:c>
      <x:c r="P777" s="10" t="n">
        <x:f>N777-O777</x:f>
        <x:v>16.45</x:v>
      </x:c>
      <x:c r="Q777" s="9" t="n">
        <x:f>A777-WEEKDAY(A777,2)+1</x:f>
        <x:v>46293</x:v>
      </x:c>
      <x:c r="R777" s="2" t="str">
        <x:f>IF(AND(A777&gt;='Review'!$B$4,A777&lt;='Review'!$D$4),"Selected","Outside")</x:f>
        <x:v>Selected</x:v>
      </x:c>
    </x:row>
    <x:row r="778" ht="20" customHeight="1">
      <x:c r="A778" s="9" t="n">
        <x:v>46293</x:v>
      </x:c>
      <x:c r="B778" s="2" t="str">
        <x:v>MM-1561</x:v>
      </x:c>
      <x:c r="C778" s="2" t="str">
        <x:v>Email</x:v>
      </x:c>
      <x:c r="D778" s="2" t="str">
        <x:v>HAT-001</x:v>
      </x:c>
      <x:c r="E778" s="2" t="str">
        <x:f>_xlfn.IFNA(VLOOKUP(D778,'Products'!$A$7:$I$22,2,FALSE),"Unmapped")</x:f>
        <x:v>Classic canvas cap</x:v>
      </x:c>
      <x:c r="F778" s="2" t="str">
        <x:f>_xlfn.IFNA(VLOOKUP(D778,'Products'!$A$7:$I$22,3,FALSE),"Unmapped")</x:f>
        <x:v>Accessories</x:v>
      </x:c>
      <x:c r="G778" s="2" t="n">
        <x:v>2</x:v>
      </x:c>
      <x:c r="H778" s="2" t="n">
        <x:v>0</x:v>
      </x:c>
      <x:c r="I778" s="10" t="n">
        <x:v>24.95</x:v>
      </x:c>
      <x:c r="J778" s="10" t="n">
        <x:v>4.99</x:v>
      </x:c>
      <x:c r="K778" s="10" t="n">
        <x:v>8.5</x:v>
      </x:c>
      <x:c r="L778" s="10" t="n">
        <x:f>G778*I778</x:f>
        <x:v>49.9</x:v>
      </x:c>
      <x:c r="M778" s="10" t="n">
        <x:f>ROUND((L778-J778)*H778/G778,2)</x:f>
        <x:v>0</x:v>
      </x:c>
      <x:c r="N778" s="10" t="n">
        <x:f>L778-J778-M778</x:f>
        <x:v>44.91</x:v>
      </x:c>
      <x:c r="O778" s="10" t="n">
        <x:f>(G778-H778)*K778</x:f>
        <x:v>17</x:v>
      </x:c>
      <x:c r="P778" s="10" t="n">
        <x:f>N778-O778</x:f>
        <x:v>27.909999999999997</x:v>
      </x:c>
      <x:c r="Q778" s="9" t="n">
        <x:f>A778-WEEKDAY(A778,2)+1</x:f>
        <x:v>46293</x:v>
      </x:c>
      <x:c r="R778" s="2" t="str">
        <x:f>IF(AND(A778&gt;='Review'!$B$4,A778&lt;='Review'!$D$4),"Selected","Outside")</x:f>
        <x:v>Selected</x:v>
      </x:c>
    </x:row>
    <x:row r="779" ht="20" customHeight="1">
      <x:c r="A779" s="9" t="n">
        <x:v>46293</x:v>
      </x:c>
      <x:c r="B779" s="2" t="str">
        <x:v>MM-1561</x:v>
      </x:c>
      <x:c r="C779" s="2" t="str">
        <x:v>Email</x:v>
      </x:c>
      <x:c r="D779" s="2" t="str">
        <x:v>MUG-001</x:v>
      </x:c>
      <x:c r="E779" s="2" t="str">
        <x:f>_xlfn.IFNA(VLOOKUP(D779,'Products'!$A$7:$I$22,2,FALSE),"Unmapped")</x:f>
        <x:v>Everyday ceramic mug</x:v>
      </x:c>
      <x:c r="F779" s="2" t="str">
        <x:f>_xlfn.IFNA(VLOOKUP(D779,'Products'!$A$7:$I$22,3,FALSE),"Unmapped")</x:f>
        <x:v>Drinkware</x:v>
      </x:c>
      <x:c r="G779" s="2" t="n">
        <x:v>1</x:v>
      </x:c>
      <x:c r="H779" s="2" t="n">
        <x:v>0</x:v>
      </x:c>
      <x:c r="I779" s="10" t="n">
        <x:v>18.95</x:v>
      </x:c>
      <x:c r="J779" s="10" t="n">
        <x:v>1.89</x:v>
      </x:c>
      <x:c r="K779" s="10" t="n">
        <x:v>6.5</x:v>
      </x:c>
      <x:c r="L779" s="10" t="n">
        <x:f>G779*I779</x:f>
        <x:v>18.95</x:v>
      </x:c>
      <x:c r="M779" s="10" t="n">
        <x:f>ROUND((L779-J779)*H779/G779,2)</x:f>
        <x:v>0</x:v>
      </x:c>
      <x:c r="N779" s="10" t="n">
        <x:f>L779-J779-M779</x:f>
        <x:v>17.06</x:v>
      </x:c>
      <x:c r="O779" s="10" t="n">
        <x:f>(G779-H779)*K779</x:f>
        <x:v>6.5</x:v>
      </x:c>
      <x:c r="P779" s="10" t="n">
        <x:f>N779-O779</x:f>
        <x:v>10.559999999999999</x:v>
      </x:c>
      <x:c r="Q779" s="9" t="n">
        <x:f>A779-WEEKDAY(A779,2)+1</x:f>
        <x:v>46293</x:v>
      </x:c>
      <x:c r="R779" s="2" t="str">
        <x:f>IF(AND(A779&gt;='Review'!$B$4,A779&lt;='Review'!$D$4),"Selected","Outside")</x:f>
        <x:v>Selected</x:v>
      </x:c>
    </x:row>
    <x:row r="780" ht="20" customHeight="1">
      <x:c r="A780" s="9" t="n">
        <x:v>46293</x:v>
      </x:c>
      <x:c r="B780" s="2" t="str">
        <x:v>MM-1563</x:v>
      </x:c>
      <x:c r="C780" s="2" t="str">
        <x:v>Direct</x:v>
      </x:c>
      <x:c r="D780" s="2" t="str">
        <x:v>TOTE-001</x:v>
      </x:c>
      <x:c r="E780" s="2" t="str">
        <x:f>_xlfn.IFNA(VLOOKUP(D780,'Products'!$A$7:$I$22,2,FALSE),"Unmapped")</x:f>
        <x:v>Market canvas tote</x:v>
      </x:c>
      <x:c r="F780" s="2" t="str">
        <x:f>_xlfn.IFNA(VLOOKUP(D780,'Products'!$A$7:$I$22,3,FALSE),"Unmapped")</x:f>
        <x:v>Accessories</x:v>
      </x:c>
      <x:c r="G780" s="2" t="n">
        <x:v>1</x:v>
      </x:c>
      <x:c r="H780" s="2" t="n">
        <x:v>0</x:v>
      </x:c>
      <x:c r="I780" s="10" t="n">
        <x:v>19.95</x:v>
      </x:c>
      <x:c r="J780" s="10" t="n">
        <x:v>0</x:v>
      </x:c>
      <x:c r="K780" s="10" t="n">
        <x:v>6</x:v>
      </x:c>
      <x:c r="L780" s="10" t="n">
        <x:f>G780*I780</x:f>
        <x:v>19.95</x:v>
      </x:c>
      <x:c r="M780" s="10" t="n">
        <x:f>ROUND((L780-J780)*H780/G780,2)</x:f>
        <x:v>0</x:v>
      </x:c>
      <x:c r="N780" s="10" t="n">
        <x:f>L780-J780-M780</x:f>
        <x:v>19.95</x:v>
      </x:c>
      <x:c r="O780" s="10" t="n">
        <x:f>(G780-H780)*K780</x:f>
        <x:v>6</x:v>
      </x:c>
      <x:c r="P780" s="10" t="n">
        <x:f>N780-O780</x:f>
        <x:v>13.95</x:v>
      </x:c>
      <x:c r="Q780" s="9" t="n">
        <x:f>A780-WEEKDAY(A780,2)+1</x:f>
        <x:v>46293</x:v>
      </x:c>
      <x:c r="R780" s="2" t="str">
        <x:f>IF(AND(A780&gt;='Review'!$B$4,A780&lt;='Review'!$D$4),"Selected","Outside")</x:f>
        <x:v>Selected</x:v>
      </x:c>
    </x:row>
    <x:row r="781" ht="20" customHeight="1">
      <x:c r="A781" s="9" t="n">
        <x:v>46293</x:v>
      </x:c>
      <x:c r="B781" s="2" t="str">
        <x:v>MM-1563</x:v>
      </x:c>
      <x:c r="C781" s="2" t="str">
        <x:v>Direct</x:v>
      </x:c>
      <x:c r="D781" s="2" t="str">
        <x:v>APP-001</x:v>
      </x:c>
      <x:c r="E781" s="2" t="str">
        <x:f>_xlfn.IFNA(VLOOKUP(D781,'Products'!$A$7:$I$22,2,FALSE),"Unmapped")</x:f>
        <x:v>Everyday crewneck</x:v>
      </x:c>
      <x:c r="F781" s="2" t="str">
        <x:f>_xlfn.IFNA(VLOOKUP(D781,'Products'!$A$7:$I$22,3,FALSE),"Unmapped")</x:f>
        <x:v>Apparel</x:v>
      </x:c>
      <x:c r="G781" s="2" t="n">
        <x:v>1</x:v>
      </x:c>
      <x:c r="H781" s="2" t="n">
        <x:v>0</x:v>
      </x:c>
      <x:c r="I781" s="10" t="n">
        <x:v>54.95</x:v>
      </x:c>
      <x:c r="J781" s="10" t="n">
        <x:v>0</x:v>
      </x:c>
      <x:c r="K781" s="10" t="n">
        <x:v>22</x:v>
      </x:c>
      <x:c r="L781" s="10" t="n">
        <x:f>G781*I781</x:f>
        <x:v>54.95</x:v>
      </x:c>
      <x:c r="M781" s="10" t="n">
        <x:f>ROUND((L781-J781)*H781/G781,2)</x:f>
        <x:v>0</x:v>
      </x:c>
      <x:c r="N781" s="10" t="n">
        <x:f>L781-J781-M781</x:f>
        <x:v>54.95</x:v>
      </x:c>
      <x:c r="O781" s="10" t="n">
        <x:f>(G781-H781)*K781</x:f>
        <x:v>22</x:v>
      </x:c>
      <x:c r="P781" s="10" t="n">
        <x:f>N781-O781</x:f>
        <x:v>32.95</x:v>
      </x:c>
      <x:c r="Q781" s="9" t="n">
        <x:f>A781-WEEKDAY(A781,2)+1</x:f>
        <x:v>46293</x:v>
      </x:c>
      <x:c r="R781" s="2" t="str">
        <x:f>IF(AND(A781&gt;='Review'!$B$4,A781&lt;='Review'!$D$4),"Selected","Outside")</x:f>
        <x:v>Selected</x:v>
      </x:c>
    </x:row>
    <x:row r="782" ht="20" customHeight="1">
      <x:c r="A782" s="9" t="n">
        <x:v>46293</x:v>
      </x:c>
      <x:c r="B782" s="2" t="str">
        <x:v>MM-1564</x:v>
      </x:c>
      <x:c r="C782" s="2" t="str">
        <x:v>Direct</x:v>
      </x:c>
      <x:c r="D782" s="2" t="str">
        <x:v>MUG-002</x:v>
      </x:c>
      <x:c r="E782" s="2" t="str">
        <x:f>_xlfn.IFNA(VLOOKUP(D782,'Products'!$A$7:$I$22,2,FALSE),"Unmapped")</x:f>
        <x:v>Campfire enamel mug</x:v>
      </x:c>
      <x:c r="F782" s="2" t="str">
        <x:f>_xlfn.IFNA(VLOOKUP(D782,'Products'!$A$7:$I$22,3,FALSE),"Unmapped")</x:f>
        <x:v>Drinkware</x:v>
      </x:c>
      <x:c r="G782" s="2" t="n">
        <x:v>1</x:v>
      </x:c>
      <x:c r="H782" s="2" t="n">
        <x:v>0</x:v>
      </x:c>
      <x:c r="I782" s="10" t="n">
        <x:v>22.95</x:v>
      </x:c>
      <x:c r="J782" s="10" t="n">
        <x:v>2.29</x:v>
      </x:c>
      <x:c r="K782" s="10" t="n">
        <x:v>8.5</x:v>
      </x:c>
      <x:c r="L782" s="10" t="n">
        <x:f>G782*I782</x:f>
        <x:v>22.95</x:v>
      </x:c>
      <x:c r="M782" s="10" t="n">
        <x:f>ROUND((L782-J782)*H782/G782,2)</x:f>
        <x:v>0</x:v>
      </x:c>
      <x:c r="N782" s="10" t="n">
        <x:f>L782-J782-M782</x:f>
        <x:v>20.66</x:v>
      </x:c>
      <x:c r="O782" s="10" t="n">
        <x:f>(G782-H782)*K782</x:f>
        <x:v>8.5</x:v>
      </x:c>
      <x:c r="P782" s="10" t="n">
        <x:f>N782-O782</x:f>
        <x:v>12.16</x:v>
      </x:c>
      <x:c r="Q782" s="9" t="n">
        <x:f>A782-WEEKDAY(A782,2)+1</x:f>
        <x:v>46293</x:v>
      </x:c>
      <x:c r="R782" s="2" t="str">
        <x:f>IF(AND(A782&gt;='Review'!$B$4,A782&lt;='Review'!$D$4),"Selected","Outside")</x:f>
        <x:v>Selected</x:v>
      </x:c>
    </x:row>
    <x:row r="783" ht="20" customHeight="1">
      <x:c r="A783" s="9" t="n">
        <x:v>46293</x:v>
      </x:c>
      <x:c r="B783" s="2" t="str">
        <x:v>MM-1564</x:v>
      </x:c>
      <x:c r="C783" s="2" t="str">
        <x:v>Direct</x:v>
      </x:c>
      <x:c r="D783" s="2" t="str">
        <x:v>KEY-001</x:v>
      </x:c>
      <x:c r="E783" s="2" t="str">
        <x:f>_xlfn.IFNA(VLOOKUP(D783,'Products'!$A$7:$I$22,2,FALSE),"Unmapped")</x:f>
        <x:v>Maple keyring</x:v>
      </x:c>
      <x:c r="F783" s="2" t="str">
        <x:f>_xlfn.IFNA(VLOOKUP(D783,'Products'!$A$7:$I$22,3,FALSE),"Unmapped")</x:f>
        <x:v>Accessories</x:v>
      </x:c>
      <x:c r="G783" s="2" t="n">
        <x:v>1</x:v>
      </x:c>
      <x:c r="H783" s="2" t="n">
        <x:v>0</x:v>
      </x:c>
      <x:c r="I783" s="10" t="n">
        <x:v>12.95</x:v>
      </x:c>
      <x:c r="J783" s="10" t="n">
        <x:v>0</x:v>
      </x:c>
      <x:c r="K783" s="10" t="n">
        <x:v>3.5</x:v>
      </x:c>
      <x:c r="L783" s="10" t="n">
        <x:f>G783*I783</x:f>
        <x:v>12.95</x:v>
      </x:c>
      <x:c r="M783" s="10" t="n">
        <x:f>ROUND((L783-J783)*H783/G783,2)</x:f>
        <x:v>0</x:v>
      </x:c>
      <x:c r="N783" s="10" t="n">
        <x:f>L783-J783-M783</x:f>
        <x:v>12.95</x:v>
      </x:c>
      <x:c r="O783" s="10" t="n">
        <x:f>(G783-H783)*K783</x:f>
        <x:v>3.5</x:v>
      </x:c>
      <x:c r="P783" s="10" t="n">
        <x:f>N783-O783</x:f>
        <x:v>9.45</x:v>
      </x:c>
      <x:c r="Q783" s="9" t="n">
        <x:f>A783-WEEKDAY(A783,2)+1</x:f>
        <x:v>46293</x:v>
      </x:c>
      <x:c r="R783" s="2" t="str">
        <x:f>IF(AND(A783&gt;='Review'!$B$4,A783&lt;='Review'!$D$4),"Selected","Outside")</x:f>
        <x:v>Selected</x:v>
      </x:c>
    </x:row>
    <x:row r="784" ht="20" customHeight="1">
      <x:c r="A784" s="9" t="n">
        <x:v>46293</x:v>
      </x:c>
      <x:c r="B784" s="2" t="str">
        <x:v>MM-1565</x:v>
      </x:c>
      <x:c r="C784" s="2" t="str">
        <x:v>Organic Search</x:v>
      </x:c>
      <x:c r="D784" s="2" t="str">
        <x:v>TUM-001</x:v>
      </x:c>
      <x:c r="E784" s="2" t="str">
        <x:f>_xlfn.IFNA(VLOOKUP(D784,'Products'!$A$7:$I$22,2,FALSE),"Unmapped")</x:f>
        <x:v>Maple travel tumbler</x:v>
      </x:c>
      <x:c r="F784" s="2" t="str">
        <x:f>_xlfn.IFNA(VLOOKUP(D784,'Products'!$A$7:$I$22,3,FALSE),"Unmapped")</x:f>
        <x:v>Drinkware</x:v>
      </x:c>
      <x:c r="G784" s="2" t="n">
        <x:v>1</x:v>
      </x:c>
      <x:c r="H784" s="2" t="n">
        <x:v>0</x:v>
      </x:c>
      <x:c r="I784" s="10" t="n">
        <x:v>32.95</x:v>
      </x:c>
      <x:c r="J784" s="10" t="n">
        <x:v>0</x:v>
      </x:c>
      <x:c r="K784" s="10" t="n">
        <x:v>12</x:v>
      </x:c>
      <x:c r="L784" s="10" t="n">
        <x:f>G784*I784</x:f>
        <x:v>32.95</x:v>
      </x:c>
      <x:c r="M784" s="10" t="n">
        <x:f>ROUND((L784-J784)*H784/G784,2)</x:f>
        <x:v>0</x:v>
      </x:c>
      <x:c r="N784" s="10" t="n">
        <x:f>L784-J784-M784</x:f>
        <x:v>32.95</x:v>
      </x:c>
      <x:c r="O784" s="10" t="n">
        <x:f>(G784-H784)*K784</x:f>
        <x:v>12</x:v>
      </x:c>
      <x:c r="P784" s="10" t="n">
        <x:f>N784-O784</x:f>
        <x:v>20.950000000000003</x:v>
      </x:c>
      <x:c r="Q784" s="9" t="n">
        <x:f>A784-WEEKDAY(A784,2)+1</x:f>
        <x:v>46293</x:v>
      </x:c>
      <x:c r="R784" s="2" t="str">
        <x:f>IF(AND(A784&gt;='Review'!$B$4,A784&lt;='Review'!$D$4),"Selected","Outside")</x:f>
        <x:v>Selected</x:v>
      </x:c>
    </x:row>
    <x:row r="785" ht="20" customHeight="1">
      <x:c r="A785" s="9" t="n">
        <x:v>46293</x:v>
      </x:c>
      <x:c r="B785" s="2" t="str">
        <x:v>MM-1560</x:v>
      </x:c>
      <x:c r="C785" s="2" t="str">
        <x:v>Organic Search</x:v>
      </x:c>
      <x:c r="D785" s="2" t="str">
        <x:v>MUG-001</x:v>
      </x:c>
      <x:c r="E785" s="2" t="str">
        <x:f>_xlfn.IFNA(VLOOKUP(D785,'Products'!$A$7:$I$22,2,FALSE),"Unmapped")</x:f>
        <x:v>Everyday ceramic mug</x:v>
      </x:c>
      <x:c r="F785" s="2" t="str">
        <x:f>_xlfn.IFNA(VLOOKUP(D785,'Products'!$A$7:$I$22,3,FALSE),"Unmapped")</x:f>
        <x:v>Drinkware</x:v>
      </x:c>
      <x:c r="G785" s="2" t="n">
        <x:v>2</x:v>
      </x:c>
      <x:c r="H785" s="2" t="n">
        <x:v>0</x:v>
      </x:c>
      <x:c r="I785" s="10" t="n">
        <x:v>18.95</x:v>
      </x:c>
      <x:c r="J785" s="10" t="n">
        <x:v>0</x:v>
      </x:c>
      <x:c r="K785" s="10" t="n">
        <x:v>6.5</x:v>
      </x:c>
      <x:c r="L785" s="10" t="n">
        <x:f>G785*I785</x:f>
        <x:v>37.9</x:v>
      </x:c>
      <x:c r="M785" s="10" t="n">
        <x:f>ROUND((L785-J785)*H785/G785,2)</x:f>
        <x:v>0</x:v>
      </x:c>
      <x:c r="N785" s="10" t="n">
        <x:f>L785-J785-M785</x:f>
        <x:v>37.9</x:v>
      </x:c>
      <x:c r="O785" s="10" t="n">
        <x:f>(G785-H785)*K785</x:f>
        <x:v>13</x:v>
      </x:c>
      <x:c r="P785" s="10" t="n">
        <x:f>N785-O785</x:f>
        <x:v>24.9</x:v>
      </x:c>
      <x:c r="Q785" s="9" t="n">
        <x:f>A785-WEEKDAY(A785,2)+1</x:f>
        <x:v>46293</x:v>
      </x:c>
      <x:c r="R785" s="2" t="str">
        <x:f>IF(AND(A785&gt;='Review'!$B$4,A785&lt;='Review'!$D$4),"Selected","Outside")</x:f>
        <x:v>Selected</x:v>
      </x:c>
    </x:row>
    <x:row r="786" ht="20" customHeight="1">
      <x:c r="A786" s="9" t="n">
        <x:v>46293</x:v>
      </x:c>
      <x:c r="B786" s="2" t="str">
        <x:v>MM-1560</x:v>
      </x:c>
      <x:c r="C786" s="2" t="str">
        <x:v>Organic Search</x:v>
      </x:c>
      <x:c r="D786" s="2" t="str">
        <x:v>APP-003</x:v>
      </x:c>
      <x:c r="E786" s="2" t="str">
        <x:f>_xlfn.IFNA(VLOOKUP(D786,'Products'!$A$7:$I$22,2,FALSE),"Unmapped")</x:f>
        <x:v>Coffee club tee</x:v>
      </x:c>
      <x:c r="F786" s="2" t="str">
        <x:f>_xlfn.IFNA(VLOOKUP(D786,'Products'!$A$7:$I$22,3,FALSE),"Unmapped")</x:f>
        <x:v>Apparel</x:v>
      </x:c>
      <x:c r="G786" s="2" t="n">
        <x:v>2</x:v>
      </x:c>
      <x:c r="H786" s="2" t="n">
        <x:v>0</x:v>
      </x:c>
      <x:c r="I786" s="10" t="n">
        <x:v>29.95</x:v>
      </x:c>
      <x:c r="J786" s="10" t="n">
        <x:v>0</x:v>
      </x:c>
      <x:c r="K786" s="10" t="n">
        <x:v>10</x:v>
      </x:c>
      <x:c r="L786" s="10" t="n">
        <x:f>G786*I786</x:f>
        <x:v>59.9</x:v>
      </x:c>
      <x:c r="M786" s="10" t="n">
        <x:f>ROUND((L786-J786)*H786/G786,2)</x:f>
        <x:v>0</x:v>
      </x:c>
      <x:c r="N786" s="10" t="n">
        <x:f>L786-J786-M786</x:f>
        <x:v>59.9</x:v>
      </x:c>
      <x:c r="O786" s="10" t="n">
        <x:f>(G786-H786)*K786</x:f>
        <x:v>20</x:v>
      </x:c>
      <x:c r="P786" s="10" t="n">
        <x:f>N786-O786</x:f>
        <x:v>39.9</x:v>
      </x:c>
      <x:c r="Q786" s="9" t="n">
        <x:f>A786-WEEKDAY(A786,2)+1</x:f>
        <x:v>46293</x:v>
      </x:c>
      <x:c r="R786" s="2" t="str">
        <x:f>IF(AND(A786&gt;='Review'!$B$4,A786&lt;='Review'!$D$4),"Selected","Outside")</x:f>
        <x:v>Selected</x:v>
      </x:c>
    </x:row>
    <x:row r="787" ht="20" customHeight="1">
      <x:c r="A787" s="9" t="n">
        <x:v>46293</x:v>
      </x:c>
      <x:c r="B787" s="2" t="str">
        <x:v>MM-1557</x:v>
      </x:c>
      <x:c r="C787" s="2" t="str">
        <x:v>Email</x:v>
      </x:c>
      <x:c r="D787" s="2" t="str">
        <x:v>GFT-002</x:v>
      </x:c>
      <x:c r="E787" s="2" t="str">
        <x:f>_xlfn.IFNA(VLOOKUP(D787,'Products'!$A$7:$I$22,2,FALSE),"Unmapped")</x:f>
        <x:v>Cozy weekend gift box</x:v>
      </x:c>
      <x:c r="F787" s="2" t="str">
        <x:f>_xlfn.IFNA(VLOOKUP(D787,'Products'!$A$7:$I$22,3,FALSE),"Unmapped")</x:f>
        <x:v>Gifts</x:v>
      </x:c>
      <x:c r="G787" s="2" t="n">
        <x:v>1</x:v>
      </x:c>
      <x:c r="H787" s="2" t="n">
        <x:v>0</x:v>
      </x:c>
      <x:c r="I787" s="10" t="n">
        <x:v>79.95</x:v>
      </x:c>
      <x:c r="J787" s="10" t="n">
        <x:v>7.99</x:v>
      </x:c>
      <x:c r="K787" s="10" t="n">
        <x:v>32</x:v>
      </x:c>
      <x:c r="L787" s="10" t="n">
        <x:f>G787*I787</x:f>
        <x:v>79.95</x:v>
      </x:c>
      <x:c r="M787" s="10" t="n">
        <x:f>ROUND((L787-J787)*H787/G787,2)</x:f>
        <x:v>0</x:v>
      </x:c>
      <x:c r="N787" s="10" t="n">
        <x:f>L787-J787-M787</x:f>
        <x:v>71.96000000000001</x:v>
      </x:c>
      <x:c r="O787" s="10" t="n">
        <x:f>(G787-H787)*K787</x:f>
        <x:v>32</x:v>
      </x:c>
      <x:c r="P787" s="10" t="n">
        <x:f>N787-O787</x:f>
        <x:v>39.96000000000001</x:v>
      </x:c>
      <x:c r="Q787" s="9" t="n">
        <x:f>A787-WEEKDAY(A787,2)+1</x:f>
        <x:v>46293</x:v>
      </x:c>
      <x:c r="R787" s="2" t="str">
        <x:f>IF(AND(A787&gt;='Review'!$B$4,A787&lt;='Review'!$D$4),"Selected","Outside")</x:f>
        <x:v>Selected</x:v>
      </x:c>
    </x:row>
    <x:row r="788" ht="20" customHeight="1">
      <x:c r="A788" s="9" t="n">
        <x:v>46293</x:v>
      </x:c>
      <x:c r="B788" s="2" t="str">
        <x:v>MM-1557</x:v>
      </x:c>
      <x:c r="C788" s="2" t="str">
        <x:v>Email</x:v>
      </x:c>
      <x:c r="D788" s="2" t="str">
        <x:v>MUG-002</x:v>
      </x:c>
      <x:c r="E788" s="2" t="str">
        <x:f>_xlfn.IFNA(VLOOKUP(D788,'Products'!$A$7:$I$22,2,FALSE),"Unmapped")</x:f>
        <x:v>Campfire enamel mug</x:v>
      </x:c>
      <x:c r="F788" s="2" t="str">
        <x:f>_xlfn.IFNA(VLOOKUP(D788,'Products'!$A$7:$I$22,3,FALSE),"Unmapped")</x:f>
        <x:v>Drinkware</x:v>
      </x:c>
      <x:c r="G788" s="2" t="n">
        <x:v>1</x:v>
      </x:c>
      <x:c r="H788" s="2" t="n">
        <x:v>0</x:v>
      </x:c>
      <x:c r="I788" s="10" t="n">
        <x:v>22.95</x:v>
      </x:c>
      <x:c r="J788" s="10" t="n">
        <x:v>2.29</x:v>
      </x:c>
      <x:c r="K788" s="10" t="n">
        <x:v>8.5</x:v>
      </x:c>
      <x:c r="L788" s="10" t="n">
        <x:f>G788*I788</x:f>
        <x:v>22.95</x:v>
      </x:c>
      <x:c r="M788" s="10" t="n">
        <x:f>ROUND((L788-J788)*H788/G788,2)</x:f>
        <x:v>0</x:v>
      </x:c>
      <x:c r="N788" s="10" t="n">
        <x:f>L788-J788-M788</x:f>
        <x:v>20.66</x:v>
      </x:c>
      <x:c r="O788" s="10" t="n">
        <x:f>(G788-H788)*K788</x:f>
        <x:v>8.5</x:v>
      </x:c>
      <x:c r="P788" s="10" t="n">
        <x:f>N788-O788</x:f>
        <x:v>12.16</x:v>
      </x:c>
      <x:c r="Q788" s="9" t="n">
        <x:f>A788-WEEKDAY(A788,2)+1</x:f>
        <x:v>46293</x:v>
      </x:c>
      <x:c r="R788" s="2" t="str">
        <x:f>IF(AND(A788&gt;='Review'!$B$4,A788&lt;='Review'!$D$4),"Selected","Outside")</x:f>
        <x:v>Selected</x:v>
      </x:c>
    </x:row>
    <x:row r="789" ht="20" customHeight="1">
      <x:c r="A789" s="9" t="n">
        <x:v>46293</x:v>
      </x:c>
      <x:c r="B789" s="2" t="str">
        <x:v>MM-1559</x:v>
      </x:c>
      <x:c r="C789" s="2" t="str">
        <x:v>Paid Social</x:v>
      </x:c>
      <x:c r="D789" s="2" t="str">
        <x:v>APP-001</x:v>
      </x:c>
      <x:c r="E789" s="2" t="str">
        <x:f>_xlfn.IFNA(VLOOKUP(D789,'Products'!$A$7:$I$22,2,FALSE),"Unmapped")</x:f>
        <x:v>Everyday crewneck</x:v>
      </x:c>
      <x:c r="F789" s="2" t="str">
        <x:f>_xlfn.IFNA(VLOOKUP(D789,'Products'!$A$7:$I$22,3,FALSE),"Unmapped")</x:f>
        <x:v>Apparel</x:v>
      </x:c>
      <x:c r="G789" s="2" t="n">
        <x:v>1</x:v>
      </x:c>
      <x:c r="H789" s="2" t="n">
        <x:v>0</x:v>
      </x:c>
      <x:c r="I789" s="10" t="n">
        <x:v>54.95</x:v>
      </x:c>
      <x:c r="J789" s="10" t="n">
        <x:v>0</x:v>
      </x:c>
      <x:c r="K789" s="10" t="n">
        <x:v>22</x:v>
      </x:c>
      <x:c r="L789" s="10" t="n">
        <x:f>G789*I789</x:f>
        <x:v>54.95</x:v>
      </x:c>
      <x:c r="M789" s="10" t="n">
        <x:f>ROUND((L789-J789)*H789/G789,2)</x:f>
        <x:v>0</x:v>
      </x:c>
      <x:c r="N789" s="10" t="n">
        <x:f>L789-J789-M789</x:f>
        <x:v>54.95</x:v>
      </x:c>
      <x:c r="O789" s="10" t="n">
        <x:f>(G789-H789)*K789</x:f>
        <x:v>22</x:v>
      </x:c>
      <x:c r="P789" s="10" t="n">
        <x:f>N789-O789</x:f>
        <x:v>32.95</x:v>
      </x:c>
      <x:c r="Q789" s="9" t="n">
        <x:f>A789-WEEKDAY(A789,2)+1</x:f>
        <x:v>46293</x:v>
      </x:c>
      <x:c r="R789" s="2" t="str">
        <x:f>IF(AND(A789&gt;='Review'!$B$4,A789&lt;='Review'!$D$4),"Selected","Outside")</x:f>
        <x:v>Selected</x:v>
      </x:c>
    </x:row>
    <x:row r="790" ht="20" customHeight="1">
      <x:c r="A790" s="9" t="n">
        <x:v>46293</x:v>
      </x:c>
      <x:c r="B790" s="2" t="str">
        <x:v>MM-1558</x:v>
      </x:c>
      <x:c r="C790" s="2" t="str">
        <x:v>Paid Social</x:v>
      </x:c>
      <x:c r="D790" s="2" t="str">
        <x:v>BOT-001</x:v>
      </x:c>
      <x:c r="E790" s="2" t="str">
        <x:f>_xlfn.IFNA(VLOOKUP(D790,'Products'!$A$7:$I$22,2,FALSE),"Unmapped")</x:f>
        <x:v>Trail water bottle</x:v>
      </x:c>
      <x:c r="F790" s="2" t="str">
        <x:f>_xlfn.IFNA(VLOOKUP(D790,'Products'!$A$7:$I$22,3,FALSE),"Unmapped")</x:f>
        <x:v>Drinkware</x:v>
      </x:c>
      <x:c r="G790" s="2" t="n">
        <x:v>1</x:v>
      </x:c>
      <x:c r="H790" s="2" t="n">
        <x:v>0</x:v>
      </x:c>
      <x:c r="I790" s="10" t="n">
        <x:v>34.95</x:v>
      </x:c>
      <x:c r="J790" s="10" t="n">
        <x:v>0</x:v>
      </x:c>
      <x:c r="K790" s="10" t="n">
        <x:v>13.5</x:v>
      </x:c>
      <x:c r="L790" s="10" t="n">
        <x:f>G790*I790</x:f>
        <x:v>34.95</x:v>
      </x:c>
      <x:c r="M790" s="10" t="n">
        <x:f>ROUND((L790-J790)*H790/G790,2)</x:f>
        <x:v>0</x:v>
      </x:c>
      <x:c r="N790" s="10" t="n">
        <x:f>L790-J790-M790</x:f>
        <x:v>34.95</x:v>
      </x:c>
      <x:c r="O790" s="10" t="n">
        <x:f>(G790-H790)*K790</x:f>
        <x:v>13.5</x:v>
      </x:c>
      <x:c r="P790" s="10" t="n">
        <x:f>N790-O790</x:f>
        <x:v>21.450000000000003</x:v>
      </x:c>
      <x:c r="Q790" s="9" t="n">
        <x:f>A790-WEEKDAY(A790,2)+1</x:f>
        <x:v>46293</x:v>
      </x:c>
      <x:c r="R790" s="2" t="str">
        <x:f>IF(AND(A790&gt;='Review'!$B$4,A790&lt;='Review'!$D$4),"Selected","Outside")</x:f>
        <x:v>Selected</x:v>
      </x:c>
    </x:row>
    <x:row r="791" ht="20" customHeight="1">
      <x:c r="A791" s="9" t="n">
        <x:v>46293</x:v>
      </x:c>
      <x:c r="B791" s="2" t="str">
        <x:v>MM-1554</x:v>
      </x:c>
      <x:c r="C791" s="2" t="str">
        <x:v>Email</x:v>
      </x:c>
      <x:c r="D791" s="2" t="str">
        <x:v>GFT-002</x:v>
      </x:c>
      <x:c r="E791" s="2" t="str">
        <x:f>_xlfn.IFNA(VLOOKUP(D791,'Products'!$A$7:$I$22,2,FALSE),"Unmapped")</x:f>
        <x:v>Cozy weekend gift box</x:v>
      </x:c>
      <x:c r="F791" s="2" t="str">
        <x:f>_xlfn.IFNA(VLOOKUP(D791,'Products'!$A$7:$I$22,3,FALSE),"Unmapped")</x:f>
        <x:v>Gifts</x:v>
      </x:c>
      <x:c r="G791" s="2" t="n">
        <x:v>2</x:v>
      </x:c>
      <x:c r="H791" s="2" t="n">
        <x:v>0</x:v>
      </x:c>
      <x:c r="I791" s="10" t="n">
        <x:v>79.95</x:v>
      </x:c>
      <x:c r="J791" s="10" t="n">
        <x:v>15.99</x:v>
      </x:c>
      <x:c r="K791" s="10" t="n">
        <x:v>32</x:v>
      </x:c>
      <x:c r="L791" s="10" t="n">
        <x:f>G791*I791</x:f>
        <x:v>159.9</x:v>
      </x:c>
      <x:c r="M791" s="10" t="n">
        <x:f>ROUND((L791-J791)*H791/G791,2)</x:f>
        <x:v>0</x:v>
      </x:c>
      <x:c r="N791" s="10" t="n">
        <x:f>L791-J791-M791</x:f>
        <x:v>143.91</x:v>
      </x:c>
      <x:c r="O791" s="10" t="n">
        <x:f>(G791-H791)*K791</x:f>
        <x:v>64</x:v>
      </x:c>
      <x:c r="P791" s="10" t="n">
        <x:f>N791-O791</x:f>
        <x:v>79.91</x:v>
      </x:c>
      <x:c r="Q791" s="9" t="n">
        <x:f>A791-WEEKDAY(A791,2)+1</x:f>
        <x:v>46293</x:v>
      </x:c>
      <x:c r="R791" s="2" t="str">
        <x:f>IF(AND(A791&gt;='Review'!$B$4,A791&lt;='Review'!$D$4),"Selected","Outside")</x:f>
        <x:v>Selected</x:v>
      </x:c>
    </x:row>
    <x:row r="792" ht="20" customHeight="1">
      <x:c r="A792" s="9" t="n">
        <x:v>46293</x:v>
      </x:c>
      <x:c r="B792" s="2" t="str">
        <x:v>MM-1554</x:v>
      </x:c>
      <x:c r="C792" s="2" t="str">
        <x:v>Email</x:v>
      </x:c>
      <x:c r="D792" s="2" t="str">
        <x:v>APP-002</x:v>
      </x:c>
      <x:c r="E792" s="2" t="str">
        <x:f>_xlfn.IFNA(VLOOKUP(D792,'Products'!$A$7:$I$22,2,FALSE),"Unmapped")</x:f>
        <x:v>Weekend hoodie</x:v>
      </x:c>
      <x:c r="F792" s="2" t="str">
        <x:f>_xlfn.IFNA(VLOOKUP(D792,'Products'!$A$7:$I$22,3,FALSE),"Unmapped")</x:f>
        <x:v>Apparel</x:v>
      </x:c>
      <x:c r="G792" s="2" t="n">
        <x:v>1</x:v>
      </x:c>
      <x:c r="H792" s="2" t="n">
        <x:v>0</x:v>
      </x:c>
      <x:c r="I792" s="10" t="n">
        <x:v>69.95</x:v>
      </x:c>
      <x:c r="J792" s="10" t="n">
        <x:v>6.99</x:v>
      </x:c>
      <x:c r="K792" s="10" t="n">
        <x:v>28</x:v>
      </x:c>
      <x:c r="L792" s="10" t="n">
        <x:f>G792*I792</x:f>
        <x:v>69.95</x:v>
      </x:c>
      <x:c r="M792" s="10" t="n">
        <x:f>ROUND((L792-J792)*H792/G792,2)</x:f>
        <x:v>0</x:v>
      </x:c>
      <x:c r="N792" s="10" t="n">
        <x:f>L792-J792-M792</x:f>
        <x:v>62.96</x:v>
      </x:c>
      <x:c r="O792" s="10" t="n">
        <x:f>(G792-H792)*K792</x:f>
        <x:v>28</x:v>
      </x:c>
      <x:c r="P792" s="10" t="n">
        <x:f>N792-O792</x:f>
        <x:v>34.96</x:v>
      </x:c>
      <x:c r="Q792" s="9" t="n">
        <x:f>A792-WEEKDAY(A792,2)+1</x:f>
        <x:v>46293</x:v>
      </x:c>
      <x:c r="R792" s="2" t="str">
        <x:f>IF(AND(A792&gt;='Review'!$B$4,A792&lt;='Review'!$D$4),"Selected","Outside")</x:f>
        <x:v>Selected</x:v>
      </x:c>
    </x:row>
    <x:row r="793" ht="20" customHeight="1">
      <x:c r="A793" s="9" t="n">
        <x:v>46293</x:v>
      </x:c>
      <x:c r="B793" s="2" t="str">
        <x:v>MM-1554</x:v>
      </x:c>
      <x:c r="C793" s="2" t="str">
        <x:v>Email</x:v>
      </x:c>
      <x:c r="D793" s="2" t="str">
        <x:v>BOT-001</x:v>
      </x:c>
      <x:c r="E793" s="2" t="str">
        <x:f>_xlfn.IFNA(VLOOKUP(D793,'Products'!$A$7:$I$22,2,FALSE),"Unmapped")</x:f>
        <x:v>Trail water bottle</x:v>
      </x:c>
      <x:c r="F793" s="2" t="str">
        <x:f>_xlfn.IFNA(VLOOKUP(D793,'Products'!$A$7:$I$22,3,FALSE),"Unmapped")</x:f>
        <x:v>Drinkware</x:v>
      </x:c>
      <x:c r="G793" s="2" t="n">
        <x:v>2</x:v>
      </x:c>
      <x:c r="H793" s="2" t="n">
        <x:v>0</x:v>
      </x:c>
      <x:c r="I793" s="10" t="n">
        <x:v>34.95</x:v>
      </x:c>
      <x:c r="J793" s="10" t="n">
        <x:v>6.99</x:v>
      </x:c>
      <x:c r="K793" s="10" t="n">
        <x:v>13.5</x:v>
      </x:c>
      <x:c r="L793" s="10" t="n">
        <x:f>G793*I793</x:f>
        <x:v>69.9</x:v>
      </x:c>
      <x:c r="M793" s="10" t="n">
        <x:f>ROUND((L793-J793)*H793/G793,2)</x:f>
        <x:v>0</x:v>
      </x:c>
      <x:c r="N793" s="10" t="n">
        <x:f>L793-J793-M793</x:f>
        <x:v>62.910000000000004</x:v>
      </x:c>
      <x:c r="O793" s="10" t="n">
        <x:f>(G793-H793)*K793</x:f>
        <x:v>27</x:v>
      </x:c>
      <x:c r="P793" s="10" t="n">
        <x:f>N793-O793</x:f>
        <x:v>35.910000000000004</x:v>
      </x:c>
      <x:c r="Q793" s="9" t="n">
        <x:f>A793-WEEKDAY(A793,2)+1</x:f>
        <x:v>46293</x:v>
      </x:c>
      <x:c r="R793" s="2" t="str">
        <x:f>IF(AND(A793&gt;='Review'!$B$4,A793&lt;='Review'!$D$4),"Selected","Outside")</x:f>
        <x:v>Selected</x:v>
      </x:c>
    </x:row>
    <x:row r="794" ht="20" customHeight="1">
      <x:c r="A794" s="9" t="n">
        <x:v>46293</x:v>
      </x:c>
      <x:c r="B794" s="2" t="str">
        <x:v>MM-1555</x:v>
      </x:c>
      <x:c r="C794" s="2" t="str">
        <x:v>Email</x:v>
      </x:c>
      <x:c r="D794" s="2" t="str">
        <x:v>TOTE-001</x:v>
      </x:c>
      <x:c r="E794" s="2" t="str">
        <x:f>_xlfn.IFNA(VLOOKUP(D794,'Products'!$A$7:$I$22,2,FALSE),"Unmapped")</x:f>
        <x:v>Market canvas tote</x:v>
      </x:c>
      <x:c r="F794" s="2" t="str">
        <x:f>_xlfn.IFNA(VLOOKUP(D794,'Products'!$A$7:$I$22,3,FALSE),"Unmapped")</x:f>
        <x:v>Accessories</x:v>
      </x:c>
      <x:c r="G794" s="2" t="n">
        <x:v>1</x:v>
      </x:c>
      <x:c r="H794" s="2" t="n">
        <x:v>0</x:v>
      </x:c>
      <x:c r="I794" s="10" t="n">
        <x:v>19.95</x:v>
      </x:c>
      <x:c r="J794" s="10" t="n">
        <x:v>1.99</x:v>
      </x:c>
      <x:c r="K794" s="10" t="n">
        <x:v>6</x:v>
      </x:c>
      <x:c r="L794" s="10" t="n">
        <x:f>G794*I794</x:f>
        <x:v>19.95</x:v>
      </x:c>
      <x:c r="M794" s="10" t="n">
        <x:f>ROUND((L794-J794)*H794/G794,2)</x:f>
        <x:v>0</x:v>
      </x:c>
      <x:c r="N794" s="10" t="n">
        <x:f>L794-J794-M794</x:f>
        <x:v>17.96</x:v>
      </x:c>
      <x:c r="O794" s="10" t="n">
        <x:f>(G794-H794)*K794</x:f>
        <x:v>6</x:v>
      </x:c>
      <x:c r="P794" s="10" t="n">
        <x:f>N794-O794</x:f>
        <x:v>11.96</x:v>
      </x:c>
      <x:c r="Q794" s="9" t="n">
        <x:f>A794-WEEKDAY(A794,2)+1</x:f>
        <x:v>46293</x:v>
      </x:c>
      <x:c r="R794" s="2" t="str">
        <x:f>IF(AND(A794&gt;='Review'!$B$4,A794&lt;='Review'!$D$4),"Selected","Outside")</x:f>
        <x:v>Selected</x:v>
      </x:c>
    </x:row>
    <x:row r="795" ht="20" customHeight="1">
      <x:c r="A795" s="9" t="n">
        <x:v>46293</x:v>
      </x:c>
      <x:c r="B795" s="2" t="str">
        <x:v>MM-1556</x:v>
      </x:c>
      <x:c r="C795" s="2" t="str">
        <x:v>Direct</x:v>
      </x:c>
      <x:c r="D795" s="2" t="str">
        <x:v>MUG-002</x:v>
      </x:c>
      <x:c r="E795" s="2" t="str">
        <x:f>_xlfn.IFNA(VLOOKUP(D795,'Products'!$A$7:$I$22,2,FALSE),"Unmapped")</x:f>
        <x:v>Campfire enamel mug</x:v>
      </x:c>
      <x:c r="F795" s="2" t="str">
        <x:f>_xlfn.IFNA(VLOOKUP(D795,'Products'!$A$7:$I$22,3,FALSE),"Unmapped")</x:f>
        <x:v>Drinkware</x:v>
      </x:c>
      <x:c r="G795" s="2" t="n">
        <x:v>1</x:v>
      </x:c>
      <x:c r="H795" s="2" t="n">
        <x:v>1</x:v>
      </x:c>
      <x:c r="I795" s="10" t="n">
        <x:v>22.95</x:v>
      </x:c>
      <x:c r="J795" s="10" t="n">
        <x:v>0</x:v>
      </x:c>
      <x:c r="K795" s="10" t="n">
        <x:v>8.5</x:v>
      </x:c>
      <x:c r="L795" s="10" t="n">
        <x:f>G795*I795</x:f>
        <x:v>22.95</x:v>
      </x:c>
      <x:c r="M795" s="10" t="n">
        <x:f>ROUND((L795-J795)*H795/G795,2)</x:f>
        <x:v>22.95</x:v>
      </x:c>
      <x:c r="N795" s="10" t="n">
        <x:f>L795-J795-M795</x:f>
        <x:v>0</x:v>
      </x:c>
      <x:c r="O795" s="10" t="n">
        <x:f>(G795-H795)*K795</x:f>
        <x:v>0</x:v>
      </x:c>
      <x:c r="P795" s="10" t="n">
        <x:f>N795-O795</x:f>
        <x:v>0</x:v>
      </x:c>
      <x:c r="Q795" s="9" t="n">
        <x:f>A795-WEEKDAY(A795,2)+1</x:f>
        <x:v>46293</x:v>
      </x:c>
      <x:c r="R795" s="2" t="str">
        <x:f>IF(AND(A795&gt;='Review'!$B$4,A795&lt;='Review'!$D$4),"Selected","Outside")</x:f>
        <x:v>Selected</x:v>
      </x:c>
    </x:row>
    <x:row r="796" ht="20" customHeight="1">
      <x:c r="A796" s="9" t="n">
        <x:v>46293</x:v>
      </x:c>
      <x:c r="B796" s="2" t="str">
        <x:v>MM-1566</x:v>
      </x:c>
      <x:c r="C796" s="2" t="str">
        <x:v>Paid Social</x:v>
      </x:c>
      <x:c r="D796" s="2" t="str">
        <x:v>MUG-002</x:v>
      </x:c>
      <x:c r="E796" s="2" t="str">
        <x:f>_xlfn.IFNA(VLOOKUP(D796,'Products'!$A$7:$I$22,2,FALSE),"Unmapped")</x:f>
        <x:v>Campfire enamel mug</x:v>
      </x:c>
      <x:c r="F796" s="2" t="str">
        <x:f>_xlfn.IFNA(VLOOKUP(D796,'Products'!$A$7:$I$22,3,FALSE),"Unmapped")</x:f>
        <x:v>Drinkware</x:v>
      </x:c>
      <x:c r="G796" s="2" t="n">
        <x:v>1</x:v>
      </x:c>
      <x:c r="H796" s="2" t="n">
        <x:v>0</x:v>
      </x:c>
      <x:c r="I796" s="10" t="n">
        <x:v>22.95</x:v>
      </x:c>
      <x:c r="J796" s="10" t="n">
        <x:v>0</x:v>
      </x:c>
      <x:c r="K796" s="10" t="n">
        <x:v>8.5</x:v>
      </x:c>
      <x:c r="L796" s="10" t="n">
        <x:f>G796*I796</x:f>
        <x:v>22.95</x:v>
      </x:c>
      <x:c r="M796" s="10" t="n">
        <x:f>ROUND((L796-J796)*H796/G796,2)</x:f>
        <x:v>0</x:v>
      </x:c>
      <x:c r="N796" s="10" t="n">
        <x:f>L796-J796-M796</x:f>
        <x:v>22.95</x:v>
      </x:c>
      <x:c r="O796" s="10" t="n">
        <x:f>(G796-H796)*K796</x:f>
        <x:v>8.5</x:v>
      </x:c>
      <x:c r="P796" s="10" t="n">
        <x:f>N796-O796</x:f>
        <x:v>14.45</x:v>
      </x:c>
      <x:c r="Q796" s="9" t="n">
        <x:f>A796-WEEKDAY(A796,2)+1</x:f>
        <x:v>46293</x:v>
      </x:c>
      <x:c r="R796" s="2" t="str">
        <x:f>IF(AND(A796&gt;='Review'!$B$4,A796&lt;='Review'!$D$4),"Selected","Outside")</x:f>
        <x:v>Selected</x:v>
      </x:c>
    </x:row>
    <x:row r="797" ht="20" customHeight="1">
      <x:c r="A797" s="9" t="n">
        <x:v>46294</x:v>
      </x:c>
      <x:c r="B797" s="2" t="str">
        <x:v>MM-1570</x:v>
      </x:c>
      <x:c r="C797" s="2" t="str">
        <x:v>Organic Search</x:v>
      </x:c>
      <x:c r="D797" s="2" t="str">
        <x:v>KEY-001</x:v>
      </x:c>
      <x:c r="E797" s="2" t="str">
        <x:f>_xlfn.IFNA(VLOOKUP(D797,'Products'!$A$7:$I$22,2,FALSE),"Unmapped")</x:f>
        <x:v>Maple keyring</x:v>
      </x:c>
      <x:c r="F797" s="2" t="str">
        <x:f>_xlfn.IFNA(VLOOKUP(D797,'Products'!$A$7:$I$22,3,FALSE),"Unmapped")</x:f>
        <x:v>Accessories</x:v>
      </x:c>
      <x:c r="G797" s="2" t="n">
        <x:v>1</x:v>
      </x:c>
      <x:c r="H797" s="2" t="n">
        <x:v>0</x:v>
      </x:c>
      <x:c r="I797" s="10" t="n">
        <x:v>12.95</x:v>
      </x:c>
      <x:c r="J797" s="10" t="n">
        <x:v>1.29</x:v>
      </x:c>
      <x:c r="K797" s="10" t="n">
        <x:v>3.5</x:v>
      </x:c>
      <x:c r="L797" s="10" t="n">
        <x:f>G797*I797</x:f>
        <x:v>12.95</x:v>
      </x:c>
      <x:c r="M797" s="10" t="n">
        <x:f>ROUND((L797-J797)*H797/G797,2)</x:f>
        <x:v>0</x:v>
      </x:c>
      <x:c r="N797" s="10" t="n">
        <x:f>L797-J797-M797</x:f>
        <x:v>11.66</x:v>
      </x:c>
      <x:c r="O797" s="10" t="n">
        <x:f>(G797-H797)*K797</x:f>
        <x:v>3.5</x:v>
      </x:c>
      <x:c r="P797" s="10" t="n">
        <x:f>N797-O797</x:f>
        <x:v>8.16</x:v>
      </x:c>
      <x:c r="Q797" s="9" t="n">
        <x:f>A797-WEEKDAY(A797,2)+1</x:f>
        <x:v>46293</x:v>
      </x:c>
      <x:c r="R797" s="2" t="str">
        <x:f>IF(AND(A797&gt;='Review'!$B$4,A797&lt;='Review'!$D$4),"Selected","Outside")</x:f>
        <x:v>Selected</x:v>
      </x:c>
    </x:row>
    <x:row r="798" ht="20" customHeight="1">
      <x:c r="A798" s="9" t="n">
        <x:v>46294</x:v>
      </x:c>
      <x:c r="B798" s="2" t="str">
        <x:v>MM-1569</x:v>
      </x:c>
      <x:c r="C798" s="2" t="str">
        <x:v>Paid Social</x:v>
      </x:c>
      <x:c r="D798" s="2" t="str">
        <x:v>TOTE-001</x:v>
      </x:c>
      <x:c r="E798" s="2" t="str">
        <x:f>_xlfn.IFNA(VLOOKUP(D798,'Products'!$A$7:$I$22,2,FALSE),"Unmapped")</x:f>
        <x:v>Market canvas tote</x:v>
      </x:c>
      <x:c r="F798" s="2" t="str">
        <x:f>_xlfn.IFNA(VLOOKUP(D798,'Products'!$A$7:$I$22,3,FALSE),"Unmapped")</x:f>
        <x:v>Accessories</x:v>
      </x:c>
      <x:c r="G798" s="2" t="n">
        <x:v>1</x:v>
      </x:c>
      <x:c r="H798" s="2" t="n">
        <x:v>0</x:v>
      </x:c>
      <x:c r="I798" s="10" t="n">
        <x:v>19.95</x:v>
      </x:c>
      <x:c r="J798" s="10" t="n">
        <x:v>0</x:v>
      </x:c>
      <x:c r="K798" s="10" t="n">
        <x:v>6</x:v>
      </x:c>
      <x:c r="L798" s="10" t="n">
        <x:f>G798*I798</x:f>
        <x:v>19.95</x:v>
      </x:c>
      <x:c r="M798" s="10" t="n">
        <x:f>ROUND((L798-J798)*H798/G798,2)</x:f>
        <x:v>0</x:v>
      </x:c>
      <x:c r="N798" s="10" t="n">
        <x:f>L798-J798-M798</x:f>
        <x:v>19.95</x:v>
      </x:c>
      <x:c r="O798" s="10" t="n">
        <x:f>(G798-H798)*K798</x:f>
        <x:v>6</x:v>
      </x:c>
      <x:c r="P798" s="10" t="n">
        <x:f>N798-O798</x:f>
        <x:v>13.95</x:v>
      </x:c>
      <x:c r="Q798" s="9" t="n">
        <x:f>A798-WEEKDAY(A798,2)+1</x:f>
        <x:v>46293</x:v>
      </x:c>
      <x:c r="R798" s="2" t="str">
        <x:f>IF(AND(A798&gt;='Review'!$B$4,A798&lt;='Review'!$D$4),"Selected","Outside")</x:f>
        <x:v>Selected</x:v>
      </x:c>
    </x:row>
    <x:row r="799" ht="20" customHeight="1">
      <x:c r="A799" s="9" t="n">
        <x:v>46294</x:v>
      </x:c>
      <x:c r="B799" s="2" t="str">
        <x:v>MM-1575</x:v>
      </x:c>
      <x:c r="C799" s="2" t="str">
        <x:v>Paid Social</x:v>
      </x:c>
      <x:c r="D799" s="2" t="str">
        <x:v>PIN-001</x:v>
      </x:c>
      <x:c r="E799" s="2" t="str">
        <x:f>_xlfn.IFNA(VLOOKUP(D799,'Products'!$A$7:$I$22,2,FALSE),"Unmapped")</x:f>
        <x:v>Coffee enamel pin</x:v>
      </x:c>
      <x:c r="F799" s="2" t="str">
        <x:f>_xlfn.IFNA(VLOOKUP(D799,'Products'!$A$7:$I$22,3,FALSE),"Unmapped")</x:f>
        <x:v>Accessories</x:v>
      </x:c>
      <x:c r="G799" s="2" t="n">
        <x:v>1</x:v>
      </x:c>
      <x:c r="H799" s="2" t="n">
        <x:v>0</x:v>
      </x:c>
      <x:c r="I799" s="10" t="n">
        <x:v>9.95</x:v>
      </x:c>
      <x:c r="J799" s="10" t="n">
        <x:v>0</x:v>
      </x:c>
      <x:c r="K799" s="10" t="n">
        <x:v>2.5</x:v>
      </x:c>
      <x:c r="L799" s="10" t="n">
        <x:f>G799*I799</x:f>
        <x:v>9.95</x:v>
      </x:c>
      <x:c r="M799" s="10" t="n">
        <x:f>ROUND((L799-J799)*H799/G799,2)</x:f>
        <x:v>0</x:v>
      </x:c>
      <x:c r="N799" s="10" t="n">
        <x:f>L799-J799-M799</x:f>
        <x:v>9.95</x:v>
      </x:c>
      <x:c r="O799" s="10" t="n">
        <x:f>(G799-H799)*K799</x:f>
        <x:v>2.5</x:v>
      </x:c>
      <x:c r="P799" s="10" t="n">
        <x:f>N799-O799</x:f>
        <x:v>7.449999999999999</x:v>
      </x:c>
      <x:c r="Q799" s="9" t="n">
        <x:f>A799-WEEKDAY(A799,2)+1</x:f>
        <x:v>46293</x:v>
      </x:c>
      <x:c r="R799" s="2" t="str">
        <x:f>IF(AND(A799&gt;='Review'!$B$4,A799&lt;='Review'!$D$4),"Selected","Outside")</x:f>
        <x:v>Selected</x:v>
      </x:c>
    </x:row>
    <x:row r="800" ht="20" customHeight="1">
      <x:c r="A800" s="9" t="n">
        <x:v>46294</x:v>
      </x:c>
      <x:c r="B800" s="2" t="str">
        <x:v>MM-1575</x:v>
      </x:c>
      <x:c r="C800" s="2" t="str">
        <x:v>Paid Social</x:v>
      </x:c>
      <x:c r="D800" s="2" t="str">
        <x:v>TUM-002</x:v>
      </x:c>
      <x:c r="E800" s="2" t="str">
        <x:f>_xlfn.IFNA(VLOOKUP(D800,'Products'!$A$7:$I$22,2,FALSE),"Unmapped")</x:f>
        <x:v>Cold brew glass cup</x:v>
      </x:c>
      <x:c r="F800" s="2" t="str">
        <x:f>_xlfn.IFNA(VLOOKUP(D800,'Products'!$A$7:$I$22,3,FALSE),"Unmapped")</x:f>
        <x:v>Drinkware</x:v>
      </x:c>
      <x:c r="G800" s="2" t="n">
        <x:v>2</x:v>
      </x:c>
      <x:c r="H800" s="2" t="n">
        <x:v>0</x:v>
      </x:c>
      <x:c r="I800" s="10" t="n">
        <x:v>24.95</x:v>
      </x:c>
      <x:c r="J800" s="10" t="n">
        <x:v>0</x:v>
      </x:c>
      <x:c r="K800" s="10" t="n">
        <x:v>9</x:v>
      </x:c>
      <x:c r="L800" s="10" t="n">
        <x:f>G800*I800</x:f>
        <x:v>49.9</x:v>
      </x:c>
      <x:c r="M800" s="10" t="n">
        <x:f>ROUND((L800-J800)*H800/G800,2)</x:f>
        <x:v>0</x:v>
      </x:c>
      <x:c r="N800" s="10" t="n">
        <x:f>L800-J800-M800</x:f>
        <x:v>49.9</x:v>
      </x:c>
      <x:c r="O800" s="10" t="n">
        <x:f>(G800-H800)*K800</x:f>
        <x:v>18</x:v>
      </x:c>
      <x:c r="P800" s="10" t="n">
        <x:f>N800-O800</x:f>
        <x:v>31.9</x:v>
      </x:c>
      <x:c r="Q800" s="9" t="n">
        <x:f>A800-WEEKDAY(A800,2)+1</x:f>
        <x:v>46293</x:v>
      </x:c>
      <x:c r="R800" s="2" t="str">
        <x:f>IF(AND(A800&gt;='Review'!$B$4,A800&lt;='Review'!$D$4),"Selected","Outside")</x:f>
        <x:v>Selected</x:v>
      </x:c>
    </x:row>
    <x:row r="801" ht="20" customHeight="1">
      <x:c r="A801" s="9" t="n">
        <x:v>46294</x:v>
      </x:c>
      <x:c r="B801" s="2" t="str">
        <x:v>MM-1582</x:v>
      </x:c>
      <x:c r="C801" s="2" t="str">
        <x:v>Direct</x:v>
      </x:c>
      <x:c r="D801" s="2" t="str">
        <x:v>APP-001</x:v>
      </x:c>
      <x:c r="E801" s="2" t="str">
        <x:f>_xlfn.IFNA(VLOOKUP(D801,'Products'!$A$7:$I$22,2,FALSE),"Unmapped")</x:f>
        <x:v>Everyday crewneck</x:v>
      </x:c>
      <x:c r="F801" s="2" t="str">
        <x:f>_xlfn.IFNA(VLOOKUP(D801,'Products'!$A$7:$I$22,3,FALSE),"Unmapped")</x:f>
        <x:v>Apparel</x:v>
      </x:c>
      <x:c r="G801" s="2" t="n">
        <x:v>1</x:v>
      </x:c>
      <x:c r="H801" s="2" t="n">
        <x:v>0</x:v>
      </x:c>
      <x:c r="I801" s="10" t="n">
        <x:v>54.95</x:v>
      </x:c>
      <x:c r="J801" s="10" t="n">
        <x:v>0</x:v>
      </x:c>
      <x:c r="K801" s="10" t="n">
        <x:v>22</x:v>
      </x:c>
      <x:c r="L801" s="10" t="n">
        <x:f>G801*I801</x:f>
        <x:v>54.95</x:v>
      </x:c>
      <x:c r="M801" s="10" t="n">
        <x:f>ROUND((L801-J801)*H801/G801,2)</x:f>
        <x:v>0</x:v>
      </x:c>
      <x:c r="N801" s="10" t="n">
        <x:f>L801-J801-M801</x:f>
        <x:v>54.95</x:v>
      </x:c>
      <x:c r="O801" s="10" t="n">
        <x:f>(G801-H801)*K801</x:f>
        <x:v>22</x:v>
      </x:c>
      <x:c r="P801" s="10" t="n">
        <x:f>N801-O801</x:f>
        <x:v>32.95</x:v>
      </x:c>
      <x:c r="Q801" s="9" t="n">
        <x:f>A801-WEEKDAY(A801,2)+1</x:f>
        <x:v>46293</x:v>
      </x:c>
      <x:c r="R801" s="2" t="str">
        <x:f>IF(AND(A801&gt;='Review'!$B$4,A801&lt;='Review'!$D$4),"Selected","Outside")</x:f>
        <x:v>Selected</x:v>
      </x:c>
    </x:row>
    <x:row r="802" ht="20" customHeight="1">
      <x:c r="A802" s="9" t="n">
        <x:v>46294</x:v>
      </x:c>
      <x:c r="B802" s="2" t="str">
        <x:v>MM-1582</x:v>
      </x:c>
      <x:c r="C802" s="2" t="str">
        <x:v>Direct</x:v>
      </x:c>
      <x:c r="D802" s="2" t="str">
        <x:v>TOTE-001</x:v>
      </x:c>
      <x:c r="E802" s="2" t="str">
        <x:f>_xlfn.IFNA(VLOOKUP(D802,'Products'!$A$7:$I$22,2,FALSE),"Unmapped")</x:f>
        <x:v>Market canvas tote</x:v>
      </x:c>
      <x:c r="F802" s="2" t="str">
        <x:f>_xlfn.IFNA(VLOOKUP(D802,'Products'!$A$7:$I$22,3,FALSE),"Unmapped")</x:f>
        <x:v>Accessories</x:v>
      </x:c>
      <x:c r="G802" s="2" t="n">
        <x:v>1</x:v>
      </x:c>
      <x:c r="H802" s="2" t="n">
        <x:v>0</x:v>
      </x:c>
      <x:c r="I802" s="10" t="n">
        <x:v>19.95</x:v>
      </x:c>
      <x:c r="J802" s="10" t="n">
        <x:v>0</x:v>
      </x:c>
      <x:c r="K802" s="10" t="n">
        <x:v>6</x:v>
      </x:c>
      <x:c r="L802" s="10" t="n">
        <x:f>G802*I802</x:f>
        <x:v>19.95</x:v>
      </x:c>
      <x:c r="M802" s="10" t="n">
        <x:f>ROUND((L802-J802)*H802/G802,2)</x:f>
        <x:v>0</x:v>
      </x:c>
      <x:c r="N802" s="10" t="n">
        <x:f>L802-J802-M802</x:f>
        <x:v>19.95</x:v>
      </x:c>
      <x:c r="O802" s="10" t="n">
        <x:f>(G802-H802)*K802</x:f>
        <x:v>6</x:v>
      </x:c>
      <x:c r="P802" s="10" t="n">
        <x:f>N802-O802</x:f>
        <x:v>13.95</x:v>
      </x:c>
      <x:c r="Q802" s="9" t="n">
        <x:f>A802-WEEKDAY(A802,2)+1</x:f>
        <x:v>46293</x:v>
      </x:c>
      <x:c r="R802" s="2" t="str">
        <x:f>IF(AND(A802&gt;='Review'!$B$4,A802&lt;='Review'!$D$4),"Selected","Outside")</x:f>
        <x:v>Selected</x:v>
      </x:c>
    </x:row>
    <x:row r="803" ht="20" customHeight="1">
      <x:c r="A803" s="9" t="n">
        <x:v>46294</x:v>
      </x:c>
      <x:c r="B803" s="2" t="str">
        <x:v>MM-1574</x:v>
      </x:c>
      <x:c r="C803" s="2" t="str">
        <x:v>Organic Search</x:v>
      </x:c>
      <x:c r="D803" s="2" t="str">
        <x:v>TOTE-001</x:v>
      </x:c>
      <x:c r="E803" s="2" t="str">
        <x:f>_xlfn.IFNA(VLOOKUP(D803,'Products'!$A$7:$I$22,2,FALSE),"Unmapped")</x:f>
        <x:v>Market canvas tote</x:v>
      </x:c>
      <x:c r="F803" s="2" t="str">
        <x:f>_xlfn.IFNA(VLOOKUP(D803,'Products'!$A$7:$I$22,3,FALSE),"Unmapped")</x:f>
        <x:v>Accessories</x:v>
      </x:c>
      <x:c r="G803" s="2" t="n">
        <x:v>1</x:v>
      </x:c>
      <x:c r="H803" s="2" t="n">
        <x:v>0</x:v>
      </x:c>
      <x:c r="I803" s="10" t="n">
        <x:v>19.95</x:v>
      </x:c>
      <x:c r="J803" s="10" t="n">
        <x:v>0</x:v>
      </x:c>
      <x:c r="K803" s="10" t="n">
        <x:v>6</x:v>
      </x:c>
      <x:c r="L803" s="10" t="n">
        <x:f>G803*I803</x:f>
        <x:v>19.95</x:v>
      </x:c>
      <x:c r="M803" s="10" t="n">
        <x:f>ROUND((L803-J803)*H803/G803,2)</x:f>
        <x:v>0</x:v>
      </x:c>
      <x:c r="N803" s="10" t="n">
        <x:f>L803-J803-M803</x:f>
        <x:v>19.95</x:v>
      </x:c>
      <x:c r="O803" s="10" t="n">
        <x:f>(G803-H803)*K803</x:f>
        <x:v>6</x:v>
      </x:c>
      <x:c r="P803" s="10" t="n">
        <x:f>N803-O803</x:f>
        <x:v>13.95</x:v>
      </x:c>
      <x:c r="Q803" s="9" t="n">
        <x:f>A803-WEEKDAY(A803,2)+1</x:f>
        <x:v>46293</x:v>
      </x:c>
      <x:c r="R803" s="2" t="str">
        <x:f>IF(AND(A803&gt;='Review'!$B$4,A803&lt;='Review'!$D$4),"Selected","Outside")</x:f>
        <x:v>Selected</x:v>
      </x:c>
    </x:row>
    <x:row r="804" ht="20" customHeight="1">
      <x:c r="A804" s="9" t="n">
        <x:v>46294</x:v>
      </x:c>
      <x:c r="B804" s="2" t="str">
        <x:v>MM-1580</x:v>
      </x:c>
      <x:c r="C804" s="2" t="str">
        <x:v>Email</x:v>
      </x:c>
      <x:c r="D804" s="2" t="str">
        <x:v>HAT-001</x:v>
      </x:c>
      <x:c r="E804" s="2" t="str">
        <x:f>_xlfn.IFNA(VLOOKUP(D804,'Products'!$A$7:$I$22,2,FALSE),"Unmapped")</x:f>
        <x:v>Classic canvas cap</x:v>
      </x:c>
      <x:c r="F804" s="2" t="str">
        <x:f>_xlfn.IFNA(VLOOKUP(D804,'Products'!$A$7:$I$22,3,FALSE),"Unmapped")</x:f>
        <x:v>Accessories</x:v>
      </x:c>
      <x:c r="G804" s="2" t="n">
        <x:v>1</x:v>
      </x:c>
      <x:c r="H804" s="2" t="n">
        <x:v>0</x:v>
      </x:c>
      <x:c r="I804" s="10" t="n">
        <x:v>24.95</x:v>
      </x:c>
      <x:c r="J804" s="10" t="n">
        <x:v>2.49</x:v>
      </x:c>
      <x:c r="K804" s="10" t="n">
        <x:v>8.5</x:v>
      </x:c>
      <x:c r="L804" s="10" t="n">
        <x:f>G804*I804</x:f>
        <x:v>24.95</x:v>
      </x:c>
      <x:c r="M804" s="10" t="n">
        <x:f>ROUND((L804-J804)*H804/G804,2)</x:f>
        <x:v>0</x:v>
      </x:c>
      <x:c r="N804" s="10" t="n">
        <x:f>L804-J804-M804</x:f>
        <x:v>22.46</x:v>
      </x:c>
      <x:c r="O804" s="10" t="n">
        <x:f>(G804-H804)*K804</x:f>
        <x:v>8.5</x:v>
      </x:c>
      <x:c r="P804" s="10" t="n">
        <x:f>N804-O804</x:f>
        <x:v>13.96</x:v>
      </x:c>
      <x:c r="Q804" s="9" t="n">
        <x:f>A804-WEEKDAY(A804,2)+1</x:f>
        <x:v>46293</x:v>
      </x:c>
      <x:c r="R804" s="2" t="str">
        <x:f>IF(AND(A804&gt;='Review'!$B$4,A804&lt;='Review'!$D$4),"Selected","Outside")</x:f>
        <x:v>Selected</x:v>
      </x:c>
    </x:row>
    <x:row r="805" ht="20" customHeight="1">
      <x:c r="A805" s="9" t="n">
        <x:v>46294</x:v>
      </x:c>
      <x:c r="B805" s="2" t="str">
        <x:v>MM-1567</x:v>
      </x:c>
      <x:c r="C805" s="2" t="str">
        <x:v>Email</x:v>
      </x:c>
      <x:c r="D805" s="2" t="str">
        <x:v>APP-001</x:v>
      </x:c>
      <x:c r="E805" s="2" t="str">
        <x:f>_xlfn.IFNA(VLOOKUP(D805,'Products'!$A$7:$I$22,2,FALSE),"Unmapped")</x:f>
        <x:v>Everyday crewneck</x:v>
      </x:c>
      <x:c r="F805" s="2" t="str">
        <x:f>_xlfn.IFNA(VLOOKUP(D805,'Products'!$A$7:$I$22,3,FALSE),"Unmapped")</x:f>
        <x:v>Apparel</x:v>
      </x:c>
      <x:c r="G805" s="2" t="n">
        <x:v>1</x:v>
      </x:c>
      <x:c r="H805" s="2" t="n">
        <x:v>0</x:v>
      </x:c>
      <x:c r="I805" s="10" t="n">
        <x:v>54.95</x:v>
      </x:c>
      <x:c r="J805" s="10" t="n">
        <x:v>5.49</x:v>
      </x:c>
      <x:c r="K805" s="10" t="n">
        <x:v>22</x:v>
      </x:c>
      <x:c r="L805" s="10" t="n">
        <x:f>G805*I805</x:f>
        <x:v>54.95</x:v>
      </x:c>
      <x:c r="M805" s="10" t="n">
        <x:f>ROUND((L805-J805)*H805/G805,2)</x:f>
        <x:v>0</x:v>
      </x:c>
      <x:c r="N805" s="10" t="n">
        <x:f>L805-J805-M805</x:f>
        <x:v>49.46</x:v>
      </x:c>
      <x:c r="O805" s="10" t="n">
        <x:f>(G805-H805)*K805</x:f>
        <x:v>22</x:v>
      </x:c>
      <x:c r="P805" s="10" t="n">
        <x:f>N805-O805</x:f>
        <x:v>27.46</x:v>
      </x:c>
      <x:c r="Q805" s="9" t="n">
        <x:f>A805-WEEKDAY(A805,2)+1</x:f>
        <x:v>46293</x:v>
      </x:c>
      <x:c r="R805" s="2" t="str">
        <x:f>IF(AND(A805&gt;='Review'!$B$4,A805&lt;='Review'!$D$4),"Selected","Outside")</x:f>
        <x:v>Selected</x:v>
      </x:c>
    </x:row>
    <x:row r="806" ht="20" customHeight="1">
      <x:c r="A806" s="9" t="n">
        <x:v>46294</x:v>
      </x:c>
      <x:c r="B806" s="2" t="str">
        <x:v>MM-1577</x:v>
      </x:c>
      <x:c r="C806" s="2" t="str">
        <x:v>Paid Social</x:v>
      </x:c>
      <x:c r="D806" s="2" t="str">
        <x:v>MUG-001</x:v>
      </x:c>
      <x:c r="E806" s="2" t="str">
        <x:f>_xlfn.IFNA(VLOOKUP(D806,'Products'!$A$7:$I$22,2,FALSE),"Unmapped")</x:f>
        <x:v>Everyday ceramic mug</x:v>
      </x:c>
      <x:c r="F806" s="2" t="str">
        <x:f>_xlfn.IFNA(VLOOKUP(D806,'Products'!$A$7:$I$22,3,FALSE),"Unmapped")</x:f>
        <x:v>Drinkware</x:v>
      </x:c>
      <x:c r="G806" s="2" t="n">
        <x:v>1</x:v>
      </x:c>
      <x:c r="H806" s="2" t="n">
        <x:v>0</x:v>
      </x:c>
      <x:c r="I806" s="10" t="n">
        <x:v>18.95</x:v>
      </x:c>
      <x:c r="J806" s="10" t="n">
        <x:v>0</x:v>
      </x:c>
      <x:c r="K806" s="10" t="n">
        <x:v>6.5</x:v>
      </x:c>
      <x:c r="L806" s="10" t="n">
        <x:f>G806*I806</x:f>
        <x:v>18.95</x:v>
      </x:c>
      <x:c r="M806" s="10" t="n">
        <x:f>ROUND((L806-J806)*H806/G806,2)</x:f>
        <x:v>0</x:v>
      </x:c>
      <x:c r="N806" s="10" t="n">
        <x:f>L806-J806-M806</x:f>
        <x:v>18.95</x:v>
      </x:c>
      <x:c r="O806" s="10" t="n">
        <x:f>(G806-H806)*K806</x:f>
        <x:v>6.5</x:v>
      </x:c>
      <x:c r="P806" s="10" t="n">
        <x:f>N806-O806</x:f>
        <x:v>12.45</x:v>
      </x:c>
      <x:c r="Q806" s="9" t="n">
        <x:f>A806-WEEKDAY(A806,2)+1</x:f>
        <x:v>46293</x:v>
      </x:c>
      <x:c r="R806" s="2" t="str">
        <x:f>IF(AND(A806&gt;='Review'!$B$4,A806&lt;='Review'!$D$4),"Selected","Outside")</x:f>
        <x:v>Selected</x:v>
      </x:c>
    </x:row>
    <x:row r="807" ht="20" customHeight="1">
      <x:c r="A807" s="9" t="n">
        <x:v>46294</x:v>
      </x:c>
      <x:c r="B807" s="2" t="str">
        <x:v>MM-1577</x:v>
      </x:c>
      <x:c r="C807" s="2" t="str">
        <x:v>Paid Social</x:v>
      </x:c>
      <x:c r="D807" s="2" t="str">
        <x:v>PIN-001</x:v>
      </x:c>
      <x:c r="E807" s="2" t="str">
        <x:f>_xlfn.IFNA(VLOOKUP(D807,'Products'!$A$7:$I$22,2,FALSE),"Unmapped")</x:f>
        <x:v>Coffee enamel pin</x:v>
      </x:c>
      <x:c r="F807" s="2" t="str">
        <x:f>_xlfn.IFNA(VLOOKUP(D807,'Products'!$A$7:$I$22,3,FALSE),"Unmapped")</x:f>
        <x:v>Accessories</x:v>
      </x:c>
      <x:c r="G807" s="2" t="n">
        <x:v>1</x:v>
      </x:c>
      <x:c r="H807" s="2" t="n">
        <x:v>0</x:v>
      </x:c>
      <x:c r="I807" s="10" t="n">
        <x:v>9.95</x:v>
      </x:c>
      <x:c r="J807" s="10" t="n">
        <x:v>0</x:v>
      </x:c>
      <x:c r="K807" s="10" t="n">
        <x:v>2.5</x:v>
      </x:c>
      <x:c r="L807" s="10" t="n">
        <x:f>G807*I807</x:f>
        <x:v>9.95</x:v>
      </x:c>
      <x:c r="M807" s="10" t="n">
        <x:f>ROUND((L807-J807)*H807/G807,2)</x:f>
        <x:v>0</x:v>
      </x:c>
      <x:c r="N807" s="10" t="n">
        <x:f>L807-J807-M807</x:f>
        <x:v>9.95</x:v>
      </x:c>
      <x:c r="O807" s="10" t="n">
        <x:f>(G807-H807)*K807</x:f>
        <x:v>2.5</x:v>
      </x:c>
      <x:c r="P807" s="10" t="n">
        <x:f>N807-O807</x:f>
        <x:v>7.449999999999999</x:v>
      </x:c>
      <x:c r="Q807" s="9" t="n">
        <x:f>A807-WEEKDAY(A807,2)+1</x:f>
        <x:v>46293</x:v>
      </x:c>
      <x:c r="R807" s="2" t="str">
        <x:f>IF(AND(A807&gt;='Review'!$B$4,A807&lt;='Review'!$D$4),"Selected","Outside")</x:f>
        <x:v>Selected</x:v>
      </x:c>
    </x:row>
    <x:row r="808" ht="20" customHeight="1">
      <x:c r="A808" s="9" t="n">
        <x:v>46294</x:v>
      </x:c>
      <x:c r="B808" s="2" t="str">
        <x:v>MM-1577</x:v>
      </x:c>
      <x:c r="C808" s="2" t="str">
        <x:v>Paid Social</x:v>
      </x:c>
      <x:c r="D808" s="2" t="str">
        <x:v>MUG-002</x:v>
      </x:c>
      <x:c r="E808" s="2" t="str">
        <x:f>_xlfn.IFNA(VLOOKUP(D808,'Products'!$A$7:$I$22,2,FALSE),"Unmapped")</x:f>
        <x:v>Campfire enamel mug</x:v>
      </x:c>
      <x:c r="F808" s="2" t="str">
        <x:f>_xlfn.IFNA(VLOOKUP(D808,'Products'!$A$7:$I$22,3,FALSE),"Unmapped")</x:f>
        <x:v>Drinkware</x:v>
      </x:c>
      <x:c r="G808" s="2" t="n">
        <x:v>1</x:v>
      </x:c>
      <x:c r="H808" s="2" t="n">
        <x:v>0</x:v>
      </x:c>
      <x:c r="I808" s="10" t="n">
        <x:v>22.95</x:v>
      </x:c>
      <x:c r="J808" s="10" t="n">
        <x:v>0</x:v>
      </x:c>
      <x:c r="K808" s="10" t="n">
        <x:v>8.5</x:v>
      </x:c>
      <x:c r="L808" s="10" t="n">
        <x:f>G808*I808</x:f>
        <x:v>22.95</x:v>
      </x:c>
      <x:c r="M808" s="10" t="n">
        <x:f>ROUND((L808-J808)*H808/G808,2)</x:f>
        <x:v>0</x:v>
      </x:c>
      <x:c r="N808" s="10" t="n">
        <x:f>L808-J808-M808</x:f>
        <x:v>22.95</x:v>
      </x:c>
      <x:c r="O808" s="10" t="n">
        <x:f>(G808-H808)*K808</x:f>
        <x:v>8.5</x:v>
      </x:c>
      <x:c r="P808" s="10" t="n">
        <x:f>N808-O808</x:f>
        <x:v>14.45</x:v>
      </x:c>
      <x:c r="Q808" s="9" t="n">
        <x:f>A808-WEEKDAY(A808,2)+1</x:f>
        <x:v>46293</x:v>
      </x:c>
      <x:c r="R808" s="2" t="str">
        <x:f>IF(AND(A808&gt;='Review'!$B$4,A808&lt;='Review'!$D$4),"Selected","Outside")</x:f>
        <x:v>Selected</x:v>
      </x:c>
    </x:row>
    <x:row r="809" ht="20" customHeight="1">
      <x:c r="A809" s="9" t="n">
        <x:v>46294</x:v>
      </x:c>
      <x:c r="B809" s="2" t="str">
        <x:v>MM-1579</x:v>
      </x:c>
      <x:c r="C809" s="2" t="str">
        <x:v>Direct</x:v>
      </x:c>
      <x:c r="D809" s="2" t="str">
        <x:v>GFT-002</x:v>
      </x:c>
      <x:c r="E809" s="2" t="str">
        <x:f>_xlfn.IFNA(VLOOKUP(D809,'Products'!$A$7:$I$22,2,FALSE),"Unmapped")</x:f>
        <x:v>Cozy weekend gift box</x:v>
      </x:c>
      <x:c r="F809" s="2" t="str">
        <x:f>_xlfn.IFNA(VLOOKUP(D809,'Products'!$A$7:$I$22,3,FALSE),"Unmapped")</x:f>
        <x:v>Gifts</x:v>
      </x:c>
      <x:c r="G809" s="2" t="n">
        <x:v>1</x:v>
      </x:c>
      <x:c r="H809" s="2" t="n">
        <x:v>0</x:v>
      </x:c>
      <x:c r="I809" s="10" t="n">
        <x:v>79.95</x:v>
      </x:c>
      <x:c r="J809" s="10" t="n">
        <x:v>0</x:v>
      </x:c>
      <x:c r="K809" s="10" t="n">
        <x:v>32</x:v>
      </x:c>
      <x:c r="L809" s="10" t="n">
        <x:f>G809*I809</x:f>
        <x:v>79.95</x:v>
      </x:c>
      <x:c r="M809" s="10" t="n">
        <x:f>ROUND((L809-J809)*H809/G809,2)</x:f>
        <x:v>0</x:v>
      </x:c>
      <x:c r="N809" s="10" t="n">
        <x:f>L809-J809-M809</x:f>
        <x:v>79.95</x:v>
      </x:c>
      <x:c r="O809" s="10" t="n">
        <x:f>(G809-H809)*K809</x:f>
        <x:v>32</x:v>
      </x:c>
      <x:c r="P809" s="10" t="n">
        <x:f>N809-O809</x:f>
        <x:v>47.95</x:v>
      </x:c>
      <x:c r="Q809" s="9" t="n">
        <x:f>A809-WEEKDAY(A809,2)+1</x:f>
        <x:v>46293</x:v>
      </x:c>
      <x:c r="R809" s="2" t="str">
        <x:f>IF(AND(A809&gt;='Review'!$B$4,A809&lt;='Review'!$D$4),"Selected","Outside")</x:f>
        <x:v>Selected</x:v>
      </x:c>
    </x:row>
    <x:row r="810" ht="20" customHeight="1">
      <x:c r="A810" s="9" t="n">
        <x:v>46294</x:v>
      </x:c>
      <x:c r="B810" s="2" t="str">
        <x:v>MM-1579</x:v>
      </x:c>
      <x:c r="C810" s="2" t="str">
        <x:v>Direct</x:v>
      </x:c>
      <x:c r="D810" s="2" t="str">
        <x:v>PIN-001</x:v>
      </x:c>
      <x:c r="E810" s="2" t="str">
        <x:f>_xlfn.IFNA(VLOOKUP(D810,'Products'!$A$7:$I$22,2,FALSE),"Unmapped")</x:f>
        <x:v>Coffee enamel pin</x:v>
      </x:c>
      <x:c r="F810" s="2" t="str">
        <x:f>_xlfn.IFNA(VLOOKUP(D810,'Products'!$A$7:$I$22,3,FALSE),"Unmapped")</x:f>
        <x:v>Accessories</x:v>
      </x:c>
      <x:c r="G810" s="2" t="n">
        <x:v>1</x:v>
      </x:c>
      <x:c r="H810" s="2" t="n">
        <x:v>0</x:v>
      </x:c>
      <x:c r="I810" s="10" t="n">
        <x:v>9.95</x:v>
      </x:c>
      <x:c r="J810" s="10" t="n">
        <x:v>0</x:v>
      </x:c>
      <x:c r="K810" s="10" t="n">
        <x:v>2.5</x:v>
      </x:c>
      <x:c r="L810" s="10" t="n">
        <x:f>G810*I810</x:f>
        <x:v>9.95</x:v>
      </x:c>
      <x:c r="M810" s="10" t="n">
        <x:f>ROUND((L810-J810)*H810/G810,2)</x:f>
        <x:v>0</x:v>
      </x:c>
      <x:c r="N810" s="10" t="n">
        <x:f>L810-J810-M810</x:f>
        <x:v>9.95</x:v>
      </x:c>
      <x:c r="O810" s="10" t="n">
        <x:f>(G810-H810)*K810</x:f>
        <x:v>2.5</x:v>
      </x:c>
      <x:c r="P810" s="10" t="n">
        <x:f>N810-O810</x:f>
        <x:v>7.449999999999999</x:v>
      </x:c>
      <x:c r="Q810" s="9" t="n">
        <x:f>A810-WEEKDAY(A810,2)+1</x:f>
        <x:v>46293</x:v>
      </x:c>
      <x:c r="R810" s="2" t="str">
        <x:f>IF(AND(A810&gt;='Review'!$B$4,A810&lt;='Review'!$D$4),"Selected","Outside")</x:f>
        <x:v>Selected</x:v>
      </x:c>
    </x:row>
    <x:row r="811" ht="20" customHeight="1">
      <x:c r="A811" s="9" t="n">
        <x:v>46294</x:v>
      </x:c>
      <x:c r="B811" s="2" t="str">
        <x:v>MM-1585</x:v>
      </x:c>
      <x:c r="C811" s="2" t="str">
        <x:v>Paid Social</x:v>
      </x:c>
      <x:c r="D811" s="2" t="str">
        <x:v>HAT-001</x:v>
      </x:c>
      <x:c r="E811" s="2" t="str">
        <x:f>_xlfn.IFNA(VLOOKUP(D811,'Products'!$A$7:$I$22,2,FALSE),"Unmapped")</x:f>
        <x:v>Classic canvas cap</x:v>
      </x:c>
      <x:c r="F811" s="2" t="str">
        <x:f>_xlfn.IFNA(VLOOKUP(D811,'Products'!$A$7:$I$22,3,FALSE),"Unmapped")</x:f>
        <x:v>Accessories</x:v>
      </x:c>
      <x:c r="G811" s="2" t="n">
        <x:v>2</x:v>
      </x:c>
      <x:c r="H811" s="2" t="n">
        <x:v>0</x:v>
      </x:c>
      <x:c r="I811" s="10" t="n">
        <x:v>24.95</x:v>
      </x:c>
      <x:c r="J811" s="10" t="n">
        <x:v>0</x:v>
      </x:c>
      <x:c r="K811" s="10" t="n">
        <x:v>8.5</x:v>
      </x:c>
      <x:c r="L811" s="10" t="n">
        <x:f>G811*I811</x:f>
        <x:v>49.9</x:v>
      </x:c>
      <x:c r="M811" s="10" t="n">
        <x:f>ROUND((L811-J811)*H811/G811,2)</x:f>
        <x:v>0</x:v>
      </x:c>
      <x:c r="N811" s="10" t="n">
        <x:f>L811-J811-M811</x:f>
        <x:v>49.9</x:v>
      </x:c>
      <x:c r="O811" s="10" t="n">
        <x:f>(G811-H811)*K811</x:f>
        <x:v>17</x:v>
      </x:c>
      <x:c r="P811" s="10" t="n">
        <x:f>N811-O811</x:f>
        <x:v>32.9</x:v>
      </x:c>
      <x:c r="Q811" s="9" t="n">
        <x:f>A811-WEEKDAY(A811,2)+1</x:f>
        <x:v>46293</x:v>
      </x:c>
      <x:c r="R811" s="2" t="str">
        <x:f>IF(AND(A811&gt;='Review'!$B$4,A811&lt;='Review'!$D$4),"Selected","Outside")</x:f>
        <x:v>Selected</x:v>
      </x:c>
    </x:row>
    <x:row r="812" ht="20" customHeight="1">
      <x:c r="A812" s="9" t="n">
        <x:v>46294</x:v>
      </x:c>
      <x:c r="B812" s="2" t="str">
        <x:v>MM-1573</x:v>
      </x:c>
      <x:c r="C812" s="2" t="str">
        <x:v>Email</x:v>
      </x:c>
      <x:c r="D812" s="2" t="str">
        <x:v>KEY-001</x:v>
      </x:c>
      <x:c r="E812" s="2" t="str">
        <x:f>_xlfn.IFNA(VLOOKUP(D812,'Products'!$A$7:$I$22,2,FALSE),"Unmapped")</x:f>
        <x:v>Maple keyring</x:v>
      </x:c>
      <x:c r="F812" s="2" t="str">
        <x:f>_xlfn.IFNA(VLOOKUP(D812,'Products'!$A$7:$I$22,3,FALSE),"Unmapped")</x:f>
        <x:v>Accessories</x:v>
      </x:c>
      <x:c r="G812" s="2" t="n">
        <x:v>2</x:v>
      </x:c>
      <x:c r="H812" s="2" t="n">
        <x:v>0</x:v>
      </x:c>
      <x:c r="I812" s="10" t="n">
        <x:v>12.95</x:v>
      </x:c>
      <x:c r="J812" s="10" t="n">
        <x:v>2.59</x:v>
      </x:c>
      <x:c r="K812" s="10" t="n">
        <x:v>3.5</x:v>
      </x:c>
      <x:c r="L812" s="10" t="n">
        <x:f>G812*I812</x:f>
        <x:v>25.9</x:v>
      </x:c>
      <x:c r="M812" s="10" t="n">
        <x:f>ROUND((L812-J812)*H812/G812,2)</x:f>
        <x:v>0</x:v>
      </x:c>
      <x:c r="N812" s="10" t="n">
        <x:f>L812-J812-M812</x:f>
        <x:v>23.31</x:v>
      </x:c>
      <x:c r="O812" s="10" t="n">
        <x:f>(G812-H812)*K812</x:f>
        <x:v>7</x:v>
      </x:c>
      <x:c r="P812" s="10" t="n">
        <x:f>N812-O812</x:f>
        <x:v>16.31</x:v>
      </x:c>
      <x:c r="Q812" s="9" t="n">
        <x:f>A812-WEEKDAY(A812,2)+1</x:f>
        <x:v>46293</x:v>
      </x:c>
      <x:c r="R812" s="2" t="str">
        <x:f>IF(AND(A812&gt;='Review'!$B$4,A812&lt;='Review'!$D$4),"Selected","Outside")</x:f>
        <x:v>Selected</x:v>
      </x:c>
    </x:row>
    <x:row r="813" ht="20" customHeight="1">
      <x:c r="A813" s="9" t="n">
        <x:v>46294</x:v>
      </x:c>
      <x:c r="B813" s="2" t="str">
        <x:v>MM-1571</x:v>
      </x:c>
      <x:c r="C813" s="2" t="str">
        <x:v>Organic Search</x:v>
      </x:c>
      <x:c r="D813" s="2" t="str">
        <x:v>GFT-002</x:v>
      </x:c>
      <x:c r="E813" s="2" t="str">
        <x:f>_xlfn.IFNA(VLOOKUP(D813,'Products'!$A$7:$I$22,2,FALSE),"Unmapped")</x:f>
        <x:v>Cozy weekend gift box</x:v>
      </x:c>
      <x:c r="F813" s="2" t="str">
        <x:f>_xlfn.IFNA(VLOOKUP(D813,'Products'!$A$7:$I$22,3,FALSE),"Unmapped")</x:f>
        <x:v>Gifts</x:v>
      </x:c>
      <x:c r="G813" s="2" t="n">
        <x:v>1</x:v>
      </x:c>
      <x:c r="H813" s="2" t="n">
        <x:v>0</x:v>
      </x:c>
      <x:c r="I813" s="10" t="n">
        <x:v>79.95</x:v>
      </x:c>
      <x:c r="J813" s="10" t="n">
        <x:v>0</x:v>
      </x:c>
      <x:c r="K813" s="10" t="n">
        <x:v>32</x:v>
      </x:c>
      <x:c r="L813" s="10" t="n">
        <x:f>G813*I813</x:f>
        <x:v>79.95</x:v>
      </x:c>
      <x:c r="M813" s="10" t="n">
        <x:f>ROUND((L813-J813)*H813/G813,2)</x:f>
        <x:v>0</x:v>
      </x:c>
      <x:c r="N813" s="10" t="n">
        <x:f>L813-J813-M813</x:f>
        <x:v>79.95</x:v>
      </x:c>
      <x:c r="O813" s="10" t="n">
        <x:f>(G813-H813)*K813</x:f>
        <x:v>32</x:v>
      </x:c>
      <x:c r="P813" s="10" t="n">
        <x:f>N813-O813</x:f>
        <x:v>47.95</x:v>
      </x:c>
      <x:c r="Q813" s="9" t="n">
        <x:f>A813-WEEKDAY(A813,2)+1</x:f>
        <x:v>46293</x:v>
      </x:c>
      <x:c r="R813" s="2" t="str">
        <x:f>IF(AND(A813&gt;='Review'!$B$4,A813&lt;='Review'!$D$4),"Selected","Outside")</x:f>
        <x:v>Selected</x:v>
      </x:c>
    </x:row>
    <x:row r="814" ht="20" customHeight="1">
      <x:c r="A814" s="9" t="n">
        <x:v>46294</x:v>
      </x:c>
      <x:c r="B814" s="2" t="str">
        <x:v>MM-1571</x:v>
      </x:c>
      <x:c r="C814" s="2" t="str">
        <x:v>Organic Search</x:v>
      </x:c>
      <x:c r="D814" s="2" t="str">
        <x:v>MUG-001</x:v>
      </x:c>
      <x:c r="E814" s="2" t="str">
        <x:f>_xlfn.IFNA(VLOOKUP(D814,'Products'!$A$7:$I$22,2,FALSE),"Unmapped")</x:f>
        <x:v>Everyday ceramic mug</x:v>
      </x:c>
      <x:c r="F814" s="2" t="str">
        <x:f>_xlfn.IFNA(VLOOKUP(D814,'Products'!$A$7:$I$22,3,FALSE),"Unmapped")</x:f>
        <x:v>Drinkware</x:v>
      </x:c>
      <x:c r="G814" s="2" t="n">
        <x:v>1</x:v>
      </x:c>
      <x:c r="H814" s="2" t="n">
        <x:v>0</x:v>
      </x:c>
      <x:c r="I814" s="10" t="n">
        <x:v>18.95</x:v>
      </x:c>
      <x:c r="J814" s="10" t="n">
        <x:v>0</x:v>
      </x:c>
      <x:c r="K814" s="10" t="n">
        <x:v>6.5</x:v>
      </x:c>
      <x:c r="L814" s="10" t="n">
        <x:f>G814*I814</x:f>
        <x:v>18.95</x:v>
      </x:c>
      <x:c r="M814" s="10" t="n">
        <x:f>ROUND((L814-J814)*H814/G814,2)</x:f>
        <x:v>0</x:v>
      </x:c>
      <x:c r="N814" s="10" t="n">
        <x:f>L814-J814-M814</x:f>
        <x:v>18.95</x:v>
      </x:c>
      <x:c r="O814" s="10" t="n">
        <x:f>(G814-H814)*K814</x:f>
        <x:v>6.5</x:v>
      </x:c>
      <x:c r="P814" s="10" t="n">
        <x:f>N814-O814</x:f>
        <x:v>12.45</x:v>
      </x:c>
      <x:c r="Q814" s="9" t="n">
        <x:f>A814-WEEKDAY(A814,2)+1</x:f>
        <x:v>46293</x:v>
      </x:c>
      <x:c r="R814" s="2" t="str">
        <x:f>IF(AND(A814&gt;='Review'!$B$4,A814&lt;='Review'!$D$4),"Selected","Outside")</x:f>
        <x:v>Selected</x:v>
      </x:c>
    </x:row>
    <x:row r="815" ht="20" customHeight="1">
      <x:c r="A815" s="9" t="n">
        <x:v>46294</x:v>
      </x:c>
      <x:c r="B815" s="2" t="str">
        <x:v>MM-1583</x:v>
      </x:c>
      <x:c r="C815" s="2" t="str">
        <x:v>Organic Search</x:v>
      </x:c>
      <x:c r="D815" s="2" t="str">
        <x:v>APP-002</x:v>
      </x:c>
      <x:c r="E815" s="2" t="str">
        <x:f>_xlfn.IFNA(VLOOKUP(D815,'Products'!$A$7:$I$22,2,FALSE),"Unmapped")</x:f>
        <x:v>Weekend hoodie</x:v>
      </x:c>
      <x:c r="F815" s="2" t="str">
        <x:f>_xlfn.IFNA(VLOOKUP(D815,'Products'!$A$7:$I$22,3,FALSE),"Unmapped")</x:f>
        <x:v>Apparel</x:v>
      </x:c>
      <x:c r="G815" s="2" t="n">
        <x:v>1</x:v>
      </x:c>
      <x:c r="H815" s="2" t="n">
        <x:v>0</x:v>
      </x:c>
      <x:c r="I815" s="10" t="n">
        <x:v>69.95</x:v>
      </x:c>
      <x:c r="J815" s="10" t="n">
        <x:v>0</x:v>
      </x:c>
      <x:c r="K815" s="10" t="n">
        <x:v>28</x:v>
      </x:c>
      <x:c r="L815" s="10" t="n">
        <x:f>G815*I815</x:f>
        <x:v>69.95</x:v>
      </x:c>
      <x:c r="M815" s="10" t="n">
        <x:f>ROUND((L815-J815)*H815/G815,2)</x:f>
        <x:v>0</x:v>
      </x:c>
      <x:c r="N815" s="10" t="n">
        <x:f>L815-J815-M815</x:f>
        <x:v>69.95</x:v>
      </x:c>
      <x:c r="O815" s="10" t="n">
        <x:f>(G815-H815)*K815</x:f>
        <x:v>28</x:v>
      </x:c>
      <x:c r="P815" s="10" t="n">
        <x:f>N815-O815</x:f>
        <x:v>41.95</x:v>
      </x:c>
      <x:c r="Q815" s="9" t="n">
        <x:f>A815-WEEKDAY(A815,2)+1</x:f>
        <x:v>46293</x:v>
      </x:c>
      <x:c r="R815" s="2" t="str">
        <x:f>IF(AND(A815&gt;='Review'!$B$4,A815&lt;='Review'!$D$4),"Selected","Outside")</x:f>
        <x:v>Selected</x:v>
      </x:c>
    </x:row>
    <x:row r="816" ht="20" customHeight="1">
      <x:c r="A816" s="9" t="n">
        <x:v>46294</x:v>
      </x:c>
      <x:c r="B816" s="2" t="str">
        <x:v>MM-1583</x:v>
      </x:c>
      <x:c r="C816" s="2" t="str">
        <x:v>Organic Search</x:v>
      </x:c>
      <x:c r="D816" s="2" t="str">
        <x:v>TUM-001</x:v>
      </x:c>
      <x:c r="E816" s="2" t="str">
        <x:f>_xlfn.IFNA(VLOOKUP(D816,'Products'!$A$7:$I$22,2,FALSE),"Unmapped")</x:f>
        <x:v>Maple travel tumbler</x:v>
      </x:c>
      <x:c r="F816" s="2" t="str">
        <x:f>_xlfn.IFNA(VLOOKUP(D816,'Products'!$A$7:$I$22,3,FALSE),"Unmapped")</x:f>
        <x:v>Drinkware</x:v>
      </x:c>
      <x:c r="G816" s="2" t="n">
        <x:v>1</x:v>
      </x:c>
      <x:c r="H816" s="2" t="n">
        <x:v>0</x:v>
      </x:c>
      <x:c r="I816" s="10" t="n">
        <x:v>32.95</x:v>
      </x:c>
      <x:c r="J816" s="10" t="n">
        <x:v>0</x:v>
      </x:c>
      <x:c r="K816" s="10" t="n">
        <x:v>12</x:v>
      </x:c>
      <x:c r="L816" s="10" t="n">
        <x:f>G816*I816</x:f>
        <x:v>32.95</x:v>
      </x:c>
      <x:c r="M816" s="10" t="n">
        <x:f>ROUND((L816-J816)*H816/G816,2)</x:f>
        <x:v>0</x:v>
      </x:c>
      <x:c r="N816" s="10" t="n">
        <x:f>L816-J816-M816</x:f>
        <x:v>32.95</x:v>
      </x:c>
      <x:c r="O816" s="10" t="n">
        <x:f>(G816-H816)*K816</x:f>
        <x:v>12</x:v>
      </x:c>
      <x:c r="P816" s="10" t="n">
        <x:f>N816-O816</x:f>
        <x:v>20.950000000000003</x:v>
      </x:c>
      <x:c r="Q816" s="9" t="n">
        <x:f>A816-WEEKDAY(A816,2)+1</x:f>
        <x:v>46293</x:v>
      </x:c>
      <x:c r="R816" s="2" t="str">
        <x:f>IF(AND(A816&gt;='Review'!$B$4,A816&lt;='Review'!$D$4),"Selected","Outside")</x:f>
        <x:v>Selected</x:v>
      </x:c>
    </x:row>
    <x:row r="817" ht="20" customHeight="1">
      <x:c r="A817" s="9" t="n">
        <x:v>46294</x:v>
      </x:c>
      <x:c r="B817" s="2" t="str">
        <x:v>MM-1568</x:v>
      </x:c>
      <x:c r="C817" s="2" t="str">
        <x:v>Email</x:v>
      </x:c>
      <x:c r="D817" s="2" t="str">
        <x:v>PIN-001</x:v>
      </x:c>
      <x:c r="E817" s="2" t="str">
        <x:f>_xlfn.IFNA(VLOOKUP(D817,'Products'!$A$7:$I$22,2,FALSE),"Unmapped")</x:f>
        <x:v>Coffee enamel pin</x:v>
      </x:c>
      <x:c r="F817" s="2" t="str">
        <x:f>_xlfn.IFNA(VLOOKUP(D817,'Products'!$A$7:$I$22,3,FALSE),"Unmapped")</x:f>
        <x:v>Accessories</x:v>
      </x:c>
      <x:c r="G817" s="2" t="n">
        <x:v>1</x:v>
      </x:c>
      <x:c r="H817" s="2" t="n">
        <x:v>0</x:v>
      </x:c>
      <x:c r="I817" s="10" t="n">
        <x:v>9.95</x:v>
      </x:c>
      <x:c r="J817" s="10" t="n">
        <x:v>0.99</x:v>
      </x:c>
      <x:c r="K817" s="10" t="n">
        <x:v>2.5</x:v>
      </x:c>
      <x:c r="L817" s="10" t="n">
        <x:f>G817*I817</x:f>
        <x:v>9.95</x:v>
      </x:c>
      <x:c r="M817" s="10" t="n">
        <x:f>ROUND((L817-J817)*H817/G817,2)</x:f>
        <x:v>0</x:v>
      </x:c>
      <x:c r="N817" s="10" t="n">
        <x:f>L817-J817-M817</x:f>
        <x:v>8.959999999999999</x:v>
      </x:c>
      <x:c r="O817" s="10" t="n">
        <x:f>(G817-H817)*K817</x:f>
        <x:v>2.5</x:v>
      </x:c>
      <x:c r="P817" s="10" t="n">
        <x:f>N817-O817</x:f>
        <x:v>6.459999999999999</x:v>
      </x:c>
      <x:c r="Q817" s="9" t="n">
        <x:f>A817-WEEKDAY(A817,2)+1</x:f>
        <x:v>46293</x:v>
      </x:c>
      <x:c r="R817" s="2" t="str">
        <x:f>IF(AND(A817&gt;='Review'!$B$4,A817&lt;='Review'!$D$4),"Selected","Outside")</x:f>
        <x:v>Selected</x:v>
      </x:c>
    </x:row>
    <x:row r="818" ht="20" customHeight="1">
      <x:c r="A818" s="9" t="n">
        <x:v>46294</x:v>
      </x:c>
      <x:c r="B818" s="2" t="str">
        <x:v>MM-1568</x:v>
      </x:c>
      <x:c r="C818" s="2" t="str">
        <x:v>Email</x:v>
      </x:c>
      <x:c r="D818" s="2" t="str">
        <x:v>TOTE-001</x:v>
      </x:c>
      <x:c r="E818" s="2" t="str">
        <x:f>_xlfn.IFNA(VLOOKUP(D818,'Products'!$A$7:$I$22,2,FALSE),"Unmapped")</x:f>
        <x:v>Market canvas tote</x:v>
      </x:c>
      <x:c r="F818" s="2" t="str">
        <x:f>_xlfn.IFNA(VLOOKUP(D818,'Products'!$A$7:$I$22,3,FALSE),"Unmapped")</x:f>
        <x:v>Accessories</x:v>
      </x:c>
      <x:c r="G818" s="2" t="n">
        <x:v>2</x:v>
      </x:c>
      <x:c r="H818" s="2" t="n">
        <x:v>0</x:v>
      </x:c>
      <x:c r="I818" s="10" t="n">
        <x:v>19.95</x:v>
      </x:c>
      <x:c r="J818" s="10" t="n">
        <x:v>3.99</x:v>
      </x:c>
      <x:c r="K818" s="10" t="n">
        <x:v>6</x:v>
      </x:c>
      <x:c r="L818" s="10" t="n">
        <x:f>G818*I818</x:f>
        <x:v>39.9</x:v>
      </x:c>
      <x:c r="M818" s="10" t="n">
        <x:f>ROUND((L818-J818)*H818/G818,2)</x:f>
        <x:v>0</x:v>
      </x:c>
      <x:c r="N818" s="10" t="n">
        <x:f>L818-J818-M818</x:f>
        <x:v>35.91</x:v>
      </x:c>
      <x:c r="O818" s="10" t="n">
        <x:f>(G818-H818)*K818</x:f>
        <x:v>12</x:v>
      </x:c>
      <x:c r="P818" s="10" t="n">
        <x:f>N818-O818</x:f>
        <x:v>23.909999999999997</x:v>
      </x:c>
      <x:c r="Q818" s="9" t="n">
        <x:f>A818-WEEKDAY(A818,2)+1</x:f>
        <x:v>46293</x:v>
      </x:c>
      <x:c r="R818" s="2" t="str">
        <x:f>IF(AND(A818&gt;='Review'!$B$4,A818&lt;='Review'!$D$4),"Selected","Outside")</x:f>
        <x:v>Selected</x:v>
      </x:c>
    </x:row>
    <x:row r="819" ht="20" customHeight="1">
      <x:c r="A819" s="9" t="n">
        <x:v>46294</x:v>
      </x:c>
      <x:c r="B819" s="2" t="str">
        <x:v>MM-1578</x:v>
      </x:c>
      <x:c r="C819" s="2" t="str">
        <x:v>Email</x:v>
      </x:c>
      <x:c r="D819" s="2" t="str">
        <x:v>GFT-002</x:v>
      </x:c>
      <x:c r="E819" s="2" t="str">
        <x:f>_xlfn.IFNA(VLOOKUP(D819,'Products'!$A$7:$I$22,2,FALSE),"Unmapped")</x:f>
        <x:v>Cozy weekend gift box</x:v>
      </x:c>
      <x:c r="F819" s="2" t="str">
        <x:f>_xlfn.IFNA(VLOOKUP(D819,'Products'!$A$7:$I$22,3,FALSE),"Unmapped")</x:f>
        <x:v>Gifts</x:v>
      </x:c>
      <x:c r="G819" s="2" t="n">
        <x:v>1</x:v>
      </x:c>
      <x:c r="H819" s="2" t="n">
        <x:v>0</x:v>
      </x:c>
      <x:c r="I819" s="10" t="n">
        <x:v>79.95</x:v>
      </x:c>
      <x:c r="J819" s="10" t="n">
        <x:v>7.99</x:v>
      </x:c>
      <x:c r="K819" s="10" t="n">
        <x:v>32</x:v>
      </x:c>
      <x:c r="L819" s="10" t="n">
        <x:f>G819*I819</x:f>
        <x:v>79.95</x:v>
      </x:c>
      <x:c r="M819" s="10" t="n">
        <x:f>ROUND((L819-J819)*H819/G819,2)</x:f>
        <x:v>0</x:v>
      </x:c>
      <x:c r="N819" s="10" t="n">
        <x:f>L819-J819-M819</x:f>
        <x:v>71.96000000000001</x:v>
      </x:c>
      <x:c r="O819" s="10" t="n">
        <x:f>(G819-H819)*K819</x:f>
        <x:v>32</x:v>
      </x:c>
      <x:c r="P819" s="10" t="n">
        <x:f>N819-O819</x:f>
        <x:v>39.96000000000001</x:v>
      </x:c>
      <x:c r="Q819" s="9" t="n">
        <x:f>A819-WEEKDAY(A819,2)+1</x:f>
        <x:v>46293</x:v>
      </x:c>
      <x:c r="R819" s="2" t="str">
        <x:f>IF(AND(A819&gt;='Review'!$B$4,A819&lt;='Review'!$D$4),"Selected","Outside")</x:f>
        <x:v>Selected</x:v>
      </x:c>
    </x:row>
    <x:row r="820" ht="20" customHeight="1">
      <x:c r="A820" s="9" t="n">
        <x:v>46294</x:v>
      </x:c>
      <x:c r="B820" s="2" t="str">
        <x:v>MM-1584</x:v>
      </x:c>
      <x:c r="C820" s="2" t="str">
        <x:v>Organic Search</x:v>
      </x:c>
      <x:c r="D820" s="2" t="str">
        <x:v>PIN-001</x:v>
      </x:c>
      <x:c r="E820" s="2" t="str">
        <x:f>_xlfn.IFNA(VLOOKUP(D820,'Products'!$A$7:$I$22,2,FALSE),"Unmapped")</x:f>
        <x:v>Coffee enamel pin</x:v>
      </x:c>
      <x:c r="F820" s="2" t="str">
        <x:f>_xlfn.IFNA(VLOOKUP(D820,'Products'!$A$7:$I$22,3,FALSE),"Unmapped")</x:f>
        <x:v>Accessories</x:v>
      </x:c>
      <x:c r="G820" s="2" t="n">
        <x:v>2</x:v>
      </x:c>
      <x:c r="H820" s="2" t="n">
        <x:v>0</x:v>
      </x:c>
      <x:c r="I820" s="10" t="n">
        <x:v>9.95</x:v>
      </x:c>
      <x:c r="J820" s="10" t="n">
        <x:v>0</x:v>
      </x:c>
      <x:c r="K820" s="10" t="n">
        <x:v>2.5</x:v>
      </x:c>
      <x:c r="L820" s="10" t="n">
        <x:f>G820*I820</x:f>
        <x:v>19.9</x:v>
      </x:c>
      <x:c r="M820" s="10" t="n">
        <x:f>ROUND((L820-J820)*H820/G820,2)</x:f>
        <x:v>0</x:v>
      </x:c>
      <x:c r="N820" s="10" t="n">
        <x:f>L820-J820-M820</x:f>
        <x:v>19.9</x:v>
      </x:c>
      <x:c r="O820" s="10" t="n">
        <x:f>(G820-H820)*K820</x:f>
        <x:v>5</x:v>
      </x:c>
      <x:c r="P820" s="10" t="n">
        <x:f>N820-O820</x:f>
        <x:v>14.899999999999999</x:v>
      </x:c>
      <x:c r="Q820" s="9" t="n">
        <x:f>A820-WEEKDAY(A820,2)+1</x:f>
        <x:v>46293</x:v>
      </x:c>
      <x:c r="R820" s="2" t="str">
        <x:f>IF(AND(A820&gt;='Review'!$B$4,A820&lt;='Review'!$D$4),"Selected","Outside")</x:f>
        <x:v>Selected</x:v>
      </x:c>
    </x:row>
    <x:row r="821" ht="20" customHeight="1">
      <x:c r="A821" s="9" t="n">
        <x:v>46294</x:v>
      </x:c>
      <x:c r="B821" s="2" t="str">
        <x:v>MM-1584</x:v>
      </x:c>
      <x:c r="C821" s="2" t="str">
        <x:v>Organic Search</x:v>
      </x:c>
      <x:c r="D821" s="2" t="str">
        <x:v>BOT-001</x:v>
      </x:c>
      <x:c r="E821" s="2" t="str">
        <x:f>_xlfn.IFNA(VLOOKUP(D821,'Products'!$A$7:$I$22,2,FALSE),"Unmapped")</x:f>
        <x:v>Trail water bottle</x:v>
      </x:c>
      <x:c r="F821" s="2" t="str">
        <x:f>_xlfn.IFNA(VLOOKUP(D821,'Products'!$A$7:$I$22,3,FALSE),"Unmapped")</x:f>
        <x:v>Drinkware</x:v>
      </x:c>
      <x:c r="G821" s="2" t="n">
        <x:v>3</x:v>
      </x:c>
      <x:c r="H821" s="2" t="n">
        <x:v>0</x:v>
      </x:c>
      <x:c r="I821" s="10" t="n">
        <x:v>34.95</x:v>
      </x:c>
      <x:c r="J821" s="10" t="n">
        <x:v>0</x:v>
      </x:c>
      <x:c r="K821" s="10" t="n">
        <x:v>13.5</x:v>
      </x:c>
      <x:c r="L821" s="10" t="n">
        <x:f>G821*I821</x:f>
        <x:v>104.85000000000001</x:v>
      </x:c>
      <x:c r="M821" s="10" t="n">
        <x:f>ROUND((L821-J821)*H821/G821,2)</x:f>
        <x:v>0</x:v>
      </x:c>
      <x:c r="N821" s="10" t="n">
        <x:f>L821-J821-M821</x:f>
        <x:v>104.85000000000001</x:v>
      </x:c>
      <x:c r="O821" s="10" t="n">
        <x:f>(G821-H821)*K821</x:f>
        <x:v>40.5</x:v>
      </x:c>
      <x:c r="P821" s="10" t="n">
        <x:f>N821-O821</x:f>
        <x:v>64.35000000000001</x:v>
      </x:c>
      <x:c r="Q821" s="9" t="n">
        <x:f>A821-WEEKDAY(A821,2)+1</x:f>
        <x:v>46293</x:v>
      </x:c>
      <x:c r="R821" s="2" t="str">
        <x:f>IF(AND(A821&gt;='Review'!$B$4,A821&lt;='Review'!$D$4),"Selected","Outside")</x:f>
        <x:v>Selected</x:v>
      </x:c>
    </x:row>
    <x:row r="822" ht="20" customHeight="1">
      <x:c r="A822" s="9" t="n">
        <x:v>46294</x:v>
      </x:c>
      <x:c r="B822" s="2" t="str">
        <x:v>MM-1576</x:v>
      </x:c>
      <x:c r="C822" s="2" t="str">
        <x:v>Email</x:v>
      </x:c>
      <x:c r="D822" s="2" t="str">
        <x:v>HAT-001</x:v>
      </x:c>
      <x:c r="E822" s="2" t="str">
        <x:f>_xlfn.IFNA(VLOOKUP(D822,'Products'!$A$7:$I$22,2,FALSE),"Unmapped")</x:f>
        <x:v>Classic canvas cap</x:v>
      </x:c>
      <x:c r="F822" s="2" t="str">
        <x:f>_xlfn.IFNA(VLOOKUP(D822,'Products'!$A$7:$I$22,3,FALSE),"Unmapped")</x:f>
        <x:v>Accessories</x:v>
      </x:c>
      <x:c r="G822" s="2" t="n">
        <x:v>1</x:v>
      </x:c>
      <x:c r="H822" s="2" t="n">
        <x:v>1</x:v>
      </x:c>
      <x:c r="I822" s="10" t="n">
        <x:v>24.95</x:v>
      </x:c>
      <x:c r="J822" s="10" t="n">
        <x:v>2.49</x:v>
      </x:c>
      <x:c r="K822" s="10" t="n">
        <x:v>8.5</x:v>
      </x:c>
      <x:c r="L822" s="10" t="n">
        <x:f>G822*I822</x:f>
        <x:v>24.95</x:v>
      </x:c>
      <x:c r="M822" s="10" t="n">
        <x:f>ROUND((L822-J822)*H822/G822,2)</x:f>
        <x:v>22.46</x:v>
      </x:c>
      <x:c r="N822" s="10" t="n">
        <x:f>L822-J822-M822</x:f>
        <x:v>0</x:v>
      </x:c>
      <x:c r="O822" s="10" t="n">
        <x:f>(G822-H822)*K822</x:f>
        <x:v>0</x:v>
      </x:c>
      <x:c r="P822" s="10" t="n">
        <x:f>N822-O822</x:f>
        <x:v>0</x:v>
      </x:c>
      <x:c r="Q822" s="9" t="n">
        <x:f>A822-WEEKDAY(A822,2)+1</x:f>
        <x:v>46293</x:v>
      </x:c>
      <x:c r="R822" s="2" t="str">
        <x:f>IF(AND(A822&gt;='Review'!$B$4,A822&lt;='Review'!$D$4),"Selected","Outside")</x:f>
        <x:v>Selected</x:v>
      </x:c>
    </x:row>
    <x:row r="823" ht="20" customHeight="1">
      <x:c r="A823" s="9" t="n">
        <x:v>46294</x:v>
      </x:c>
      <x:c r="B823" s="2" t="str">
        <x:v>MM-1576</x:v>
      </x:c>
      <x:c r="C823" s="2" t="str">
        <x:v>Email</x:v>
      </x:c>
      <x:c r="D823" s="2" t="str">
        <x:v>TUM-001</x:v>
      </x:c>
      <x:c r="E823" s="2" t="str">
        <x:f>_xlfn.IFNA(VLOOKUP(D823,'Products'!$A$7:$I$22,2,FALSE),"Unmapped")</x:f>
        <x:v>Maple travel tumbler</x:v>
      </x:c>
      <x:c r="F823" s="2" t="str">
        <x:f>_xlfn.IFNA(VLOOKUP(D823,'Products'!$A$7:$I$22,3,FALSE),"Unmapped")</x:f>
        <x:v>Drinkware</x:v>
      </x:c>
      <x:c r="G823" s="2" t="n">
        <x:v>1</x:v>
      </x:c>
      <x:c r="H823" s="2" t="n">
        <x:v>0</x:v>
      </x:c>
      <x:c r="I823" s="10" t="n">
        <x:v>32.95</x:v>
      </x:c>
      <x:c r="J823" s="10" t="n">
        <x:v>3.29</x:v>
      </x:c>
      <x:c r="K823" s="10" t="n">
        <x:v>12</x:v>
      </x:c>
      <x:c r="L823" s="10" t="n">
        <x:f>G823*I823</x:f>
        <x:v>32.95</x:v>
      </x:c>
      <x:c r="M823" s="10" t="n">
        <x:f>ROUND((L823-J823)*H823/G823,2)</x:f>
        <x:v>0</x:v>
      </x:c>
      <x:c r="N823" s="10" t="n">
        <x:f>L823-J823-M823</x:f>
        <x:v>29.660000000000004</x:v>
      </x:c>
      <x:c r="O823" s="10" t="n">
        <x:f>(G823-H823)*K823</x:f>
        <x:v>12</x:v>
      </x:c>
      <x:c r="P823" s="10" t="n">
        <x:f>N823-O823</x:f>
        <x:v>17.660000000000004</x:v>
      </x:c>
      <x:c r="Q823" s="9" t="n">
        <x:f>A823-WEEKDAY(A823,2)+1</x:f>
        <x:v>46293</x:v>
      </x:c>
      <x:c r="R823" s="2" t="str">
        <x:f>IF(AND(A823&gt;='Review'!$B$4,A823&lt;='Review'!$D$4),"Selected","Outside")</x:f>
        <x:v>Selected</x:v>
      </x:c>
    </x:row>
    <x:row r="824" ht="20" customHeight="1">
      <x:c r="A824" s="9" t="n">
        <x:v>46294</x:v>
      </x:c>
      <x:c r="B824" s="2" t="str">
        <x:v>MM-1581</x:v>
      </x:c>
      <x:c r="C824" s="2" t="str">
        <x:v>Organic Search</x:v>
      </x:c>
      <x:c r="D824" s="2" t="str">
        <x:v>APP-001</x:v>
      </x:c>
      <x:c r="E824" s="2" t="str">
        <x:f>_xlfn.IFNA(VLOOKUP(D824,'Products'!$A$7:$I$22,2,FALSE),"Unmapped")</x:f>
        <x:v>Everyday crewneck</x:v>
      </x:c>
      <x:c r="F824" s="2" t="str">
        <x:f>_xlfn.IFNA(VLOOKUP(D824,'Products'!$A$7:$I$22,3,FALSE),"Unmapped")</x:f>
        <x:v>Apparel</x:v>
      </x:c>
      <x:c r="G824" s="2" t="n">
        <x:v>1</x:v>
      </x:c>
      <x:c r="H824" s="2" t="n">
        <x:v>0</x:v>
      </x:c>
      <x:c r="I824" s="10" t="n">
        <x:v>54.95</x:v>
      </x:c>
      <x:c r="J824" s="10" t="n">
        <x:v>0</x:v>
      </x:c>
      <x:c r="K824" s="10" t="n">
        <x:v>22</x:v>
      </x:c>
      <x:c r="L824" s="10" t="n">
        <x:f>G824*I824</x:f>
        <x:v>54.95</x:v>
      </x:c>
      <x:c r="M824" s="10" t="n">
        <x:f>ROUND((L824-J824)*H824/G824,2)</x:f>
        <x:v>0</x:v>
      </x:c>
      <x:c r="N824" s="10" t="n">
        <x:f>L824-J824-M824</x:f>
        <x:v>54.95</x:v>
      </x:c>
      <x:c r="O824" s="10" t="n">
        <x:f>(G824-H824)*K824</x:f>
        <x:v>22</x:v>
      </x:c>
      <x:c r="P824" s="10" t="n">
        <x:f>N824-O824</x:f>
        <x:v>32.95</x:v>
      </x:c>
      <x:c r="Q824" s="9" t="n">
        <x:f>A824-WEEKDAY(A824,2)+1</x:f>
        <x:v>46293</x:v>
      </x:c>
      <x:c r="R824" s="2" t="str">
        <x:f>IF(AND(A824&gt;='Review'!$B$4,A824&lt;='Review'!$D$4),"Selected","Outside")</x:f>
        <x:v>Selected</x:v>
      </x:c>
    </x:row>
    <x:row r="825" ht="20" customHeight="1">
      <x:c r="A825" s="9" t="n">
        <x:v>46295</x:v>
      </x:c>
      <x:c r="B825" s="2" t="str">
        <x:v>MM-1593</x:v>
      </x:c>
      <x:c r="C825" s="2" t="str">
        <x:v>Direct</x:v>
      </x:c>
      <x:c r="D825" s="2" t="str">
        <x:v>KEY-001</x:v>
      </x:c>
      <x:c r="E825" s="2" t="str">
        <x:f>_xlfn.IFNA(VLOOKUP(D825,'Products'!$A$7:$I$22,2,FALSE),"Unmapped")</x:f>
        <x:v>Maple keyring</x:v>
      </x:c>
      <x:c r="F825" s="2" t="str">
        <x:f>_xlfn.IFNA(VLOOKUP(D825,'Products'!$A$7:$I$22,3,FALSE),"Unmapped")</x:f>
        <x:v>Accessories</x:v>
      </x:c>
      <x:c r="G825" s="2" t="n">
        <x:v>1</x:v>
      </x:c>
      <x:c r="H825" s="2" t="n">
        <x:v>0</x:v>
      </x:c>
      <x:c r="I825" s="10" t="n">
        <x:v>12.95</x:v>
      </x:c>
      <x:c r="J825" s="10" t="n">
        <x:v>0</x:v>
      </x:c>
      <x:c r="K825" s="10" t="n">
        <x:v>3.5</x:v>
      </x:c>
      <x:c r="L825" s="10" t="n">
        <x:f>G825*I825</x:f>
        <x:v>12.95</x:v>
      </x:c>
      <x:c r="M825" s="10" t="n">
        <x:f>ROUND((L825-J825)*H825/G825,2)</x:f>
        <x:v>0</x:v>
      </x:c>
      <x:c r="N825" s="10" t="n">
        <x:f>L825-J825-M825</x:f>
        <x:v>12.95</x:v>
      </x:c>
      <x:c r="O825" s="10" t="n">
        <x:f>(G825-H825)*K825</x:f>
        <x:v>3.5</x:v>
      </x:c>
      <x:c r="P825" s="10" t="n">
        <x:f>N825-O825</x:f>
        <x:v>9.45</x:v>
      </x:c>
      <x:c r="Q825" s="9" t="n">
        <x:f>A825-WEEKDAY(A825,2)+1</x:f>
        <x:v>46293</x:v>
      </x:c>
      <x:c r="R825" s="2" t="str">
        <x:f>IF(AND(A825&gt;='Review'!$B$4,A825&lt;='Review'!$D$4),"Selected","Outside")</x:f>
        <x:v>Selected</x:v>
      </x:c>
    </x:row>
    <x:row r="826" ht="20" customHeight="1">
      <x:c r="A826" s="9" t="n">
        <x:v>46295</x:v>
      </x:c>
      <x:c r="B826" s="2" t="str">
        <x:v>MM-1592</x:v>
      </x:c>
      <x:c r="C826" s="2" t="str">
        <x:v>Organic Search</x:v>
      </x:c>
      <x:c r="D826" s="2" t="str">
        <x:v>HAT-001</x:v>
      </x:c>
      <x:c r="E826" s="2" t="str">
        <x:f>_xlfn.IFNA(VLOOKUP(D826,'Products'!$A$7:$I$22,2,FALSE),"Unmapped")</x:f>
        <x:v>Classic canvas cap</x:v>
      </x:c>
      <x:c r="F826" s="2" t="str">
        <x:f>_xlfn.IFNA(VLOOKUP(D826,'Products'!$A$7:$I$22,3,FALSE),"Unmapped")</x:f>
        <x:v>Accessories</x:v>
      </x:c>
      <x:c r="G826" s="2" t="n">
        <x:v>1</x:v>
      </x:c>
      <x:c r="H826" s="2" t="n">
        <x:v>0</x:v>
      </x:c>
      <x:c r="I826" s="10" t="n">
        <x:v>24.95</x:v>
      </x:c>
      <x:c r="J826" s="10" t="n">
        <x:v>2.49</x:v>
      </x:c>
      <x:c r="K826" s="10" t="n">
        <x:v>8.5</x:v>
      </x:c>
      <x:c r="L826" s="10" t="n">
        <x:f>G826*I826</x:f>
        <x:v>24.95</x:v>
      </x:c>
      <x:c r="M826" s="10" t="n">
        <x:f>ROUND((L826-J826)*H826/G826,2)</x:f>
        <x:v>0</x:v>
      </x:c>
      <x:c r="N826" s="10" t="n">
        <x:f>L826-J826-M826</x:f>
        <x:v>22.46</x:v>
      </x:c>
      <x:c r="O826" s="10" t="n">
        <x:f>(G826-H826)*K826</x:f>
        <x:v>8.5</x:v>
      </x:c>
      <x:c r="P826" s="10" t="n">
        <x:f>N826-O826</x:f>
        <x:v>13.96</x:v>
      </x:c>
      <x:c r="Q826" s="9" t="n">
        <x:f>A826-WEEKDAY(A826,2)+1</x:f>
        <x:v>46293</x:v>
      </x:c>
      <x:c r="R826" s="2" t="str">
        <x:f>IF(AND(A826&gt;='Review'!$B$4,A826&lt;='Review'!$D$4),"Selected","Outside")</x:f>
        <x:v>Selected</x:v>
      </x:c>
    </x:row>
    <x:row r="827" ht="20" customHeight="1">
      <x:c r="A827" s="9" t="n">
        <x:v>46295</x:v>
      </x:c>
      <x:c r="B827" s="2" t="str">
        <x:v>MM-1601</x:v>
      </x:c>
      <x:c r="C827" s="2" t="str">
        <x:v>Email</x:v>
      </x:c>
      <x:c r="D827" s="2" t="str">
        <x:v>APP-001</x:v>
      </x:c>
      <x:c r="E827" s="2" t="str">
        <x:f>_xlfn.IFNA(VLOOKUP(D827,'Products'!$A$7:$I$22,2,FALSE),"Unmapped")</x:f>
        <x:v>Everyday crewneck</x:v>
      </x:c>
      <x:c r="F827" s="2" t="str">
        <x:f>_xlfn.IFNA(VLOOKUP(D827,'Products'!$A$7:$I$22,3,FALSE),"Unmapped")</x:f>
        <x:v>Apparel</x:v>
      </x:c>
      <x:c r="G827" s="2" t="n">
        <x:v>1</x:v>
      </x:c>
      <x:c r="H827" s="2" t="n">
        <x:v>0</x:v>
      </x:c>
      <x:c r="I827" s="10" t="n">
        <x:v>54.95</x:v>
      </x:c>
      <x:c r="J827" s="10" t="n">
        <x:v>5.49</x:v>
      </x:c>
      <x:c r="K827" s="10" t="n">
        <x:v>22</x:v>
      </x:c>
      <x:c r="L827" s="10" t="n">
        <x:f>G827*I827</x:f>
        <x:v>54.95</x:v>
      </x:c>
      <x:c r="M827" s="10" t="n">
        <x:f>ROUND((L827-J827)*H827/G827,2)</x:f>
        <x:v>0</x:v>
      </x:c>
      <x:c r="N827" s="10" t="n">
        <x:f>L827-J827-M827</x:f>
        <x:v>49.46</x:v>
      </x:c>
      <x:c r="O827" s="10" t="n">
        <x:f>(G827-H827)*K827</x:f>
        <x:v>22</x:v>
      </x:c>
      <x:c r="P827" s="10" t="n">
        <x:f>N827-O827</x:f>
        <x:v>27.46</x:v>
      </x:c>
      <x:c r="Q827" s="9" t="n">
        <x:f>A827-WEEKDAY(A827,2)+1</x:f>
        <x:v>46293</x:v>
      </x:c>
      <x:c r="R827" s="2" t="str">
        <x:f>IF(AND(A827&gt;='Review'!$B$4,A827&lt;='Review'!$D$4),"Selected","Outside")</x:f>
        <x:v>Selected</x:v>
      </x:c>
    </x:row>
    <x:row r="828" ht="20" customHeight="1">
      <x:c r="A828" s="9" t="n">
        <x:v>46295</x:v>
      </x:c>
      <x:c r="B828" s="2" t="str">
        <x:v>MM-1601</x:v>
      </x:c>
      <x:c r="C828" s="2" t="str">
        <x:v>Email</x:v>
      </x:c>
      <x:c r="D828" s="2" t="str">
        <x:v>KEY-001</x:v>
      </x:c>
      <x:c r="E828" s="2" t="str">
        <x:f>_xlfn.IFNA(VLOOKUP(D828,'Products'!$A$7:$I$22,2,FALSE),"Unmapped")</x:f>
        <x:v>Maple keyring</x:v>
      </x:c>
      <x:c r="F828" s="2" t="str">
        <x:f>_xlfn.IFNA(VLOOKUP(D828,'Products'!$A$7:$I$22,3,FALSE),"Unmapped")</x:f>
        <x:v>Accessories</x:v>
      </x:c>
      <x:c r="G828" s="2" t="n">
        <x:v>1</x:v>
      </x:c>
      <x:c r="H828" s="2" t="n">
        <x:v>0</x:v>
      </x:c>
      <x:c r="I828" s="10" t="n">
        <x:v>12.95</x:v>
      </x:c>
      <x:c r="J828" s="10" t="n">
        <x:v>1.29</x:v>
      </x:c>
      <x:c r="K828" s="10" t="n">
        <x:v>3.5</x:v>
      </x:c>
      <x:c r="L828" s="10" t="n">
        <x:f>G828*I828</x:f>
        <x:v>12.95</x:v>
      </x:c>
      <x:c r="M828" s="10" t="n">
        <x:f>ROUND((L828-J828)*H828/G828,2)</x:f>
        <x:v>0</x:v>
      </x:c>
      <x:c r="N828" s="10" t="n">
        <x:f>L828-J828-M828</x:f>
        <x:v>11.66</x:v>
      </x:c>
      <x:c r="O828" s="10" t="n">
        <x:f>(G828-H828)*K828</x:f>
        <x:v>3.5</x:v>
      </x:c>
      <x:c r="P828" s="10" t="n">
        <x:f>N828-O828</x:f>
        <x:v>8.16</x:v>
      </x:c>
      <x:c r="Q828" s="9" t="n">
        <x:f>A828-WEEKDAY(A828,2)+1</x:f>
        <x:v>46293</x:v>
      </x:c>
      <x:c r="R828" s="2" t="str">
        <x:f>IF(AND(A828&gt;='Review'!$B$4,A828&lt;='Review'!$D$4),"Selected","Outside")</x:f>
        <x:v>Selected</x:v>
      </x:c>
    </x:row>
    <x:row r="829" ht="20" customHeight="1">
      <x:c r="A829" s="9" t="n">
        <x:v>46295</x:v>
      </x:c>
      <x:c r="B829" s="2" t="str">
        <x:v>MM-1601</x:v>
      </x:c>
      <x:c r="C829" s="2" t="str">
        <x:v>Email</x:v>
      </x:c>
      <x:c r="D829" s="2" t="str">
        <x:v>APP-003</x:v>
      </x:c>
      <x:c r="E829" s="2" t="str">
        <x:f>_xlfn.IFNA(VLOOKUP(D829,'Products'!$A$7:$I$22,2,FALSE),"Unmapped")</x:f>
        <x:v>Coffee club tee</x:v>
      </x:c>
      <x:c r="F829" s="2" t="str">
        <x:f>_xlfn.IFNA(VLOOKUP(D829,'Products'!$A$7:$I$22,3,FALSE),"Unmapped")</x:f>
        <x:v>Apparel</x:v>
      </x:c>
      <x:c r="G829" s="2" t="n">
        <x:v>1</x:v>
      </x:c>
      <x:c r="H829" s="2" t="n">
        <x:v>0</x:v>
      </x:c>
      <x:c r="I829" s="10" t="n">
        <x:v>29.95</x:v>
      </x:c>
      <x:c r="J829" s="10" t="n">
        <x:v>2.99</x:v>
      </x:c>
      <x:c r="K829" s="10" t="n">
        <x:v>10</x:v>
      </x:c>
      <x:c r="L829" s="10" t="n">
        <x:f>G829*I829</x:f>
        <x:v>29.95</x:v>
      </x:c>
      <x:c r="M829" s="10" t="n">
        <x:f>ROUND((L829-J829)*H829/G829,2)</x:f>
        <x:v>0</x:v>
      </x:c>
      <x:c r="N829" s="10" t="n">
        <x:f>L829-J829-M829</x:f>
        <x:v>26.96</x:v>
      </x:c>
      <x:c r="O829" s="10" t="n">
        <x:f>(G829-H829)*K829</x:f>
        <x:v>10</x:v>
      </x:c>
      <x:c r="P829" s="10" t="n">
        <x:f>N829-O829</x:f>
        <x:v>16.96</x:v>
      </x:c>
      <x:c r="Q829" s="9" t="n">
        <x:f>A829-WEEKDAY(A829,2)+1</x:f>
        <x:v>46293</x:v>
      </x:c>
      <x:c r="R829" s="2" t="str">
        <x:f>IF(AND(A829&gt;='Review'!$B$4,A829&lt;='Review'!$D$4),"Selected","Outside")</x:f>
        <x:v>Selected</x:v>
      </x:c>
    </x:row>
    <x:row r="830" ht="20" customHeight="1">
      <x:c r="A830" s="9" t="n">
        <x:v>46295</x:v>
      </x:c>
      <x:c r="B830" s="2" t="str">
        <x:v>MM-1605</x:v>
      </x:c>
      <x:c r="C830" s="2" t="str">
        <x:v>Organic Search</x:v>
      </x:c>
      <x:c r="D830" s="2" t="str">
        <x:v>HAT-001</x:v>
      </x:c>
      <x:c r="E830" s="2" t="str">
        <x:f>_xlfn.IFNA(VLOOKUP(D830,'Products'!$A$7:$I$22,2,FALSE),"Unmapped")</x:f>
        <x:v>Classic canvas cap</x:v>
      </x:c>
      <x:c r="F830" s="2" t="str">
        <x:f>_xlfn.IFNA(VLOOKUP(D830,'Products'!$A$7:$I$22,3,FALSE),"Unmapped")</x:f>
        <x:v>Accessories</x:v>
      </x:c>
      <x:c r="G830" s="2" t="n">
        <x:v>2</x:v>
      </x:c>
      <x:c r="H830" s="2" t="n">
        <x:v>0</x:v>
      </x:c>
      <x:c r="I830" s="10" t="n">
        <x:v>24.95</x:v>
      </x:c>
      <x:c r="J830" s="10" t="n">
        <x:v>4.99</x:v>
      </x:c>
      <x:c r="K830" s="10" t="n">
        <x:v>8.5</x:v>
      </x:c>
      <x:c r="L830" s="10" t="n">
        <x:f>G830*I830</x:f>
        <x:v>49.9</x:v>
      </x:c>
      <x:c r="M830" s="10" t="n">
        <x:f>ROUND((L830-J830)*H830/G830,2)</x:f>
        <x:v>0</x:v>
      </x:c>
      <x:c r="N830" s="10" t="n">
        <x:f>L830-J830-M830</x:f>
        <x:v>44.91</x:v>
      </x:c>
      <x:c r="O830" s="10" t="n">
        <x:f>(G830-H830)*K830</x:f>
        <x:v>17</x:v>
      </x:c>
      <x:c r="P830" s="10" t="n">
        <x:f>N830-O830</x:f>
        <x:v>27.909999999999997</x:v>
      </x:c>
      <x:c r="Q830" s="9" t="n">
        <x:f>A830-WEEKDAY(A830,2)+1</x:f>
        <x:v>46293</x:v>
      </x:c>
      <x:c r="R830" s="2" t="str">
        <x:f>IF(AND(A830&gt;='Review'!$B$4,A830&lt;='Review'!$D$4),"Selected","Outside")</x:f>
        <x:v>Selected</x:v>
      </x:c>
    </x:row>
    <x:row r="831" ht="20" customHeight="1">
      <x:c r="A831" s="9" t="n">
        <x:v>46295</x:v>
      </x:c>
      <x:c r="B831" s="2" t="str">
        <x:v>MM-1605</x:v>
      </x:c>
      <x:c r="C831" s="2" t="str">
        <x:v>Organic Search</x:v>
      </x:c>
      <x:c r="D831" s="2" t="str">
        <x:v>KEY-001</x:v>
      </x:c>
      <x:c r="E831" s="2" t="str">
        <x:f>_xlfn.IFNA(VLOOKUP(D831,'Products'!$A$7:$I$22,2,FALSE),"Unmapped")</x:f>
        <x:v>Maple keyring</x:v>
      </x:c>
      <x:c r="F831" s="2" t="str">
        <x:f>_xlfn.IFNA(VLOOKUP(D831,'Products'!$A$7:$I$22,3,FALSE),"Unmapped")</x:f>
        <x:v>Accessories</x:v>
      </x:c>
      <x:c r="G831" s="2" t="n">
        <x:v>1</x:v>
      </x:c>
      <x:c r="H831" s="2" t="n">
        <x:v>0</x:v>
      </x:c>
      <x:c r="I831" s="10" t="n">
        <x:v>12.95</x:v>
      </x:c>
      <x:c r="J831" s="10" t="n">
        <x:v>0</x:v>
      </x:c>
      <x:c r="K831" s="10" t="n">
        <x:v>3.5</x:v>
      </x:c>
      <x:c r="L831" s="10" t="n">
        <x:f>G831*I831</x:f>
        <x:v>12.95</x:v>
      </x:c>
      <x:c r="M831" s="10" t="n">
        <x:f>ROUND((L831-J831)*H831/G831,2)</x:f>
        <x:v>0</x:v>
      </x:c>
      <x:c r="N831" s="10" t="n">
        <x:f>L831-J831-M831</x:f>
        <x:v>12.95</x:v>
      </x:c>
      <x:c r="O831" s="10" t="n">
        <x:f>(G831-H831)*K831</x:f>
        <x:v>3.5</x:v>
      </x:c>
      <x:c r="P831" s="10" t="n">
        <x:f>N831-O831</x:f>
        <x:v>9.45</x:v>
      </x:c>
      <x:c r="Q831" s="9" t="n">
        <x:f>A831-WEEKDAY(A831,2)+1</x:f>
        <x:v>46293</x:v>
      </x:c>
      <x:c r="R831" s="2" t="str">
        <x:f>IF(AND(A831&gt;='Review'!$B$4,A831&lt;='Review'!$D$4),"Selected","Outside")</x:f>
        <x:v>Selected</x:v>
      </x:c>
    </x:row>
    <x:row r="832" ht="20" customHeight="1">
      <x:c r="A832" s="9" t="n">
        <x:v>46295</x:v>
      </x:c>
      <x:c r="B832" s="2" t="str">
        <x:v>MM-1599</x:v>
      </x:c>
      <x:c r="C832" s="2" t="str">
        <x:v>Email</x:v>
      </x:c>
      <x:c r="D832" s="2" t="str">
        <x:v>APP-003</x:v>
      </x:c>
      <x:c r="E832" s="2" t="str">
        <x:f>_xlfn.IFNA(VLOOKUP(D832,'Products'!$A$7:$I$22,2,FALSE),"Unmapped")</x:f>
        <x:v>Coffee club tee</x:v>
      </x:c>
      <x:c r="F832" s="2" t="str">
        <x:f>_xlfn.IFNA(VLOOKUP(D832,'Products'!$A$7:$I$22,3,FALSE),"Unmapped")</x:f>
        <x:v>Apparel</x:v>
      </x:c>
      <x:c r="G832" s="2" t="n">
        <x:v>1</x:v>
      </x:c>
      <x:c r="H832" s="2" t="n">
        <x:v>0</x:v>
      </x:c>
      <x:c r="I832" s="10" t="n">
        <x:v>29.95</x:v>
      </x:c>
      <x:c r="J832" s="10" t="n">
        <x:v>2.99</x:v>
      </x:c>
      <x:c r="K832" s="10" t="n">
        <x:v>10</x:v>
      </x:c>
      <x:c r="L832" s="10" t="n">
        <x:f>G832*I832</x:f>
        <x:v>29.95</x:v>
      </x:c>
      <x:c r="M832" s="10" t="n">
        <x:f>ROUND((L832-J832)*H832/G832,2)</x:f>
        <x:v>0</x:v>
      </x:c>
      <x:c r="N832" s="10" t="n">
        <x:f>L832-J832-M832</x:f>
        <x:v>26.96</x:v>
      </x:c>
      <x:c r="O832" s="10" t="n">
        <x:f>(G832-H832)*K832</x:f>
        <x:v>10</x:v>
      </x:c>
      <x:c r="P832" s="10" t="n">
        <x:f>N832-O832</x:f>
        <x:v>16.96</x:v>
      </x:c>
      <x:c r="Q832" s="9" t="n">
        <x:f>A832-WEEKDAY(A832,2)+1</x:f>
        <x:v>46293</x:v>
      </x:c>
      <x:c r="R832" s="2" t="str">
        <x:f>IF(AND(A832&gt;='Review'!$B$4,A832&lt;='Review'!$D$4),"Selected","Outside")</x:f>
        <x:v>Selected</x:v>
      </x:c>
    </x:row>
    <x:row r="833" ht="20" customHeight="1">
      <x:c r="A833" s="9" t="n">
        <x:v>46295</x:v>
      </x:c>
      <x:c r="B833" s="2" t="str">
        <x:v>MM-1599</x:v>
      </x:c>
      <x:c r="C833" s="2" t="str">
        <x:v>Email</x:v>
      </x:c>
      <x:c r="D833" s="2" t="str">
        <x:v>MUG-001</x:v>
      </x:c>
      <x:c r="E833" s="2" t="str">
        <x:f>_xlfn.IFNA(VLOOKUP(D833,'Products'!$A$7:$I$22,2,FALSE),"Unmapped")</x:f>
        <x:v>Everyday ceramic mug</x:v>
      </x:c>
      <x:c r="F833" s="2" t="str">
        <x:f>_xlfn.IFNA(VLOOKUP(D833,'Products'!$A$7:$I$22,3,FALSE),"Unmapped")</x:f>
        <x:v>Drinkware</x:v>
      </x:c>
      <x:c r="G833" s="2" t="n">
        <x:v>1</x:v>
      </x:c>
      <x:c r="H833" s="2" t="n">
        <x:v>0</x:v>
      </x:c>
      <x:c r="I833" s="10" t="n">
        <x:v>18.95</x:v>
      </x:c>
      <x:c r="J833" s="10" t="n">
        <x:v>1.89</x:v>
      </x:c>
      <x:c r="K833" s="10" t="n">
        <x:v>6.5</x:v>
      </x:c>
      <x:c r="L833" s="10" t="n">
        <x:f>G833*I833</x:f>
        <x:v>18.95</x:v>
      </x:c>
      <x:c r="M833" s="10" t="n">
        <x:f>ROUND((L833-J833)*H833/G833,2)</x:f>
        <x:v>0</x:v>
      </x:c>
      <x:c r="N833" s="10" t="n">
        <x:f>L833-J833-M833</x:f>
        <x:v>17.06</x:v>
      </x:c>
      <x:c r="O833" s="10" t="n">
        <x:f>(G833-H833)*K833</x:f>
        <x:v>6.5</x:v>
      </x:c>
      <x:c r="P833" s="10" t="n">
        <x:f>N833-O833</x:f>
        <x:v>10.559999999999999</x:v>
      </x:c>
      <x:c r="Q833" s="9" t="n">
        <x:f>A833-WEEKDAY(A833,2)+1</x:f>
        <x:v>46293</x:v>
      </x:c>
      <x:c r="R833" s="2" t="str">
        <x:f>IF(AND(A833&gt;='Review'!$B$4,A833&lt;='Review'!$D$4),"Selected","Outside")</x:f>
        <x:v>Selected</x:v>
      </x:c>
    </x:row>
    <x:row r="834" ht="20" customHeight="1">
      <x:c r="A834" s="9" t="n">
        <x:v>46295</x:v>
      </x:c>
      <x:c r="B834" s="2" t="str">
        <x:v>MM-1587</x:v>
      </x:c>
      <x:c r="C834" s="2" t="str">
        <x:v>Paid Social</x:v>
      </x:c>
      <x:c r="D834" s="2" t="str">
        <x:v>APP-001</x:v>
      </x:c>
      <x:c r="E834" s="2" t="str">
        <x:f>_xlfn.IFNA(VLOOKUP(D834,'Products'!$A$7:$I$22,2,FALSE),"Unmapped")</x:f>
        <x:v>Everyday crewneck</x:v>
      </x:c>
      <x:c r="F834" s="2" t="str">
        <x:f>_xlfn.IFNA(VLOOKUP(D834,'Products'!$A$7:$I$22,3,FALSE),"Unmapped")</x:f>
        <x:v>Apparel</x:v>
      </x:c>
      <x:c r="G834" s="2" t="n">
        <x:v>2</x:v>
      </x:c>
      <x:c r="H834" s="2" t="n">
        <x:v>0</x:v>
      </x:c>
      <x:c r="I834" s="10" t="n">
        <x:v>54.95</x:v>
      </x:c>
      <x:c r="J834" s="10" t="n">
        <x:v>0</x:v>
      </x:c>
      <x:c r="K834" s="10" t="n">
        <x:v>22</x:v>
      </x:c>
      <x:c r="L834" s="10" t="n">
        <x:f>G834*I834</x:f>
        <x:v>109.9</x:v>
      </x:c>
      <x:c r="M834" s="10" t="n">
        <x:f>ROUND((L834-J834)*H834/G834,2)</x:f>
        <x:v>0</x:v>
      </x:c>
      <x:c r="N834" s="10" t="n">
        <x:f>L834-J834-M834</x:f>
        <x:v>109.9</x:v>
      </x:c>
      <x:c r="O834" s="10" t="n">
        <x:f>(G834-H834)*K834</x:f>
        <x:v>44</x:v>
      </x:c>
      <x:c r="P834" s="10" t="n">
        <x:f>N834-O834</x:f>
        <x:v>65.9</x:v>
      </x:c>
      <x:c r="Q834" s="9" t="n">
        <x:f>A834-WEEKDAY(A834,2)+1</x:f>
        <x:v>46293</x:v>
      </x:c>
      <x:c r="R834" s="2" t="str">
        <x:f>IF(AND(A834&gt;='Review'!$B$4,A834&lt;='Review'!$D$4),"Selected","Outside")</x:f>
        <x:v>Selected</x:v>
      </x:c>
    </x:row>
    <x:row r="835" ht="20" customHeight="1">
      <x:c r="A835" s="9" t="n">
        <x:v>46295</x:v>
      </x:c>
      <x:c r="B835" s="2" t="str">
        <x:v>MM-1597</x:v>
      </x:c>
      <x:c r="C835" s="2" t="str">
        <x:v>Organic Search</x:v>
      </x:c>
      <x:c r="D835" s="2" t="str">
        <x:v>GFT-001</x:v>
      </x:c>
      <x:c r="E835" s="2" t="str">
        <x:f>_xlfn.IFNA(VLOOKUP(D835,'Products'!$A$7:$I$22,2,FALSE),"Unmapped")</x:f>
        <x:v>Morning ritual gift set</x:v>
      </x:c>
      <x:c r="F835" s="2" t="str">
        <x:f>_xlfn.IFNA(VLOOKUP(D835,'Products'!$A$7:$I$22,3,FALSE),"Unmapped")</x:f>
        <x:v>Gifts</x:v>
      </x:c>
      <x:c r="G835" s="2" t="n">
        <x:v>1</x:v>
      </x:c>
      <x:c r="H835" s="2" t="n">
        <x:v>0</x:v>
      </x:c>
      <x:c r="I835" s="10" t="n">
        <x:v>59.95</x:v>
      </x:c>
      <x:c r="J835" s="10" t="n">
        <x:v>0</x:v>
      </x:c>
      <x:c r="K835" s="10" t="n">
        <x:v>24</x:v>
      </x:c>
      <x:c r="L835" s="10" t="n">
        <x:f>G835*I835</x:f>
        <x:v>59.95</x:v>
      </x:c>
      <x:c r="M835" s="10" t="n">
        <x:f>ROUND((L835-J835)*H835/G835,2)</x:f>
        <x:v>0</x:v>
      </x:c>
      <x:c r="N835" s="10" t="n">
        <x:f>L835-J835-M835</x:f>
        <x:v>59.95</x:v>
      </x:c>
      <x:c r="O835" s="10" t="n">
        <x:f>(G835-H835)*K835</x:f>
        <x:v>24</x:v>
      </x:c>
      <x:c r="P835" s="10" t="n">
        <x:f>N835-O835</x:f>
        <x:v>35.95</x:v>
      </x:c>
      <x:c r="Q835" s="9" t="n">
        <x:f>A835-WEEKDAY(A835,2)+1</x:f>
        <x:v>46293</x:v>
      </x:c>
      <x:c r="R835" s="2" t="str">
        <x:f>IF(AND(A835&gt;='Review'!$B$4,A835&lt;='Review'!$D$4),"Selected","Outside")</x:f>
        <x:v>Selected</x:v>
      </x:c>
    </x:row>
    <x:row r="836" ht="20" customHeight="1">
      <x:c r="A836" s="9" t="n">
        <x:v>46295</x:v>
      </x:c>
      <x:c r="B836" s="2" t="str">
        <x:v>MM-1597</x:v>
      </x:c>
      <x:c r="C836" s="2" t="str">
        <x:v>Organic Search</x:v>
      </x:c>
      <x:c r="D836" s="2" t="str">
        <x:v>MUG-001</x:v>
      </x:c>
      <x:c r="E836" s="2" t="str">
        <x:f>_xlfn.IFNA(VLOOKUP(D836,'Products'!$A$7:$I$22,2,FALSE),"Unmapped")</x:f>
        <x:v>Everyday ceramic mug</x:v>
      </x:c>
      <x:c r="F836" s="2" t="str">
        <x:f>_xlfn.IFNA(VLOOKUP(D836,'Products'!$A$7:$I$22,3,FALSE),"Unmapped")</x:f>
        <x:v>Drinkware</x:v>
      </x:c>
      <x:c r="G836" s="2" t="n">
        <x:v>1</x:v>
      </x:c>
      <x:c r="H836" s="2" t="n">
        <x:v>0</x:v>
      </x:c>
      <x:c r="I836" s="10" t="n">
        <x:v>18.95</x:v>
      </x:c>
      <x:c r="J836" s="10" t="n">
        <x:v>0</x:v>
      </x:c>
      <x:c r="K836" s="10" t="n">
        <x:v>6.5</x:v>
      </x:c>
      <x:c r="L836" s="10" t="n">
        <x:f>G836*I836</x:f>
        <x:v>18.95</x:v>
      </x:c>
      <x:c r="M836" s="10" t="n">
        <x:f>ROUND((L836-J836)*H836/G836,2)</x:f>
        <x:v>0</x:v>
      </x:c>
      <x:c r="N836" s="10" t="n">
        <x:f>L836-J836-M836</x:f>
        <x:v>18.95</x:v>
      </x:c>
      <x:c r="O836" s="10" t="n">
        <x:f>(G836-H836)*K836</x:f>
        <x:v>6.5</x:v>
      </x:c>
      <x:c r="P836" s="10" t="n">
        <x:f>N836-O836</x:f>
        <x:v>12.45</x:v>
      </x:c>
      <x:c r="Q836" s="9" t="n">
        <x:f>A836-WEEKDAY(A836,2)+1</x:f>
        <x:v>46293</x:v>
      </x:c>
      <x:c r="R836" s="2" t="str">
        <x:f>IF(AND(A836&gt;='Review'!$B$4,A836&lt;='Review'!$D$4),"Selected","Outside")</x:f>
        <x:v>Selected</x:v>
      </x:c>
    </x:row>
    <x:row r="837" ht="20" customHeight="1">
      <x:c r="A837" s="9" t="n">
        <x:v>46295</x:v>
      </x:c>
      <x:c r="B837" s="2" t="str">
        <x:v>MM-1594</x:v>
      </x:c>
      <x:c r="C837" s="2" t="str">
        <x:v>Organic Search</x:v>
      </x:c>
      <x:c r="D837" s="2" t="str">
        <x:v>TOTE-001</x:v>
      </x:c>
      <x:c r="E837" s="2" t="str">
        <x:f>_xlfn.IFNA(VLOOKUP(D837,'Products'!$A$7:$I$22,2,FALSE),"Unmapped")</x:f>
        <x:v>Market canvas tote</x:v>
      </x:c>
      <x:c r="F837" s="2" t="str">
        <x:f>_xlfn.IFNA(VLOOKUP(D837,'Products'!$A$7:$I$22,3,FALSE),"Unmapped")</x:f>
        <x:v>Accessories</x:v>
      </x:c>
      <x:c r="G837" s="2" t="n">
        <x:v>1</x:v>
      </x:c>
      <x:c r="H837" s="2" t="n">
        <x:v>0</x:v>
      </x:c>
      <x:c r="I837" s="10" t="n">
        <x:v>19.95</x:v>
      </x:c>
      <x:c r="J837" s="10" t="n">
        <x:v>0</x:v>
      </x:c>
      <x:c r="K837" s="10" t="n">
        <x:v>6</x:v>
      </x:c>
      <x:c r="L837" s="10" t="n">
        <x:f>G837*I837</x:f>
        <x:v>19.95</x:v>
      </x:c>
      <x:c r="M837" s="10" t="n">
        <x:f>ROUND((L837-J837)*H837/G837,2)</x:f>
        <x:v>0</x:v>
      </x:c>
      <x:c r="N837" s="10" t="n">
        <x:f>L837-J837-M837</x:f>
        <x:v>19.95</x:v>
      </x:c>
      <x:c r="O837" s="10" t="n">
        <x:f>(G837-H837)*K837</x:f>
        <x:v>6</x:v>
      </x:c>
      <x:c r="P837" s="10" t="n">
        <x:f>N837-O837</x:f>
        <x:v>13.95</x:v>
      </x:c>
      <x:c r="Q837" s="9" t="n">
        <x:f>A837-WEEKDAY(A837,2)+1</x:f>
        <x:v>46293</x:v>
      </x:c>
      <x:c r="R837" s="2" t="str">
        <x:f>IF(AND(A837&gt;='Review'!$B$4,A837&lt;='Review'!$D$4),"Selected","Outside")</x:f>
        <x:v>Selected</x:v>
      </x:c>
    </x:row>
    <x:row r="838" ht="20" customHeight="1">
      <x:c r="A838" s="9" t="n">
        <x:v>46295</x:v>
      </x:c>
      <x:c r="B838" s="2" t="str">
        <x:v>MM-1594</x:v>
      </x:c>
      <x:c r="C838" s="2" t="str">
        <x:v>Organic Search</x:v>
      </x:c>
      <x:c r="D838" s="2" t="str">
        <x:v>TUM-001</x:v>
      </x:c>
      <x:c r="E838" s="2" t="str">
        <x:f>_xlfn.IFNA(VLOOKUP(D838,'Products'!$A$7:$I$22,2,FALSE),"Unmapped")</x:f>
        <x:v>Maple travel tumbler</x:v>
      </x:c>
      <x:c r="F838" s="2" t="str">
        <x:f>_xlfn.IFNA(VLOOKUP(D838,'Products'!$A$7:$I$22,3,FALSE),"Unmapped")</x:f>
        <x:v>Drinkware</x:v>
      </x:c>
      <x:c r="G838" s="2" t="n">
        <x:v>1</x:v>
      </x:c>
      <x:c r="H838" s="2" t="n">
        <x:v>0</x:v>
      </x:c>
      <x:c r="I838" s="10" t="n">
        <x:v>32.95</x:v>
      </x:c>
      <x:c r="J838" s="10" t="n">
        <x:v>0</x:v>
      </x:c>
      <x:c r="K838" s="10" t="n">
        <x:v>12</x:v>
      </x:c>
      <x:c r="L838" s="10" t="n">
        <x:f>G838*I838</x:f>
        <x:v>32.95</x:v>
      </x:c>
      <x:c r="M838" s="10" t="n">
        <x:f>ROUND((L838-J838)*H838/G838,2)</x:f>
        <x:v>0</x:v>
      </x:c>
      <x:c r="N838" s="10" t="n">
        <x:f>L838-J838-M838</x:f>
        <x:v>32.95</x:v>
      </x:c>
      <x:c r="O838" s="10" t="n">
        <x:f>(G838-H838)*K838</x:f>
        <x:v>12</x:v>
      </x:c>
      <x:c r="P838" s="10" t="n">
        <x:f>N838-O838</x:f>
        <x:v>20.950000000000003</x:v>
      </x:c>
      <x:c r="Q838" s="9" t="n">
        <x:f>A838-WEEKDAY(A838,2)+1</x:f>
        <x:v>46293</x:v>
      </x:c>
      <x:c r="R838" s="2" t="str">
        <x:f>IF(AND(A838&gt;='Review'!$B$4,A838&lt;='Review'!$D$4),"Selected","Outside")</x:f>
        <x:v>Selected</x:v>
      </x:c>
    </x:row>
    <x:row r="839" ht="20" customHeight="1">
      <x:c r="A839" s="9" t="n">
        <x:v>46295</x:v>
      </x:c>
      <x:c r="B839" s="2" t="str">
        <x:v>MM-1606</x:v>
      </x:c>
      <x:c r="C839" s="2" t="str">
        <x:v>Direct</x:v>
      </x:c>
      <x:c r="D839" s="2" t="str">
        <x:v>BOT-001</x:v>
      </x:c>
      <x:c r="E839" s="2" t="str">
        <x:f>_xlfn.IFNA(VLOOKUP(D839,'Products'!$A$7:$I$22,2,FALSE),"Unmapped")</x:f>
        <x:v>Trail water bottle</x:v>
      </x:c>
      <x:c r="F839" s="2" t="str">
        <x:f>_xlfn.IFNA(VLOOKUP(D839,'Products'!$A$7:$I$22,3,FALSE),"Unmapped")</x:f>
        <x:v>Drinkware</x:v>
      </x:c>
      <x:c r="G839" s="2" t="n">
        <x:v>1</x:v>
      </x:c>
      <x:c r="H839" s="2" t="n">
        <x:v>0</x:v>
      </x:c>
      <x:c r="I839" s="10" t="n">
        <x:v>34.95</x:v>
      </x:c>
      <x:c r="J839" s="10" t="n">
        <x:v>0</x:v>
      </x:c>
      <x:c r="K839" s="10" t="n">
        <x:v>13.5</x:v>
      </x:c>
      <x:c r="L839" s="10" t="n">
        <x:f>G839*I839</x:f>
        <x:v>34.95</x:v>
      </x:c>
      <x:c r="M839" s="10" t="n">
        <x:f>ROUND((L839-J839)*H839/G839,2)</x:f>
        <x:v>0</x:v>
      </x:c>
      <x:c r="N839" s="10" t="n">
        <x:f>L839-J839-M839</x:f>
        <x:v>34.95</x:v>
      </x:c>
      <x:c r="O839" s="10" t="n">
        <x:f>(G839-H839)*K839</x:f>
        <x:v>13.5</x:v>
      </x:c>
      <x:c r="P839" s="10" t="n">
        <x:f>N839-O839</x:f>
        <x:v>21.450000000000003</x:v>
      </x:c>
      <x:c r="Q839" s="9" t="n">
        <x:f>A839-WEEKDAY(A839,2)+1</x:f>
        <x:v>46293</x:v>
      </x:c>
      <x:c r="R839" s="2" t="str">
        <x:f>IF(AND(A839&gt;='Review'!$B$4,A839&lt;='Review'!$D$4),"Selected","Outside")</x:f>
        <x:v>Selected</x:v>
      </x:c>
    </x:row>
    <x:row r="840" ht="20" customHeight="1">
      <x:c r="A840" s="9" t="n">
        <x:v>46295</x:v>
      </x:c>
      <x:c r="B840" s="2" t="str">
        <x:v>MM-1607</x:v>
      </x:c>
      <x:c r="C840" s="2" t="str">
        <x:v>Direct</x:v>
      </x:c>
      <x:c r="D840" s="2" t="str">
        <x:v>HAT-001</x:v>
      </x:c>
      <x:c r="E840" s="2" t="str">
        <x:f>_xlfn.IFNA(VLOOKUP(D840,'Products'!$A$7:$I$22,2,FALSE),"Unmapped")</x:f>
        <x:v>Classic canvas cap</x:v>
      </x:c>
      <x:c r="F840" s="2" t="str">
        <x:f>_xlfn.IFNA(VLOOKUP(D840,'Products'!$A$7:$I$22,3,FALSE),"Unmapped")</x:f>
        <x:v>Accessories</x:v>
      </x:c>
      <x:c r="G840" s="2" t="n">
        <x:v>1</x:v>
      </x:c>
      <x:c r="H840" s="2" t="n">
        <x:v>0</x:v>
      </x:c>
      <x:c r="I840" s="10" t="n">
        <x:v>24.95</x:v>
      </x:c>
      <x:c r="J840" s="10" t="n">
        <x:v>0</x:v>
      </x:c>
      <x:c r="K840" s="10" t="n">
        <x:v>8.5</x:v>
      </x:c>
      <x:c r="L840" s="10" t="n">
        <x:f>G840*I840</x:f>
        <x:v>24.95</x:v>
      </x:c>
      <x:c r="M840" s="10" t="n">
        <x:f>ROUND((L840-J840)*H840/G840,2)</x:f>
        <x:v>0</x:v>
      </x:c>
      <x:c r="N840" s="10" t="n">
        <x:f>L840-J840-M840</x:f>
        <x:v>24.95</x:v>
      </x:c>
      <x:c r="O840" s="10" t="n">
        <x:f>(G840-H840)*K840</x:f>
        <x:v>8.5</x:v>
      </x:c>
      <x:c r="P840" s="10" t="n">
        <x:f>N840-O840</x:f>
        <x:v>16.45</x:v>
      </x:c>
      <x:c r="Q840" s="9" t="n">
        <x:f>A840-WEEKDAY(A840,2)+1</x:f>
        <x:v>46293</x:v>
      </x:c>
      <x:c r="R840" s="2" t="str">
        <x:f>IF(AND(A840&gt;='Review'!$B$4,A840&lt;='Review'!$D$4),"Selected","Outside")</x:f>
        <x:v>Selected</x:v>
      </x:c>
    </x:row>
    <x:row r="841" ht="20" customHeight="1">
      <x:c r="A841" s="9" t="n">
        <x:v>46295</x:v>
      </x:c>
      <x:c r="B841" s="2" t="str">
        <x:v>MM-1602</x:v>
      </x:c>
      <x:c r="C841" s="2" t="str">
        <x:v>Email</x:v>
      </x:c>
      <x:c r="D841" s="2" t="str">
        <x:v>MUG-002</x:v>
      </x:c>
      <x:c r="E841" s="2" t="str">
        <x:f>_xlfn.IFNA(VLOOKUP(D841,'Products'!$A$7:$I$22,2,FALSE),"Unmapped")</x:f>
        <x:v>Campfire enamel mug</x:v>
      </x:c>
      <x:c r="F841" s="2" t="str">
        <x:f>_xlfn.IFNA(VLOOKUP(D841,'Products'!$A$7:$I$22,3,FALSE),"Unmapped")</x:f>
        <x:v>Drinkware</x:v>
      </x:c>
      <x:c r="G841" s="2" t="n">
        <x:v>1</x:v>
      </x:c>
      <x:c r="H841" s="2" t="n">
        <x:v>0</x:v>
      </x:c>
      <x:c r="I841" s="10" t="n">
        <x:v>22.95</x:v>
      </x:c>
      <x:c r="J841" s="10" t="n">
        <x:v>2.29</x:v>
      </x:c>
      <x:c r="K841" s="10" t="n">
        <x:v>8.5</x:v>
      </x:c>
      <x:c r="L841" s="10" t="n">
        <x:f>G841*I841</x:f>
        <x:v>22.95</x:v>
      </x:c>
      <x:c r="M841" s="10" t="n">
        <x:f>ROUND((L841-J841)*H841/G841,2)</x:f>
        <x:v>0</x:v>
      </x:c>
      <x:c r="N841" s="10" t="n">
        <x:f>L841-J841-M841</x:f>
        <x:v>20.66</x:v>
      </x:c>
      <x:c r="O841" s="10" t="n">
        <x:f>(G841-H841)*K841</x:f>
        <x:v>8.5</x:v>
      </x:c>
      <x:c r="P841" s="10" t="n">
        <x:f>N841-O841</x:f>
        <x:v>12.16</x:v>
      </x:c>
      <x:c r="Q841" s="9" t="n">
        <x:f>A841-WEEKDAY(A841,2)+1</x:f>
        <x:v>46293</x:v>
      </x:c>
      <x:c r="R841" s="2" t="str">
        <x:f>IF(AND(A841&gt;='Review'!$B$4,A841&lt;='Review'!$D$4),"Selected","Outside")</x:f>
        <x:v>Selected</x:v>
      </x:c>
    </x:row>
    <x:row r="842" ht="20" customHeight="1">
      <x:c r="A842" s="9" t="n">
        <x:v>46295</x:v>
      </x:c>
      <x:c r="B842" s="2" t="str">
        <x:v>MM-1602</x:v>
      </x:c>
      <x:c r="C842" s="2" t="str">
        <x:v>Email</x:v>
      </x:c>
      <x:c r="D842" s="2" t="str">
        <x:v>HAT-001</x:v>
      </x:c>
      <x:c r="E842" s="2" t="str">
        <x:f>_xlfn.IFNA(VLOOKUP(D842,'Products'!$A$7:$I$22,2,FALSE),"Unmapped")</x:f>
        <x:v>Classic canvas cap</x:v>
      </x:c>
      <x:c r="F842" s="2" t="str">
        <x:f>_xlfn.IFNA(VLOOKUP(D842,'Products'!$A$7:$I$22,3,FALSE),"Unmapped")</x:f>
        <x:v>Accessories</x:v>
      </x:c>
      <x:c r="G842" s="2" t="n">
        <x:v>2</x:v>
      </x:c>
      <x:c r="H842" s="2" t="n">
        <x:v>0</x:v>
      </x:c>
      <x:c r="I842" s="10" t="n">
        <x:v>24.95</x:v>
      </x:c>
      <x:c r="J842" s="10" t="n">
        <x:v>4.99</x:v>
      </x:c>
      <x:c r="K842" s="10" t="n">
        <x:v>8.5</x:v>
      </x:c>
      <x:c r="L842" s="10" t="n">
        <x:f>G842*I842</x:f>
        <x:v>49.9</x:v>
      </x:c>
      <x:c r="M842" s="10" t="n">
        <x:f>ROUND((L842-J842)*H842/G842,2)</x:f>
        <x:v>0</x:v>
      </x:c>
      <x:c r="N842" s="10" t="n">
        <x:f>L842-J842-M842</x:f>
        <x:v>44.91</x:v>
      </x:c>
      <x:c r="O842" s="10" t="n">
        <x:f>(G842-H842)*K842</x:f>
        <x:v>17</x:v>
      </x:c>
      <x:c r="P842" s="10" t="n">
        <x:f>N842-O842</x:f>
        <x:v>27.909999999999997</x:v>
      </x:c>
      <x:c r="Q842" s="9" t="n">
        <x:f>A842-WEEKDAY(A842,2)+1</x:f>
        <x:v>46293</x:v>
      </x:c>
      <x:c r="R842" s="2" t="str">
        <x:f>IF(AND(A842&gt;='Review'!$B$4,A842&lt;='Review'!$D$4),"Selected","Outside")</x:f>
        <x:v>Selected</x:v>
      </x:c>
    </x:row>
    <x:row r="843" ht="20" customHeight="1">
      <x:c r="A843" s="9" t="n">
        <x:v>46295</x:v>
      </x:c>
      <x:c r="B843" s="2" t="str">
        <x:v>MM-1602</x:v>
      </x:c>
      <x:c r="C843" s="2" t="str">
        <x:v>Email</x:v>
      </x:c>
      <x:c r="D843" s="2" t="str">
        <x:v>BOT-001</x:v>
      </x:c>
      <x:c r="E843" s="2" t="str">
        <x:f>_xlfn.IFNA(VLOOKUP(D843,'Products'!$A$7:$I$22,2,FALSE),"Unmapped")</x:f>
        <x:v>Trail water bottle</x:v>
      </x:c>
      <x:c r="F843" s="2" t="str">
        <x:f>_xlfn.IFNA(VLOOKUP(D843,'Products'!$A$7:$I$22,3,FALSE),"Unmapped")</x:f>
        <x:v>Drinkware</x:v>
      </x:c>
      <x:c r="G843" s="2" t="n">
        <x:v>3</x:v>
      </x:c>
      <x:c r="H843" s="2" t="n">
        <x:v>0</x:v>
      </x:c>
      <x:c r="I843" s="10" t="n">
        <x:v>34.95</x:v>
      </x:c>
      <x:c r="J843" s="10" t="n">
        <x:v>10.48</x:v>
      </x:c>
      <x:c r="K843" s="10" t="n">
        <x:v>13.5</x:v>
      </x:c>
      <x:c r="L843" s="10" t="n">
        <x:f>G843*I843</x:f>
        <x:v>104.85000000000001</x:v>
      </x:c>
      <x:c r="M843" s="10" t="n">
        <x:f>ROUND((L843-J843)*H843/G843,2)</x:f>
        <x:v>0</x:v>
      </x:c>
      <x:c r="N843" s="10" t="n">
        <x:f>L843-J843-M843</x:f>
        <x:v>94.37</x:v>
      </x:c>
      <x:c r="O843" s="10" t="n">
        <x:f>(G843-H843)*K843</x:f>
        <x:v>40.5</x:v>
      </x:c>
      <x:c r="P843" s="10" t="n">
        <x:f>N843-O843</x:f>
        <x:v>53.870000000000005</x:v>
      </x:c>
      <x:c r="Q843" s="9" t="n">
        <x:f>A843-WEEKDAY(A843,2)+1</x:f>
        <x:v>46293</x:v>
      </x:c>
      <x:c r="R843" s="2" t="str">
        <x:f>IF(AND(A843&gt;='Review'!$B$4,A843&lt;='Review'!$D$4),"Selected","Outside")</x:f>
        <x:v>Selected</x:v>
      </x:c>
    </x:row>
    <x:row r="844" ht="20" customHeight="1">
      <x:c r="A844" s="9" t="n">
        <x:v>46295</x:v>
      </x:c>
      <x:c r="B844" s="2" t="str">
        <x:v>MM-1589</x:v>
      </x:c>
      <x:c r="C844" s="2" t="str">
        <x:v>Organic Search</x:v>
      </x:c>
      <x:c r="D844" s="2" t="str">
        <x:v>APP-003</x:v>
      </x:c>
      <x:c r="E844" s="2" t="str">
        <x:f>_xlfn.IFNA(VLOOKUP(D844,'Products'!$A$7:$I$22,2,FALSE),"Unmapped")</x:f>
        <x:v>Coffee club tee</x:v>
      </x:c>
      <x:c r="F844" s="2" t="str">
        <x:f>_xlfn.IFNA(VLOOKUP(D844,'Products'!$A$7:$I$22,3,FALSE),"Unmapped")</x:f>
        <x:v>Apparel</x:v>
      </x:c>
      <x:c r="G844" s="2" t="n">
        <x:v>1</x:v>
      </x:c>
      <x:c r="H844" s="2" t="n">
        <x:v>0</x:v>
      </x:c>
      <x:c r="I844" s="10" t="n">
        <x:v>29.95</x:v>
      </x:c>
      <x:c r="J844" s="10" t="n">
        <x:v>0</x:v>
      </x:c>
      <x:c r="K844" s="10" t="n">
        <x:v>10</x:v>
      </x:c>
      <x:c r="L844" s="10" t="n">
        <x:f>G844*I844</x:f>
        <x:v>29.95</x:v>
      </x:c>
      <x:c r="M844" s="10" t="n">
        <x:f>ROUND((L844-J844)*H844/G844,2)</x:f>
        <x:v>0</x:v>
      </x:c>
      <x:c r="N844" s="10" t="n">
        <x:f>L844-J844-M844</x:f>
        <x:v>29.95</x:v>
      </x:c>
      <x:c r="O844" s="10" t="n">
        <x:f>(G844-H844)*K844</x:f>
        <x:v>10</x:v>
      </x:c>
      <x:c r="P844" s="10" t="n">
        <x:f>N844-O844</x:f>
        <x:v>19.95</x:v>
      </x:c>
      <x:c r="Q844" s="9" t="n">
        <x:f>A844-WEEKDAY(A844,2)+1</x:f>
        <x:v>46293</x:v>
      </x:c>
      <x:c r="R844" s="2" t="str">
        <x:f>IF(AND(A844&gt;='Review'!$B$4,A844&lt;='Review'!$D$4),"Selected","Outside")</x:f>
        <x:v>Selected</x:v>
      </x:c>
    </x:row>
    <x:row r="845" ht="20" customHeight="1">
      <x:c r="A845" s="9" t="n">
        <x:v>46295</x:v>
      </x:c>
      <x:c r="B845" s="2" t="str">
        <x:v>MM-1603</x:v>
      </x:c>
      <x:c r="C845" s="2" t="str">
        <x:v>Paid Social</x:v>
      </x:c>
      <x:c r="D845" s="2" t="str">
        <x:v>MUG-001</x:v>
      </x:c>
      <x:c r="E845" s="2" t="str">
        <x:f>_xlfn.IFNA(VLOOKUP(D845,'Products'!$A$7:$I$22,2,FALSE),"Unmapped")</x:f>
        <x:v>Everyday ceramic mug</x:v>
      </x:c>
      <x:c r="F845" s="2" t="str">
        <x:f>_xlfn.IFNA(VLOOKUP(D845,'Products'!$A$7:$I$22,3,FALSE),"Unmapped")</x:f>
        <x:v>Drinkware</x:v>
      </x:c>
      <x:c r="G845" s="2" t="n">
        <x:v>1</x:v>
      </x:c>
      <x:c r="H845" s="2" t="n">
        <x:v>0</x:v>
      </x:c>
      <x:c r="I845" s="10" t="n">
        <x:v>18.95</x:v>
      </x:c>
      <x:c r="J845" s="10" t="n">
        <x:v>1.89</x:v>
      </x:c>
      <x:c r="K845" s="10" t="n">
        <x:v>6.5</x:v>
      </x:c>
      <x:c r="L845" s="10" t="n">
        <x:f>G845*I845</x:f>
        <x:v>18.95</x:v>
      </x:c>
      <x:c r="M845" s="10" t="n">
        <x:f>ROUND((L845-J845)*H845/G845,2)</x:f>
        <x:v>0</x:v>
      </x:c>
      <x:c r="N845" s="10" t="n">
        <x:f>L845-J845-M845</x:f>
        <x:v>17.06</x:v>
      </x:c>
      <x:c r="O845" s="10" t="n">
        <x:f>(G845-H845)*K845</x:f>
        <x:v>6.5</x:v>
      </x:c>
      <x:c r="P845" s="10" t="n">
        <x:f>N845-O845</x:f>
        <x:v>10.559999999999999</x:v>
      </x:c>
      <x:c r="Q845" s="9" t="n">
        <x:f>A845-WEEKDAY(A845,2)+1</x:f>
        <x:v>46293</x:v>
      </x:c>
      <x:c r="R845" s="2" t="str">
        <x:f>IF(AND(A845&gt;='Review'!$B$4,A845&lt;='Review'!$D$4),"Selected","Outside")</x:f>
        <x:v>Selected</x:v>
      </x:c>
    </x:row>
    <x:row r="846" ht="20" customHeight="1">
      <x:c r="A846" s="9" t="n">
        <x:v>46295</x:v>
      </x:c>
      <x:c r="B846" s="2" t="str">
        <x:v>MM-1603</x:v>
      </x:c>
      <x:c r="C846" s="2" t="str">
        <x:v>Paid Social</x:v>
      </x:c>
      <x:c r="D846" s="2" t="str">
        <x:v>TUM-001</x:v>
      </x:c>
      <x:c r="E846" s="2" t="str">
        <x:f>_xlfn.IFNA(VLOOKUP(D846,'Products'!$A$7:$I$22,2,FALSE),"Unmapped")</x:f>
        <x:v>Maple travel tumbler</x:v>
      </x:c>
      <x:c r="F846" s="2" t="str">
        <x:f>_xlfn.IFNA(VLOOKUP(D846,'Products'!$A$7:$I$22,3,FALSE),"Unmapped")</x:f>
        <x:v>Drinkware</x:v>
      </x:c>
      <x:c r="G846" s="2" t="n">
        <x:v>1</x:v>
      </x:c>
      <x:c r="H846" s="2" t="n">
        <x:v>0</x:v>
      </x:c>
      <x:c r="I846" s="10" t="n">
        <x:v>32.95</x:v>
      </x:c>
      <x:c r="J846" s="10" t="n">
        <x:v>0</x:v>
      </x:c>
      <x:c r="K846" s="10" t="n">
        <x:v>12</x:v>
      </x:c>
      <x:c r="L846" s="10" t="n">
        <x:f>G846*I846</x:f>
        <x:v>32.95</x:v>
      </x:c>
      <x:c r="M846" s="10" t="n">
        <x:f>ROUND((L846-J846)*H846/G846,2)</x:f>
        <x:v>0</x:v>
      </x:c>
      <x:c r="N846" s="10" t="n">
        <x:f>L846-J846-M846</x:f>
        <x:v>32.95</x:v>
      </x:c>
      <x:c r="O846" s="10" t="n">
        <x:f>(G846-H846)*K846</x:f>
        <x:v>12</x:v>
      </x:c>
      <x:c r="P846" s="10" t="n">
        <x:f>N846-O846</x:f>
        <x:v>20.950000000000003</x:v>
      </x:c>
      <x:c r="Q846" s="9" t="n">
        <x:f>A846-WEEKDAY(A846,2)+1</x:f>
        <x:v>46293</x:v>
      </x:c>
      <x:c r="R846" s="2" t="str">
        <x:f>IF(AND(A846&gt;='Review'!$B$4,A846&lt;='Review'!$D$4),"Selected","Outside")</x:f>
        <x:v>Selected</x:v>
      </x:c>
    </x:row>
    <x:row r="847" ht="20" customHeight="1">
      <x:c r="A847" s="9" t="n">
        <x:v>46295</x:v>
      </x:c>
      <x:c r="B847" s="2" t="str">
        <x:v>MM-1596</x:v>
      </x:c>
      <x:c r="C847" s="2" t="str">
        <x:v>Email</x:v>
      </x:c>
      <x:c r="D847" s="2" t="str">
        <x:v>APP-001</x:v>
      </x:c>
      <x:c r="E847" s="2" t="str">
        <x:f>_xlfn.IFNA(VLOOKUP(D847,'Products'!$A$7:$I$22,2,FALSE),"Unmapped")</x:f>
        <x:v>Everyday crewneck</x:v>
      </x:c>
      <x:c r="F847" s="2" t="str">
        <x:f>_xlfn.IFNA(VLOOKUP(D847,'Products'!$A$7:$I$22,3,FALSE),"Unmapped")</x:f>
        <x:v>Apparel</x:v>
      </x:c>
      <x:c r="G847" s="2" t="n">
        <x:v>1</x:v>
      </x:c>
      <x:c r="H847" s="2" t="n">
        <x:v>0</x:v>
      </x:c>
      <x:c r="I847" s="10" t="n">
        <x:v>54.95</x:v>
      </x:c>
      <x:c r="J847" s="10" t="n">
        <x:v>5.49</x:v>
      </x:c>
      <x:c r="K847" s="10" t="n">
        <x:v>22</x:v>
      </x:c>
      <x:c r="L847" s="10" t="n">
        <x:f>G847*I847</x:f>
        <x:v>54.95</x:v>
      </x:c>
      <x:c r="M847" s="10" t="n">
        <x:f>ROUND((L847-J847)*H847/G847,2)</x:f>
        <x:v>0</x:v>
      </x:c>
      <x:c r="N847" s="10" t="n">
        <x:f>L847-J847-M847</x:f>
        <x:v>49.46</x:v>
      </x:c>
      <x:c r="O847" s="10" t="n">
        <x:f>(G847-H847)*K847</x:f>
        <x:v>22</x:v>
      </x:c>
      <x:c r="P847" s="10" t="n">
        <x:f>N847-O847</x:f>
        <x:v>27.46</x:v>
      </x:c>
      <x:c r="Q847" s="9" t="n">
        <x:f>A847-WEEKDAY(A847,2)+1</x:f>
        <x:v>46293</x:v>
      </x:c>
      <x:c r="R847" s="2" t="str">
        <x:f>IF(AND(A847&gt;='Review'!$B$4,A847&lt;='Review'!$D$4),"Selected","Outside")</x:f>
        <x:v>Selected</x:v>
      </x:c>
    </x:row>
    <x:row r="848" ht="20" customHeight="1">
      <x:c r="A848" s="9" t="n">
        <x:v>46295</x:v>
      </x:c>
      <x:c r="B848" s="2" t="str">
        <x:v>MM-1600</x:v>
      </x:c>
      <x:c r="C848" s="2" t="str">
        <x:v>Email</x:v>
      </x:c>
      <x:c r="D848" s="2" t="str">
        <x:v>GFT-001</x:v>
      </x:c>
      <x:c r="E848" s="2" t="str">
        <x:f>_xlfn.IFNA(VLOOKUP(D848,'Products'!$A$7:$I$22,2,FALSE),"Unmapped")</x:f>
        <x:v>Morning ritual gift set</x:v>
      </x:c>
      <x:c r="F848" s="2" t="str">
        <x:f>_xlfn.IFNA(VLOOKUP(D848,'Products'!$A$7:$I$22,3,FALSE),"Unmapped")</x:f>
        <x:v>Gifts</x:v>
      </x:c>
      <x:c r="G848" s="2" t="n">
        <x:v>2</x:v>
      </x:c>
      <x:c r="H848" s="2" t="n">
        <x:v>0</x:v>
      </x:c>
      <x:c r="I848" s="10" t="n">
        <x:v>59.95</x:v>
      </x:c>
      <x:c r="J848" s="10" t="n">
        <x:v>11.99</x:v>
      </x:c>
      <x:c r="K848" s="10" t="n">
        <x:v>24</x:v>
      </x:c>
      <x:c r="L848" s="10" t="n">
        <x:f>G848*I848</x:f>
        <x:v>119.9</x:v>
      </x:c>
      <x:c r="M848" s="10" t="n">
        <x:f>ROUND((L848-J848)*H848/G848,2)</x:f>
        <x:v>0</x:v>
      </x:c>
      <x:c r="N848" s="10" t="n">
        <x:f>L848-J848-M848</x:f>
        <x:v>107.91000000000001</x:v>
      </x:c>
      <x:c r="O848" s="10" t="n">
        <x:f>(G848-H848)*K848</x:f>
        <x:v>48</x:v>
      </x:c>
      <x:c r="P848" s="10" t="n">
        <x:f>N848-O848</x:f>
        <x:v>59.91000000000001</x:v>
      </x:c>
      <x:c r="Q848" s="9" t="n">
        <x:f>A848-WEEKDAY(A848,2)+1</x:f>
        <x:v>46293</x:v>
      </x:c>
      <x:c r="R848" s="2" t="str">
        <x:f>IF(AND(A848&gt;='Review'!$B$4,A848&lt;='Review'!$D$4),"Selected","Outside")</x:f>
        <x:v>Selected</x:v>
      </x:c>
    </x:row>
    <x:row r="849" ht="20" customHeight="1">
      <x:c r="A849" s="9" t="n">
        <x:v>46295</x:v>
      </x:c>
      <x:c r="B849" s="2" t="str">
        <x:v>MM-1586</x:v>
      </x:c>
      <x:c r="C849" s="2" t="str">
        <x:v>Paid Social</x:v>
      </x:c>
      <x:c r="D849" s="2" t="str">
        <x:v>APP-003</x:v>
      </x:c>
      <x:c r="E849" s="2" t="str">
        <x:f>_xlfn.IFNA(VLOOKUP(D849,'Products'!$A$7:$I$22,2,FALSE),"Unmapped")</x:f>
        <x:v>Coffee club tee</x:v>
      </x:c>
      <x:c r="F849" s="2" t="str">
        <x:f>_xlfn.IFNA(VLOOKUP(D849,'Products'!$A$7:$I$22,3,FALSE),"Unmapped")</x:f>
        <x:v>Apparel</x:v>
      </x:c>
      <x:c r="G849" s="2" t="n">
        <x:v>2</x:v>
      </x:c>
      <x:c r="H849" s="2" t="n">
        <x:v>0</x:v>
      </x:c>
      <x:c r="I849" s="10" t="n">
        <x:v>29.95</x:v>
      </x:c>
      <x:c r="J849" s="10" t="n">
        <x:v>0</x:v>
      </x:c>
      <x:c r="K849" s="10" t="n">
        <x:v>10</x:v>
      </x:c>
      <x:c r="L849" s="10" t="n">
        <x:f>G849*I849</x:f>
        <x:v>59.9</x:v>
      </x:c>
      <x:c r="M849" s="10" t="n">
        <x:f>ROUND((L849-J849)*H849/G849,2)</x:f>
        <x:v>0</x:v>
      </x:c>
      <x:c r="N849" s="10" t="n">
        <x:f>L849-J849-M849</x:f>
        <x:v>59.9</x:v>
      </x:c>
      <x:c r="O849" s="10" t="n">
        <x:f>(G849-H849)*K849</x:f>
        <x:v>20</x:v>
      </x:c>
      <x:c r="P849" s="10" t="n">
        <x:f>N849-O849</x:f>
        <x:v>39.9</x:v>
      </x:c>
      <x:c r="Q849" s="9" t="n">
        <x:f>A849-WEEKDAY(A849,2)+1</x:f>
        <x:v>46293</x:v>
      </x:c>
      <x:c r="R849" s="2" t="str">
        <x:f>IF(AND(A849&gt;='Review'!$B$4,A849&lt;='Review'!$D$4),"Selected","Outside")</x:f>
        <x:v>Selected</x:v>
      </x:c>
    </x:row>
    <x:row r="850" ht="20" customHeight="1">
      <x:c r="A850" s="9" t="n">
        <x:v>46295</x:v>
      </x:c>
      <x:c r="B850" s="2" t="str">
        <x:v>MM-1586</x:v>
      </x:c>
      <x:c r="C850" s="2" t="str">
        <x:v>Paid Social</x:v>
      </x:c>
      <x:c r="D850" s="2" t="str">
        <x:v>GFT-001</x:v>
      </x:c>
      <x:c r="E850" s="2" t="str">
        <x:f>_xlfn.IFNA(VLOOKUP(D850,'Products'!$A$7:$I$22,2,FALSE),"Unmapped")</x:f>
        <x:v>Morning ritual gift set</x:v>
      </x:c>
      <x:c r="F850" s="2" t="str">
        <x:f>_xlfn.IFNA(VLOOKUP(D850,'Products'!$A$7:$I$22,3,FALSE),"Unmapped")</x:f>
        <x:v>Gifts</x:v>
      </x:c>
      <x:c r="G850" s="2" t="n">
        <x:v>1</x:v>
      </x:c>
      <x:c r="H850" s="2" t="n">
        <x:v>0</x:v>
      </x:c>
      <x:c r="I850" s="10" t="n">
        <x:v>59.95</x:v>
      </x:c>
      <x:c r="J850" s="10" t="n">
        <x:v>0</x:v>
      </x:c>
      <x:c r="K850" s="10" t="n">
        <x:v>24</x:v>
      </x:c>
      <x:c r="L850" s="10" t="n">
        <x:f>G850*I850</x:f>
        <x:v>59.95</x:v>
      </x:c>
      <x:c r="M850" s="10" t="n">
        <x:f>ROUND((L850-J850)*H850/G850,2)</x:f>
        <x:v>0</x:v>
      </x:c>
      <x:c r="N850" s="10" t="n">
        <x:f>L850-J850-M850</x:f>
        <x:v>59.95</x:v>
      </x:c>
      <x:c r="O850" s="10" t="n">
        <x:f>(G850-H850)*K850</x:f>
        <x:v>24</x:v>
      </x:c>
      <x:c r="P850" s="10" t="n">
        <x:f>N850-O850</x:f>
        <x:v>35.95</x:v>
      </x:c>
      <x:c r="Q850" s="9" t="n">
        <x:f>A850-WEEKDAY(A850,2)+1</x:f>
        <x:v>46293</x:v>
      </x:c>
      <x:c r="R850" s="2" t="str">
        <x:f>IF(AND(A850&gt;='Review'!$B$4,A850&lt;='Review'!$D$4),"Selected","Outside")</x:f>
        <x:v>Selected</x:v>
      </x:c>
    </x:row>
    <x:row r="851" ht="20" customHeight="1">
      <x:c r="A851" s="9" t="n">
        <x:v>46295</x:v>
      </x:c>
      <x:c r="B851" s="2" t="str">
        <x:v>MM-1588</x:v>
      </x:c>
      <x:c r="C851" s="2" t="str">
        <x:v>Email</x:v>
      </x:c>
      <x:c r="D851" s="2" t="str">
        <x:v>KEY-001</x:v>
      </x:c>
      <x:c r="E851" s="2" t="str">
        <x:f>_xlfn.IFNA(VLOOKUP(D851,'Products'!$A$7:$I$22,2,FALSE),"Unmapped")</x:f>
        <x:v>Maple keyring</x:v>
      </x:c>
      <x:c r="F851" s="2" t="str">
        <x:f>_xlfn.IFNA(VLOOKUP(D851,'Products'!$A$7:$I$22,3,FALSE),"Unmapped")</x:f>
        <x:v>Accessories</x:v>
      </x:c>
      <x:c r="G851" s="2" t="n">
        <x:v>1</x:v>
      </x:c>
      <x:c r="H851" s="2" t="n">
        <x:v>0</x:v>
      </x:c>
      <x:c r="I851" s="10" t="n">
        <x:v>12.95</x:v>
      </x:c>
      <x:c r="J851" s="10" t="n">
        <x:v>1.29</x:v>
      </x:c>
      <x:c r="K851" s="10" t="n">
        <x:v>3.5</x:v>
      </x:c>
      <x:c r="L851" s="10" t="n">
        <x:f>G851*I851</x:f>
        <x:v>12.95</x:v>
      </x:c>
      <x:c r="M851" s="10" t="n">
        <x:f>ROUND((L851-J851)*H851/G851,2)</x:f>
        <x:v>0</x:v>
      </x:c>
      <x:c r="N851" s="10" t="n">
        <x:f>L851-J851-M851</x:f>
        <x:v>11.66</x:v>
      </x:c>
      <x:c r="O851" s="10" t="n">
        <x:f>(G851-H851)*K851</x:f>
        <x:v>3.5</x:v>
      </x:c>
      <x:c r="P851" s="10" t="n">
        <x:f>N851-O851</x:f>
        <x:v>8.16</x:v>
      </x:c>
      <x:c r="Q851" s="9" t="n">
        <x:f>A851-WEEKDAY(A851,2)+1</x:f>
        <x:v>46293</x:v>
      </x:c>
      <x:c r="R851" s="2" t="str">
        <x:f>IF(AND(A851&gt;='Review'!$B$4,A851&lt;='Review'!$D$4),"Selected","Outside")</x:f>
        <x:v>Selected</x:v>
      </x:c>
    </x:row>
    <x:row r="852" ht="20" customHeight="1">
      <x:c r="A852" s="9" t="n">
        <x:v>46295</x:v>
      </x:c>
      <x:c r="B852" s="2" t="str">
        <x:v>MM-1590</x:v>
      </x:c>
      <x:c r="C852" s="2" t="str">
        <x:v>Email</x:v>
      </x:c>
      <x:c r="D852" s="2" t="str">
        <x:v>TUM-001</x:v>
      </x:c>
      <x:c r="E852" s="2" t="str">
        <x:f>_xlfn.IFNA(VLOOKUP(D852,'Products'!$A$7:$I$22,2,FALSE),"Unmapped")</x:f>
        <x:v>Maple travel tumbler</x:v>
      </x:c>
      <x:c r="F852" s="2" t="str">
        <x:f>_xlfn.IFNA(VLOOKUP(D852,'Products'!$A$7:$I$22,3,FALSE),"Unmapped")</x:f>
        <x:v>Drinkware</x:v>
      </x:c>
      <x:c r="G852" s="2" t="n">
        <x:v>1</x:v>
      </x:c>
      <x:c r="H852" s="2" t="n">
        <x:v>0</x:v>
      </x:c>
      <x:c r="I852" s="10" t="n">
        <x:v>32.95</x:v>
      </x:c>
      <x:c r="J852" s="10" t="n">
        <x:v>3.29</x:v>
      </x:c>
      <x:c r="K852" s="10" t="n">
        <x:v>12</x:v>
      </x:c>
      <x:c r="L852" s="10" t="n">
        <x:f>G852*I852</x:f>
        <x:v>32.95</x:v>
      </x:c>
      <x:c r="M852" s="10" t="n">
        <x:f>ROUND((L852-J852)*H852/G852,2)</x:f>
        <x:v>0</x:v>
      </x:c>
      <x:c r="N852" s="10" t="n">
        <x:f>L852-J852-M852</x:f>
        <x:v>29.660000000000004</x:v>
      </x:c>
      <x:c r="O852" s="10" t="n">
        <x:f>(G852-H852)*K852</x:f>
        <x:v>12</x:v>
      </x:c>
      <x:c r="P852" s="10" t="n">
        <x:f>N852-O852</x:f>
        <x:v>17.660000000000004</x:v>
      </x:c>
      <x:c r="Q852" s="9" t="n">
        <x:f>A852-WEEKDAY(A852,2)+1</x:f>
        <x:v>46293</x:v>
      </x:c>
      <x:c r="R852" s="2" t="str">
        <x:f>IF(AND(A852&gt;='Review'!$B$4,A852&lt;='Review'!$D$4),"Selected","Outside")</x:f>
        <x:v>Selected</x:v>
      </x:c>
    </x:row>
    <x:row r="853" ht="20" customHeight="1">
      <x:c r="A853" s="9" t="n">
        <x:v>46295</x:v>
      </x:c>
      <x:c r="B853" s="2" t="str">
        <x:v>MM-1590</x:v>
      </x:c>
      <x:c r="C853" s="2" t="str">
        <x:v>Email</x:v>
      </x:c>
      <x:c r="D853" s="2" t="str">
        <x:v>TOTE-001</x:v>
      </x:c>
      <x:c r="E853" s="2" t="str">
        <x:f>_xlfn.IFNA(VLOOKUP(D853,'Products'!$A$7:$I$22,2,FALSE),"Unmapped")</x:f>
        <x:v>Market canvas tote</x:v>
      </x:c>
      <x:c r="F853" s="2" t="str">
        <x:f>_xlfn.IFNA(VLOOKUP(D853,'Products'!$A$7:$I$22,3,FALSE),"Unmapped")</x:f>
        <x:v>Accessories</x:v>
      </x:c>
      <x:c r="G853" s="2" t="n">
        <x:v>3</x:v>
      </x:c>
      <x:c r="H853" s="2" t="n">
        <x:v>0</x:v>
      </x:c>
      <x:c r="I853" s="10" t="n">
        <x:v>19.95</x:v>
      </x:c>
      <x:c r="J853" s="10" t="n">
        <x:v>5.98</x:v>
      </x:c>
      <x:c r="K853" s="10" t="n">
        <x:v>6</x:v>
      </x:c>
      <x:c r="L853" s="10" t="n">
        <x:f>G853*I853</x:f>
        <x:v>59.849999999999994</x:v>
      </x:c>
      <x:c r="M853" s="10" t="n">
        <x:f>ROUND((L853-J853)*H853/G853,2)</x:f>
        <x:v>0</x:v>
      </x:c>
      <x:c r="N853" s="10" t="n">
        <x:f>L853-J853-M853</x:f>
        <x:v>53.86999999999999</x:v>
      </x:c>
      <x:c r="O853" s="10" t="n">
        <x:f>(G853-H853)*K853</x:f>
        <x:v>18</x:v>
      </x:c>
      <x:c r="P853" s="10" t="n">
        <x:f>N853-O853</x:f>
        <x:v>35.86999999999999</x:v>
      </x:c>
      <x:c r="Q853" s="9" t="n">
        <x:f>A853-WEEKDAY(A853,2)+1</x:f>
        <x:v>46293</x:v>
      </x:c>
      <x:c r="R853" s="2" t="str">
        <x:f>IF(AND(A853&gt;='Review'!$B$4,A853&lt;='Review'!$D$4),"Selected","Outside")</x:f>
        <x:v>Selected</x:v>
      </x:c>
    </x:row>
    <x:row r="854" ht="20" customHeight="1">
      <x:c r="A854" s="9" t="n">
        <x:v>46295</x:v>
      </x:c>
      <x:c r="B854" s="2" t="str">
        <x:v>MM-1591</x:v>
      </x:c>
      <x:c r="C854" s="2" t="str">
        <x:v>Direct</x:v>
      </x:c>
      <x:c r="D854" s="2" t="str">
        <x:v>KEY-001</x:v>
      </x:c>
      <x:c r="E854" s="2" t="str">
        <x:f>_xlfn.IFNA(VLOOKUP(D854,'Products'!$A$7:$I$22,2,FALSE),"Unmapped")</x:f>
        <x:v>Maple keyring</x:v>
      </x:c>
      <x:c r="F854" s="2" t="str">
        <x:f>_xlfn.IFNA(VLOOKUP(D854,'Products'!$A$7:$I$22,3,FALSE),"Unmapped")</x:f>
        <x:v>Accessories</x:v>
      </x:c>
      <x:c r="G854" s="2" t="n">
        <x:v>1</x:v>
      </x:c>
      <x:c r="H854" s="2" t="n">
        <x:v>0</x:v>
      </x:c>
      <x:c r="I854" s="10" t="n">
        <x:v>12.95</x:v>
      </x:c>
      <x:c r="J854" s="10" t="n">
        <x:v>0</x:v>
      </x:c>
      <x:c r="K854" s="10" t="n">
        <x:v>3.5</x:v>
      </x:c>
      <x:c r="L854" s="10" t="n">
        <x:f>G854*I854</x:f>
        <x:v>12.95</x:v>
      </x:c>
      <x:c r="M854" s="10" t="n">
        <x:f>ROUND((L854-J854)*H854/G854,2)</x:f>
        <x:v>0</x:v>
      </x:c>
      <x:c r="N854" s="10" t="n">
        <x:f>L854-J854-M854</x:f>
        <x:v>12.95</x:v>
      </x:c>
      <x:c r="O854" s="10" t="n">
        <x:f>(G854-H854)*K854</x:f>
        <x:v>3.5</x:v>
      </x:c>
      <x:c r="P854" s="10" t="n">
        <x:f>N854-O854</x:f>
        <x:v>9.45</x:v>
      </x:c>
      <x:c r="Q854" s="9" t="n">
        <x:f>A854-WEEKDAY(A854,2)+1</x:f>
        <x:v>46293</x:v>
      </x:c>
      <x:c r="R854" s="2" t="str">
        <x:f>IF(AND(A854&gt;='Review'!$B$4,A854&lt;='Review'!$D$4),"Selected","Outside")</x:f>
        <x:v>Selected</x:v>
      </x:c>
    </x:row>
    <x:row r="855" ht="20" customHeight="1">
      <x:c r="A855" s="9" t="n">
        <x:v>46295</x:v>
      </x:c>
      <x:c r="B855" s="2" t="str">
        <x:v>MM-1595</x:v>
      </x:c>
      <x:c r="C855" s="2" t="str">
        <x:v>Organic Search</x:v>
      </x:c>
      <x:c r="D855" s="2" t="str">
        <x:v>KEY-001</x:v>
      </x:c>
      <x:c r="E855" s="2" t="str">
        <x:f>_xlfn.IFNA(VLOOKUP(D855,'Products'!$A$7:$I$22,2,FALSE),"Unmapped")</x:f>
        <x:v>Maple keyring</x:v>
      </x:c>
      <x:c r="F855" s="2" t="str">
        <x:f>_xlfn.IFNA(VLOOKUP(D855,'Products'!$A$7:$I$22,3,FALSE),"Unmapped")</x:f>
        <x:v>Accessories</x:v>
      </x:c>
      <x:c r="G855" s="2" t="n">
        <x:v>1</x:v>
      </x:c>
      <x:c r="H855" s="2" t="n">
        <x:v>0</x:v>
      </x:c>
      <x:c r="I855" s="10" t="n">
        <x:v>12.95</x:v>
      </x:c>
      <x:c r="J855" s="10" t="n">
        <x:v>0</x:v>
      </x:c>
      <x:c r="K855" s="10" t="n">
        <x:v>3.5</x:v>
      </x:c>
      <x:c r="L855" s="10" t="n">
        <x:f>G855*I855</x:f>
        <x:v>12.95</x:v>
      </x:c>
      <x:c r="M855" s="10" t="n">
        <x:f>ROUND((L855-J855)*H855/G855,2)</x:f>
        <x:v>0</x:v>
      </x:c>
      <x:c r="N855" s="10" t="n">
        <x:f>L855-J855-M855</x:f>
        <x:v>12.95</x:v>
      </x:c>
      <x:c r="O855" s="10" t="n">
        <x:f>(G855-H855)*K855</x:f>
        <x:v>3.5</x:v>
      </x:c>
      <x:c r="P855" s="10" t="n">
        <x:f>N855-O855</x:f>
        <x:v>9.45</x:v>
      </x:c>
      <x:c r="Q855" s="9" t="n">
        <x:f>A855-WEEKDAY(A855,2)+1</x:f>
        <x:v>46293</x:v>
      </x:c>
      <x:c r="R855" s="2" t="str">
        <x:f>IF(AND(A855&gt;='Review'!$B$4,A855&lt;='Review'!$D$4),"Selected","Outside")</x:f>
        <x:v>Selected</x:v>
      </x:c>
    </x:row>
    <x:row r="856" ht="20" customHeight="1">
      <x:c r="A856" s="9" t="n">
        <x:v>46295</x:v>
      </x:c>
      <x:c r="B856" s="2" t="str">
        <x:v>MM-1595</x:v>
      </x:c>
      <x:c r="C856" s="2" t="str">
        <x:v>Organic Search</x:v>
      </x:c>
      <x:c r="D856" s="2" t="str">
        <x:v>APP-003</x:v>
      </x:c>
      <x:c r="E856" s="2" t="str">
        <x:f>_xlfn.IFNA(VLOOKUP(D856,'Products'!$A$7:$I$22,2,FALSE),"Unmapped")</x:f>
        <x:v>Coffee club tee</x:v>
      </x:c>
      <x:c r="F856" s="2" t="str">
        <x:f>_xlfn.IFNA(VLOOKUP(D856,'Products'!$A$7:$I$22,3,FALSE),"Unmapped")</x:f>
        <x:v>Apparel</x:v>
      </x:c>
      <x:c r="G856" s="2" t="n">
        <x:v>1</x:v>
      </x:c>
      <x:c r="H856" s="2" t="n">
        <x:v>0</x:v>
      </x:c>
      <x:c r="I856" s="10" t="n">
        <x:v>29.95</x:v>
      </x:c>
      <x:c r="J856" s="10" t="n">
        <x:v>0</x:v>
      </x:c>
      <x:c r="K856" s="10" t="n">
        <x:v>10</x:v>
      </x:c>
      <x:c r="L856" s="10" t="n">
        <x:f>G856*I856</x:f>
        <x:v>29.95</x:v>
      </x:c>
      <x:c r="M856" s="10" t="n">
        <x:f>ROUND((L856-J856)*H856/G856,2)</x:f>
        <x:v>0</x:v>
      </x:c>
      <x:c r="N856" s="10" t="n">
        <x:f>L856-J856-M856</x:f>
        <x:v>29.95</x:v>
      </x:c>
      <x:c r="O856" s="10" t="n">
        <x:f>(G856-H856)*K856</x:f>
        <x:v>10</x:v>
      </x:c>
      <x:c r="P856" s="10" t="n">
        <x:f>N856-O856</x:f>
        <x:v>19.95</x:v>
      </x:c>
      <x:c r="Q856" s="9" t="n">
        <x:f>A856-WEEKDAY(A856,2)+1</x:f>
        <x:v>46293</x:v>
      </x:c>
      <x:c r="R856" s="2" t="str">
        <x:f>IF(AND(A856&gt;='Review'!$B$4,A856&lt;='Review'!$D$4),"Selected","Outside")</x:f>
        <x:v>Selected</x:v>
      </x:c>
    </x:row>
    <x:row r="857" ht="20" customHeight="1">
      <x:c r="A857" s="9" t="n">
        <x:v>46296</x:v>
      </x:c>
      <x:c r="B857" s="2" t="str">
        <x:v>MM-1621</x:v>
      </x:c>
      <x:c r="C857" s="2" t="str">
        <x:v>Organic Search</x:v>
      </x:c>
      <x:c r="D857" s="2" t="str">
        <x:v>PIN-001</x:v>
      </x:c>
      <x:c r="E857" s="2" t="str">
        <x:f>_xlfn.IFNA(VLOOKUP(D857,'Products'!$A$7:$I$22,2,FALSE),"Unmapped")</x:f>
        <x:v>Coffee enamel pin</x:v>
      </x:c>
      <x:c r="F857" s="2" t="str">
        <x:f>_xlfn.IFNA(VLOOKUP(D857,'Products'!$A$7:$I$22,3,FALSE),"Unmapped")</x:f>
        <x:v>Accessories</x:v>
      </x:c>
      <x:c r="G857" s="2" t="n">
        <x:v>2</x:v>
      </x:c>
      <x:c r="H857" s="2" t="n">
        <x:v>0</x:v>
      </x:c>
      <x:c r="I857" s="10" t="n">
        <x:v>9.95</x:v>
      </x:c>
      <x:c r="J857" s="10" t="n">
        <x:v>0</x:v>
      </x:c>
      <x:c r="K857" s="10" t="n">
        <x:v>2.5</x:v>
      </x:c>
      <x:c r="L857" s="10" t="n">
        <x:f>G857*I857</x:f>
        <x:v>19.9</x:v>
      </x:c>
      <x:c r="M857" s="10" t="n">
        <x:f>ROUND((L857-J857)*H857/G857,2)</x:f>
        <x:v>0</x:v>
      </x:c>
      <x:c r="N857" s="10" t="n">
        <x:f>L857-J857-M857</x:f>
        <x:v>19.9</x:v>
      </x:c>
      <x:c r="O857" s="10" t="n">
        <x:f>(G857-H857)*K857</x:f>
        <x:v>5</x:v>
      </x:c>
      <x:c r="P857" s="10" t="n">
        <x:f>N857-O857</x:f>
        <x:v>14.899999999999999</x:v>
      </x:c>
      <x:c r="Q857" s="9" t="n">
        <x:f>A857-WEEKDAY(A857,2)+1</x:f>
        <x:v>46293</x:v>
      </x:c>
      <x:c r="R857" s="2" t="str">
        <x:f>IF(AND(A857&gt;='Review'!$B$4,A857&lt;='Review'!$D$4),"Selected","Outside")</x:f>
        <x:v>Selected</x:v>
      </x:c>
    </x:row>
    <x:row r="858" ht="20" customHeight="1">
      <x:c r="A858" s="9" t="n">
        <x:v>46296</x:v>
      </x:c>
      <x:c r="B858" s="2" t="str">
        <x:v>MM-1610</x:v>
      </x:c>
      <x:c r="C858" s="2" t="str">
        <x:v>Organic Search</x:v>
      </x:c>
      <x:c r="D858" s="2" t="str">
        <x:v>APP-001</x:v>
      </x:c>
      <x:c r="E858" s="2" t="str">
        <x:f>_xlfn.IFNA(VLOOKUP(D858,'Products'!$A$7:$I$22,2,FALSE),"Unmapped")</x:f>
        <x:v>Everyday crewneck</x:v>
      </x:c>
      <x:c r="F858" s="2" t="str">
        <x:f>_xlfn.IFNA(VLOOKUP(D858,'Products'!$A$7:$I$22,3,FALSE),"Unmapped")</x:f>
        <x:v>Apparel</x:v>
      </x:c>
      <x:c r="G858" s="2" t="n">
        <x:v>1</x:v>
      </x:c>
      <x:c r="H858" s="2" t="n">
        <x:v>1</x:v>
      </x:c>
      <x:c r="I858" s="10" t="n">
        <x:v>54.95</x:v>
      </x:c>
      <x:c r="J858" s="10" t="n">
        <x:v>0</x:v>
      </x:c>
      <x:c r="K858" s="10" t="n">
        <x:v>22</x:v>
      </x:c>
      <x:c r="L858" s="10" t="n">
        <x:f>G858*I858</x:f>
        <x:v>54.95</x:v>
      </x:c>
      <x:c r="M858" s="10" t="n">
        <x:f>ROUND((L858-J858)*H858/G858,2)</x:f>
        <x:v>54.95</x:v>
      </x:c>
      <x:c r="N858" s="10" t="n">
        <x:f>L858-J858-M858</x:f>
        <x:v>0</x:v>
      </x:c>
      <x:c r="O858" s="10" t="n">
        <x:f>(G858-H858)*K858</x:f>
        <x:v>0</x:v>
      </x:c>
      <x:c r="P858" s="10" t="n">
        <x:f>N858-O858</x:f>
        <x:v>0</x:v>
      </x:c>
      <x:c r="Q858" s="9" t="n">
        <x:f>A858-WEEKDAY(A858,2)+1</x:f>
        <x:v>46293</x:v>
      </x:c>
      <x:c r="R858" s="2" t="str">
        <x:f>IF(AND(A858&gt;='Review'!$B$4,A858&lt;='Review'!$D$4),"Selected","Outside")</x:f>
        <x:v>Selected</x:v>
      </x:c>
    </x:row>
    <x:row r="859" ht="20" customHeight="1">
      <x:c r="A859" s="9" t="n">
        <x:v>46296</x:v>
      </x:c>
      <x:c r="B859" s="2" t="str">
        <x:v>MM-1610</x:v>
      </x:c>
      <x:c r="C859" s="2" t="str">
        <x:v>Organic Search</x:v>
      </x:c>
      <x:c r="D859" s="2" t="str">
        <x:v>TUM-001</x:v>
      </x:c>
      <x:c r="E859" s="2" t="str">
        <x:f>_xlfn.IFNA(VLOOKUP(D859,'Products'!$A$7:$I$22,2,FALSE),"Unmapped")</x:f>
        <x:v>Maple travel tumbler</x:v>
      </x:c>
      <x:c r="F859" s="2" t="str">
        <x:f>_xlfn.IFNA(VLOOKUP(D859,'Products'!$A$7:$I$22,3,FALSE),"Unmapped")</x:f>
        <x:v>Drinkware</x:v>
      </x:c>
      <x:c r="G859" s="2" t="n">
        <x:v>1</x:v>
      </x:c>
      <x:c r="H859" s="2" t="n">
        <x:v>0</x:v>
      </x:c>
      <x:c r="I859" s="10" t="n">
        <x:v>32.95</x:v>
      </x:c>
      <x:c r="J859" s="10" t="n">
        <x:v>0</x:v>
      </x:c>
      <x:c r="K859" s="10" t="n">
        <x:v>12</x:v>
      </x:c>
      <x:c r="L859" s="10" t="n">
        <x:f>G859*I859</x:f>
        <x:v>32.95</x:v>
      </x:c>
      <x:c r="M859" s="10" t="n">
        <x:f>ROUND((L859-J859)*H859/G859,2)</x:f>
        <x:v>0</x:v>
      </x:c>
      <x:c r="N859" s="10" t="n">
        <x:f>L859-J859-M859</x:f>
        <x:v>32.95</x:v>
      </x:c>
      <x:c r="O859" s="10" t="n">
        <x:f>(G859-H859)*K859</x:f>
        <x:v>12</x:v>
      </x:c>
      <x:c r="P859" s="10" t="n">
        <x:f>N859-O859</x:f>
        <x:v>20.950000000000003</x:v>
      </x:c>
      <x:c r="Q859" s="9" t="n">
        <x:f>A859-WEEKDAY(A859,2)+1</x:f>
        <x:v>46293</x:v>
      </x:c>
      <x:c r="R859" s="2" t="str">
        <x:f>IF(AND(A859&gt;='Review'!$B$4,A859&lt;='Review'!$D$4),"Selected","Outside")</x:f>
        <x:v>Selected</x:v>
      </x:c>
    </x:row>
    <x:row r="860" ht="20" customHeight="1">
      <x:c r="A860" s="9" t="n">
        <x:v>46296</x:v>
      </x:c>
      <x:c r="B860" s="2" t="str">
        <x:v>MM-1610</x:v>
      </x:c>
      <x:c r="C860" s="2" t="str">
        <x:v>Organic Search</x:v>
      </x:c>
      <x:c r="D860" s="2" t="str">
        <x:v>APP-002</x:v>
      </x:c>
      <x:c r="E860" s="2" t="str">
        <x:f>_xlfn.IFNA(VLOOKUP(D860,'Products'!$A$7:$I$22,2,FALSE),"Unmapped")</x:f>
        <x:v>Weekend hoodie</x:v>
      </x:c>
      <x:c r="F860" s="2" t="str">
        <x:f>_xlfn.IFNA(VLOOKUP(D860,'Products'!$A$7:$I$22,3,FALSE),"Unmapped")</x:f>
        <x:v>Apparel</x:v>
      </x:c>
      <x:c r="G860" s="2" t="n">
        <x:v>1</x:v>
      </x:c>
      <x:c r="H860" s="2" t="n">
        <x:v>0</x:v>
      </x:c>
      <x:c r="I860" s="10" t="n">
        <x:v>69.95</x:v>
      </x:c>
      <x:c r="J860" s="10" t="n">
        <x:v>0</x:v>
      </x:c>
      <x:c r="K860" s="10" t="n">
        <x:v>28</x:v>
      </x:c>
      <x:c r="L860" s="10" t="n">
        <x:f>G860*I860</x:f>
        <x:v>69.95</x:v>
      </x:c>
      <x:c r="M860" s="10" t="n">
        <x:f>ROUND((L860-J860)*H860/G860,2)</x:f>
        <x:v>0</x:v>
      </x:c>
      <x:c r="N860" s="10" t="n">
        <x:f>L860-J860-M860</x:f>
        <x:v>69.95</x:v>
      </x:c>
      <x:c r="O860" s="10" t="n">
        <x:f>(G860-H860)*K860</x:f>
        <x:v>28</x:v>
      </x:c>
      <x:c r="P860" s="10" t="n">
        <x:f>N860-O860</x:f>
        <x:v>41.95</x:v>
      </x:c>
      <x:c r="Q860" s="9" t="n">
        <x:f>A860-WEEKDAY(A860,2)+1</x:f>
        <x:v>46293</x:v>
      </x:c>
      <x:c r="R860" s="2" t="str">
        <x:f>IF(AND(A860&gt;='Review'!$B$4,A860&lt;='Review'!$D$4),"Selected","Outside")</x:f>
        <x:v>Selected</x:v>
      </x:c>
    </x:row>
    <x:row r="861" ht="20" customHeight="1">
      <x:c r="A861" s="9" t="n">
        <x:v>46296</x:v>
      </x:c>
      <x:c r="B861" s="2" t="str">
        <x:v>MM-1611</x:v>
      </x:c>
      <x:c r="C861" s="2" t="str">
        <x:v>Direct</x:v>
      </x:c>
      <x:c r="D861" s="2" t="str">
        <x:v>APP-002</x:v>
      </x:c>
      <x:c r="E861" s="2" t="str">
        <x:f>_xlfn.IFNA(VLOOKUP(D861,'Products'!$A$7:$I$22,2,FALSE),"Unmapped")</x:f>
        <x:v>Weekend hoodie</x:v>
      </x:c>
      <x:c r="F861" s="2" t="str">
        <x:f>_xlfn.IFNA(VLOOKUP(D861,'Products'!$A$7:$I$22,3,FALSE),"Unmapped")</x:f>
        <x:v>Apparel</x:v>
      </x:c>
      <x:c r="G861" s="2" t="n">
        <x:v>1</x:v>
      </x:c>
      <x:c r="H861" s="2" t="n">
        <x:v>0</x:v>
      </x:c>
      <x:c r="I861" s="10" t="n">
        <x:v>69.95</x:v>
      </x:c>
      <x:c r="J861" s="10" t="n">
        <x:v>0</x:v>
      </x:c>
      <x:c r="K861" s="10" t="n">
        <x:v>28</x:v>
      </x:c>
      <x:c r="L861" s="10" t="n">
        <x:f>G861*I861</x:f>
        <x:v>69.95</x:v>
      </x:c>
      <x:c r="M861" s="10" t="n">
        <x:f>ROUND((L861-J861)*H861/G861,2)</x:f>
        <x:v>0</x:v>
      </x:c>
      <x:c r="N861" s="10" t="n">
        <x:f>L861-J861-M861</x:f>
        <x:v>69.95</x:v>
      </x:c>
      <x:c r="O861" s="10" t="n">
        <x:f>(G861-H861)*K861</x:f>
        <x:v>28</x:v>
      </x:c>
      <x:c r="P861" s="10" t="n">
        <x:f>N861-O861</x:f>
        <x:v>41.95</x:v>
      </x:c>
      <x:c r="Q861" s="9" t="n">
        <x:f>A861-WEEKDAY(A861,2)+1</x:f>
        <x:v>46293</x:v>
      </x:c>
      <x:c r="R861" s="2" t="str">
        <x:f>IF(AND(A861&gt;='Review'!$B$4,A861&lt;='Review'!$D$4),"Selected","Outside")</x:f>
        <x:v>Selected</x:v>
      </x:c>
    </x:row>
    <x:row r="862" ht="20" customHeight="1">
      <x:c r="A862" s="9" t="n">
        <x:v>46296</x:v>
      </x:c>
      <x:c r="B862" s="2" t="str">
        <x:v>MM-1613</x:v>
      </x:c>
      <x:c r="C862" s="2" t="str">
        <x:v>Organic Search</x:v>
      </x:c>
      <x:c r="D862" s="2" t="str">
        <x:v>TOTE-001</x:v>
      </x:c>
      <x:c r="E862" s="2" t="str">
        <x:f>_xlfn.IFNA(VLOOKUP(D862,'Products'!$A$7:$I$22,2,FALSE),"Unmapped")</x:f>
        <x:v>Market canvas tote</x:v>
      </x:c>
      <x:c r="F862" s="2" t="str">
        <x:f>_xlfn.IFNA(VLOOKUP(D862,'Products'!$A$7:$I$22,3,FALSE),"Unmapped")</x:f>
        <x:v>Accessories</x:v>
      </x:c>
      <x:c r="G862" s="2" t="n">
        <x:v>1</x:v>
      </x:c>
      <x:c r="H862" s="2" t="n">
        <x:v>0</x:v>
      </x:c>
      <x:c r="I862" s="10" t="n">
        <x:v>19.95</x:v>
      </x:c>
      <x:c r="J862" s="10" t="n">
        <x:v>0</x:v>
      </x:c>
      <x:c r="K862" s="10" t="n">
        <x:v>6</x:v>
      </x:c>
      <x:c r="L862" s="10" t="n">
        <x:f>G862*I862</x:f>
        <x:v>19.95</x:v>
      </x:c>
      <x:c r="M862" s="10" t="n">
        <x:f>ROUND((L862-J862)*H862/G862,2)</x:f>
        <x:v>0</x:v>
      </x:c>
      <x:c r="N862" s="10" t="n">
        <x:f>L862-J862-M862</x:f>
        <x:v>19.95</x:v>
      </x:c>
      <x:c r="O862" s="10" t="n">
        <x:f>(G862-H862)*K862</x:f>
        <x:v>6</x:v>
      </x:c>
      <x:c r="P862" s="10" t="n">
        <x:f>N862-O862</x:f>
        <x:v>13.95</x:v>
      </x:c>
      <x:c r="Q862" s="9" t="n">
        <x:f>A862-WEEKDAY(A862,2)+1</x:f>
        <x:v>46293</x:v>
      </x:c>
      <x:c r="R862" s="2" t="str">
        <x:f>IF(AND(A862&gt;='Review'!$B$4,A862&lt;='Review'!$D$4),"Selected","Outside")</x:f>
        <x:v>Selected</x:v>
      </x:c>
    </x:row>
    <x:row r="863" ht="20" customHeight="1">
      <x:c r="A863" s="9" t="n">
        <x:v>46296</x:v>
      </x:c>
      <x:c r="B863" s="2" t="str">
        <x:v>MM-1613</x:v>
      </x:c>
      <x:c r="C863" s="2" t="str">
        <x:v>Organic Search</x:v>
      </x:c>
      <x:c r="D863" s="2" t="str">
        <x:v>HAT-001</x:v>
      </x:c>
      <x:c r="E863" s="2" t="str">
        <x:f>_xlfn.IFNA(VLOOKUP(D863,'Products'!$A$7:$I$22,2,FALSE),"Unmapped")</x:f>
        <x:v>Classic canvas cap</x:v>
      </x:c>
      <x:c r="F863" s="2" t="str">
        <x:f>_xlfn.IFNA(VLOOKUP(D863,'Products'!$A$7:$I$22,3,FALSE),"Unmapped")</x:f>
        <x:v>Accessories</x:v>
      </x:c>
      <x:c r="G863" s="2" t="n">
        <x:v>1</x:v>
      </x:c>
      <x:c r="H863" s="2" t="n">
        <x:v>0</x:v>
      </x:c>
      <x:c r="I863" s="10" t="n">
        <x:v>24.95</x:v>
      </x:c>
      <x:c r="J863" s="10" t="n">
        <x:v>0</x:v>
      </x:c>
      <x:c r="K863" s="10" t="n">
        <x:v>8.5</x:v>
      </x:c>
      <x:c r="L863" s="10" t="n">
        <x:f>G863*I863</x:f>
        <x:v>24.95</x:v>
      </x:c>
      <x:c r="M863" s="10" t="n">
        <x:f>ROUND((L863-J863)*H863/G863,2)</x:f>
        <x:v>0</x:v>
      </x:c>
      <x:c r="N863" s="10" t="n">
        <x:f>L863-J863-M863</x:f>
        <x:v>24.95</x:v>
      </x:c>
      <x:c r="O863" s="10" t="n">
        <x:f>(G863-H863)*K863</x:f>
        <x:v>8.5</x:v>
      </x:c>
      <x:c r="P863" s="10" t="n">
        <x:f>N863-O863</x:f>
        <x:v>16.45</x:v>
      </x:c>
      <x:c r="Q863" s="9" t="n">
        <x:f>A863-WEEKDAY(A863,2)+1</x:f>
        <x:v>46293</x:v>
      </x:c>
      <x:c r="R863" s="2" t="str">
        <x:f>IF(AND(A863&gt;='Review'!$B$4,A863&lt;='Review'!$D$4),"Selected","Outside")</x:f>
        <x:v>Selected</x:v>
      </x:c>
    </x:row>
    <x:row r="864" ht="20" customHeight="1">
      <x:c r="A864" s="9" t="n">
        <x:v>46296</x:v>
      </x:c>
      <x:c r="B864" s="2" t="str">
        <x:v>MM-1613</x:v>
      </x:c>
      <x:c r="C864" s="2" t="str">
        <x:v>Organic Search</x:v>
      </x:c>
      <x:c r="D864" s="2" t="str">
        <x:v>MUG-001</x:v>
      </x:c>
      <x:c r="E864" s="2" t="str">
        <x:f>_xlfn.IFNA(VLOOKUP(D864,'Products'!$A$7:$I$22,2,FALSE),"Unmapped")</x:f>
        <x:v>Everyday ceramic mug</x:v>
      </x:c>
      <x:c r="F864" s="2" t="str">
        <x:f>_xlfn.IFNA(VLOOKUP(D864,'Products'!$A$7:$I$22,3,FALSE),"Unmapped")</x:f>
        <x:v>Drinkware</x:v>
      </x:c>
      <x:c r="G864" s="2" t="n">
        <x:v>2</x:v>
      </x:c>
      <x:c r="H864" s="2" t="n">
        <x:v>0</x:v>
      </x:c>
      <x:c r="I864" s="10" t="n">
        <x:v>18.95</x:v>
      </x:c>
      <x:c r="J864" s="10" t="n">
        <x:v>0</x:v>
      </x:c>
      <x:c r="K864" s="10" t="n">
        <x:v>6.5</x:v>
      </x:c>
      <x:c r="L864" s="10" t="n">
        <x:f>G864*I864</x:f>
        <x:v>37.9</x:v>
      </x:c>
      <x:c r="M864" s="10" t="n">
        <x:f>ROUND((L864-J864)*H864/G864,2)</x:f>
        <x:v>0</x:v>
      </x:c>
      <x:c r="N864" s="10" t="n">
        <x:f>L864-J864-M864</x:f>
        <x:v>37.9</x:v>
      </x:c>
      <x:c r="O864" s="10" t="n">
        <x:f>(G864-H864)*K864</x:f>
        <x:v>13</x:v>
      </x:c>
      <x:c r="P864" s="10" t="n">
        <x:f>N864-O864</x:f>
        <x:v>24.9</x:v>
      </x:c>
      <x:c r="Q864" s="9" t="n">
        <x:f>A864-WEEKDAY(A864,2)+1</x:f>
        <x:v>46293</x:v>
      </x:c>
      <x:c r="R864" s="2" t="str">
        <x:f>IF(AND(A864&gt;='Review'!$B$4,A864&lt;='Review'!$D$4),"Selected","Outside")</x:f>
        <x:v>Selected</x:v>
      </x:c>
    </x:row>
    <x:row r="865" ht="20" customHeight="1">
      <x:c r="A865" s="9" t="n">
        <x:v>46296</x:v>
      </x:c>
      <x:c r="B865" s="2" t="str">
        <x:v>MM-1619</x:v>
      </x:c>
      <x:c r="C865" s="2" t="str">
        <x:v>Organic Search</x:v>
      </x:c>
      <x:c r="D865" s="2" t="str">
        <x:v>GFT-002</x:v>
      </x:c>
      <x:c r="E865" s="2" t="str">
        <x:f>_xlfn.IFNA(VLOOKUP(D865,'Products'!$A$7:$I$22,2,FALSE),"Unmapped")</x:f>
        <x:v>Cozy weekend gift box</x:v>
      </x:c>
      <x:c r="F865" s="2" t="str">
        <x:f>_xlfn.IFNA(VLOOKUP(D865,'Products'!$A$7:$I$22,3,FALSE),"Unmapped")</x:f>
        <x:v>Gifts</x:v>
      </x:c>
      <x:c r="G865" s="2" t="n">
        <x:v>1</x:v>
      </x:c>
      <x:c r="H865" s="2" t="n">
        <x:v>0</x:v>
      </x:c>
      <x:c r="I865" s="10" t="n">
        <x:v>79.95</x:v>
      </x:c>
      <x:c r="J865" s="10" t="n">
        <x:v>7.99</x:v>
      </x:c>
      <x:c r="K865" s="10" t="n">
        <x:v>32</x:v>
      </x:c>
      <x:c r="L865" s="10" t="n">
        <x:f>G865*I865</x:f>
        <x:v>79.95</x:v>
      </x:c>
      <x:c r="M865" s="10" t="n">
        <x:f>ROUND((L865-J865)*H865/G865,2)</x:f>
        <x:v>0</x:v>
      </x:c>
      <x:c r="N865" s="10" t="n">
        <x:f>L865-J865-M865</x:f>
        <x:v>71.96000000000001</x:v>
      </x:c>
      <x:c r="O865" s="10" t="n">
        <x:f>(G865-H865)*K865</x:f>
        <x:v>32</x:v>
      </x:c>
      <x:c r="P865" s="10" t="n">
        <x:f>N865-O865</x:f>
        <x:v>39.96000000000001</x:v>
      </x:c>
      <x:c r="Q865" s="9" t="n">
        <x:f>A865-WEEKDAY(A865,2)+1</x:f>
        <x:v>46293</x:v>
      </x:c>
      <x:c r="R865" s="2" t="str">
        <x:f>IF(AND(A865&gt;='Review'!$B$4,A865&lt;='Review'!$D$4),"Selected","Outside")</x:f>
        <x:v>Selected</x:v>
      </x:c>
    </x:row>
    <x:row r="866" ht="20" customHeight="1">
      <x:c r="A866" s="9" t="n">
        <x:v>46296</x:v>
      </x:c>
      <x:c r="B866" s="2" t="str">
        <x:v>MM-1624</x:v>
      </x:c>
      <x:c r="C866" s="2" t="str">
        <x:v>Paid Social</x:v>
      </x:c>
      <x:c r="D866" s="2" t="str">
        <x:v>APP-001</x:v>
      </x:c>
      <x:c r="E866" s="2" t="str">
        <x:f>_xlfn.IFNA(VLOOKUP(D866,'Products'!$A$7:$I$22,2,FALSE),"Unmapped")</x:f>
        <x:v>Everyday crewneck</x:v>
      </x:c>
      <x:c r="F866" s="2" t="str">
        <x:f>_xlfn.IFNA(VLOOKUP(D866,'Products'!$A$7:$I$22,3,FALSE),"Unmapped")</x:f>
        <x:v>Apparel</x:v>
      </x:c>
      <x:c r="G866" s="2" t="n">
        <x:v>1</x:v>
      </x:c>
      <x:c r="H866" s="2" t="n">
        <x:v>0</x:v>
      </x:c>
      <x:c r="I866" s="10" t="n">
        <x:v>54.95</x:v>
      </x:c>
      <x:c r="J866" s="10" t="n">
        <x:v>0</x:v>
      </x:c>
      <x:c r="K866" s="10" t="n">
        <x:v>22</x:v>
      </x:c>
      <x:c r="L866" s="10" t="n">
        <x:f>G866*I866</x:f>
        <x:v>54.95</x:v>
      </x:c>
      <x:c r="M866" s="10" t="n">
        <x:f>ROUND((L866-J866)*H866/G866,2)</x:f>
        <x:v>0</x:v>
      </x:c>
      <x:c r="N866" s="10" t="n">
        <x:f>L866-J866-M866</x:f>
        <x:v>54.95</x:v>
      </x:c>
      <x:c r="O866" s="10" t="n">
        <x:f>(G866-H866)*K866</x:f>
        <x:v>22</x:v>
      </x:c>
      <x:c r="P866" s="10" t="n">
        <x:f>N866-O866</x:f>
        <x:v>32.95</x:v>
      </x:c>
      <x:c r="Q866" s="9" t="n">
        <x:f>A866-WEEKDAY(A866,2)+1</x:f>
        <x:v>46293</x:v>
      </x:c>
      <x:c r="R866" s="2" t="str">
        <x:f>IF(AND(A866&gt;='Review'!$B$4,A866&lt;='Review'!$D$4),"Selected","Outside")</x:f>
        <x:v>Selected</x:v>
      </x:c>
    </x:row>
    <x:row r="867" ht="20" customHeight="1">
      <x:c r="A867" s="9" t="n">
        <x:v>46296</x:v>
      </x:c>
      <x:c r="B867" s="2" t="str">
        <x:v>MM-1624</x:v>
      </x:c>
      <x:c r="C867" s="2" t="str">
        <x:v>Paid Social</x:v>
      </x:c>
      <x:c r="D867" s="2" t="str">
        <x:v>APP-002</x:v>
      </x:c>
      <x:c r="E867" s="2" t="str">
        <x:f>_xlfn.IFNA(VLOOKUP(D867,'Products'!$A$7:$I$22,2,FALSE),"Unmapped")</x:f>
        <x:v>Weekend hoodie</x:v>
      </x:c>
      <x:c r="F867" s="2" t="str">
        <x:f>_xlfn.IFNA(VLOOKUP(D867,'Products'!$A$7:$I$22,3,FALSE),"Unmapped")</x:f>
        <x:v>Apparel</x:v>
      </x:c>
      <x:c r="G867" s="2" t="n">
        <x:v>1</x:v>
      </x:c>
      <x:c r="H867" s="2" t="n">
        <x:v>0</x:v>
      </x:c>
      <x:c r="I867" s="10" t="n">
        <x:v>69.95</x:v>
      </x:c>
      <x:c r="J867" s="10" t="n">
        <x:v>0</x:v>
      </x:c>
      <x:c r="K867" s="10" t="n">
        <x:v>28</x:v>
      </x:c>
      <x:c r="L867" s="10" t="n">
        <x:f>G867*I867</x:f>
        <x:v>69.95</x:v>
      </x:c>
      <x:c r="M867" s="10" t="n">
        <x:f>ROUND((L867-J867)*H867/G867,2)</x:f>
        <x:v>0</x:v>
      </x:c>
      <x:c r="N867" s="10" t="n">
        <x:f>L867-J867-M867</x:f>
        <x:v>69.95</x:v>
      </x:c>
      <x:c r="O867" s="10" t="n">
        <x:f>(G867-H867)*K867</x:f>
        <x:v>28</x:v>
      </x:c>
      <x:c r="P867" s="10" t="n">
        <x:f>N867-O867</x:f>
        <x:v>41.95</x:v>
      </x:c>
      <x:c r="Q867" s="9" t="n">
        <x:f>A867-WEEKDAY(A867,2)+1</x:f>
        <x:v>46293</x:v>
      </x:c>
      <x:c r="R867" s="2" t="str">
        <x:f>IF(AND(A867&gt;='Review'!$B$4,A867&lt;='Review'!$D$4),"Selected","Outside")</x:f>
        <x:v>Selected</x:v>
      </x:c>
    </x:row>
    <x:row r="868" ht="20" customHeight="1">
      <x:c r="A868" s="9" t="n">
        <x:v>46296</x:v>
      </x:c>
      <x:c r="B868" s="2" t="str">
        <x:v>MM-1608</x:v>
      </x:c>
      <x:c r="C868" s="2" t="str">
        <x:v>Organic Search</x:v>
      </x:c>
      <x:c r="D868" s="2" t="str">
        <x:v>MUG-002</x:v>
      </x:c>
      <x:c r="E868" s="2" t="str">
        <x:f>_xlfn.IFNA(VLOOKUP(D868,'Products'!$A$7:$I$22,2,FALSE),"Unmapped")</x:f>
        <x:v>Campfire enamel mug</x:v>
      </x:c>
      <x:c r="F868" s="2" t="str">
        <x:f>_xlfn.IFNA(VLOOKUP(D868,'Products'!$A$7:$I$22,3,FALSE),"Unmapped")</x:f>
        <x:v>Drinkware</x:v>
      </x:c>
      <x:c r="G868" s="2" t="n">
        <x:v>1</x:v>
      </x:c>
      <x:c r="H868" s="2" t="n">
        <x:v>0</x:v>
      </x:c>
      <x:c r="I868" s="10" t="n">
        <x:v>22.95</x:v>
      </x:c>
      <x:c r="J868" s="10" t="n">
        <x:v>0</x:v>
      </x:c>
      <x:c r="K868" s="10" t="n">
        <x:v>8.5</x:v>
      </x:c>
      <x:c r="L868" s="10" t="n">
        <x:f>G868*I868</x:f>
        <x:v>22.95</x:v>
      </x:c>
      <x:c r="M868" s="10" t="n">
        <x:f>ROUND((L868-J868)*H868/G868,2)</x:f>
        <x:v>0</x:v>
      </x:c>
      <x:c r="N868" s="10" t="n">
        <x:f>L868-J868-M868</x:f>
        <x:v>22.95</x:v>
      </x:c>
      <x:c r="O868" s="10" t="n">
        <x:f>(G868-H868)*K868</x:f>
        <x:v>8.5</x:v>
      </x:c>
      <x:c r="P868" s="10" t="n">
        <x:f>N868-O868</x:f>
        <x:v>14.45</x:v>
      </x:c>
      <x:c r="Q868" s="9" t="n">
        <x:f>A868-WEEKDAY(A868,2)+1</x:f>
        <x:v>46293</x:v>
      </x:c>
      <x:c r="R868" s="2" t="str">
        <x:f>IF(AND(A868&gt;='Review'!$B$4,A868&lt;='Review'!$D$4),"Selected","Outside")</x:f>
        <x:v>Selected</x:v>
      </x:c>
    </x:row>
    <x:row r="869" ht="20" customHeight="1">
      <x:c r="A869" s="9" t="n">
        <x:v>46296</x:v>
      </x:c>
      <x:c r="B869" s="2" t="str">
        <x:v>MM-1614</x:v>
      </x:c>
      <x:c r="C869" s="2" t="str">
        <x:v>Organic Search</x:v>
      </x:c>
      <x:c r="D869" s="2" t="str">
        <x:v>TUM-002</x:v>
      </x:c>
      <x:c r="E869" s="2" t="str">
        <x:f>_xlfn.IFNA(VLOOKUP(D869,'Products'!$A$7:$I$22,2,FALSE),"Unmapped")</x:f>
        <x:v>Cold brew glass cup</x:v>
      </x:c>
      <x:c r="F869" s="2" t="str">
        <x:f>_xlfn.IFNA(VLOOKUP(D869,'Products'!$A$7:$I$22,3,FALSE),"Unmapped")</x:f>
        <x:v>Drinkware</x:v>
      </x:c>
      <x:c r="G869" s="2" t="n">
        <x:v>1</x:v>
      </x:c>
      <x:c r="H869" s="2" t="n">
        <x:v>0</x:v>
      </x:c>
      <x:c r="I869" s="10" t="n">
        <x:v>24.95</x:v>
      </x:c>
      <x:c r="J869" s="10" t="n">
        <x:v>0</x:v>
      </x:c>
      <x:c r="K869" s="10" t="n">
        <x:v>9</x:v>
      </x:c>
      <x:c r="L869" s="10" t="n">
        <x:f>G869*I869</x:f>
        <x:v>24.95</x:v>
      </x:c>
      <x:c r="M869" s="10" t="n">
        <x:f>ROUND((L869-J869)*H869/G869,2)</x:f>
        <x:v>0</x:v>
      </x:c>
      <x:c r="N869" s="10" t="n">
        <x:f>L869-J869-M869</x:f>
        <x:v>24.95</x:v>
      </x:c>
      <x:c r="O869" s="10" t="n">
        <x:f>(G869-H869)*K869</x:f>
        <x:v>9</x:v>
      </x:c>
      <x:c r="P869" s="10" t="n">
        <x:f>N869-O869</x:f>
        <x:v>15.95</x:v>
      </x:c>
      <x:c r="Q869" s="9" t="n">
        <x:f>A869-WEEKDAY(A869,2)+1</x:f>
        <x:v>46293</x:v>
      </x:c>
      <x:c r="R869" s="2" t="str">
        <x:f>IF(AND(A869&gt;='Review'!$B$4,A869&lt;='Review'!$D$4),"Selected","Outside")</x:f>
        <x:v>Selected</x:v>
      </x:c>
    </x:row>
    <x:row r="870" ht="20" customHeight="1">
      <x:c r="A870" s="9" t="n">
        <x:v>46296</x:v>
      </x:c>
      <x:c r="B870" s="2" t="str">
        <x:v>MM-1620</x:v>
      </x:c>
      <x:c r="C870" s="2" t="str">
        <x:v>Email</x:v>
      </x:c>
      <x:c r="D870" s="2" t="str">
        <x:v>TUM-002</x:v>
      </x:c>
      <x:c r="E870" s="2" t="str">
        <x:f>_xlfn.IFNA(VLOOKUP(D870,'Products'!$A$7:$I$22,2,FALSE),"Unmapped")</x:f>
        <x:v>Cold brew glass cup</x:v>
      </x:c>
      <x:c r="F870" s="2" t="str">
        <x:f>_xlfn.IFNA(VLOOKUP(D870,'Products'!$A$7:$I$22,3,FALSE),"Unmapped")</x:f>
        <x:v>Drinkware</x:v>
      </x:c>
      <x:c r="G870" s="2" t="n">
        <x:v>1</x:v>
      </x:c>
      <x:c r="H870" s="2" t="n">
        <x:v>0</x:v>
      </x:c>
      <x:c r="I870" s="10" t="n">
        <x:v>24.95</x:v>
      </x:c>
      <x:c r="J870" s="10" t="n">
        <x:v>2.49</x:v>
      </x:c>
      <x:c r="K870" s="10" t="n">
        <x:v>9</x:v>
      </x:c>
      <x:c r="L870" s="10" t="n">
        <x:f>G870*I870</x:f>
        <x:v>24.95</x:v>
      </x:c>
      <x:c r="M870" s="10" t="n">
        <x:f>ROUND((L870-J870)*H870/G870,2)</x:f>
        <x:v>0</x:v>
      </x:c>
      <x:c r="N870" s="10" t="n">
        <x:f>L870-J870-M870</x:f>
        <x:v>22.46</x:v>
      </x:c>
      <x:c r="O870" s="10" t="n">
        <x:f>(G870-H870)*K870</x:f>
        <x:v>9</x:v>
      </x:c>
      <x:c r="P870" s="10" t="n">
        <x:f>N870-O870</x:f>
        <x:v>13.46</x:v>
      </x:c>
      <x:c r="Q870" s="9" t="n">
        <x:f>A870-WEEKDAY(A870,2)+1</x:f>
        <x:v>46293</x:v>
      </x:c>
      <x:c r="R870" s="2" t="str">
        <x:f>IF(AND(A870&gt;='Review'!$B$4,A870&lt;='Review'!$D$4),"Selected","Outside")</x:f>
        <x:v>Selected</x:v>
      </x:c>
    </x:row>
    <x:row r="871" ht="20" customHeight="1">
      <x:c r="A871" s="9" t="n">
        <x:v>46296</x:v>
      </x:c>
      <x:c r="B871" s="2" t="str">
        <x:v>MM-1620</x:v>
      </x:c>
      <x:c r="C871" s="2" t="str">
        <x:v>Email</x:v>
      </x:c>
      <x:c r="D871" s="2" t="str">
        <x:v>MUG-001</x:v>
      </x:c>
      <x:c r="E871" s="2" t="str">
        <x:f>_xlfn.IFNA(VLOOKUP(D871,'Products'!$A$7:$I$22,2,FALSE),"Unmapped")</x:f>
        <x:v>Everyday ceramic mug</x:v>
      </x:c>
      <x:c r="F871" s="2" t="str">
        <x:f>_xlfn.IFNA(VLOOKUP(D871,'Products'!$A$7:$I$22,3,FALSE),"Unmapped")</x:f>
        <x:v>Drinkware</x:v>
      </x:c>
      <x:c r="G871" s="2" t="n">
        <x:v>1</x:v>
      </x:c>
      <x:c r="H871" s="2" t="n">
        <x:v>0</x:v>
      </x:c>
      <x:c r="I871" s="10" t="n">
        <x:v>18.95</x:v>
      </x:c>
      <x:c r="J871" s="10" t="n">
        <x:v>1.89</x:v>
      </x:c>
      <x:c r="K871" s="10" t="n">
        <x:v>6.5</x:v>
      </x:c>
      <x:c r="L871" s="10" t="n">
        <x:f>G871*I871</x:f>
        <x:v>18.95</x:v>
      </x:c>
      <x:c r="M871" s="10" t="n">
        <x:f>ROUND((L871-J871)*H871/G871,2)</x:f>
        <x:v>0</x:v>
      </x:c>
      <x:c r="N871" s="10" t="n">
        <x:f>L871-J871-M871</x:f>
        <x:v>17.06</x:v>
      </x:c>
      <x:c r="O871" s="10" t="n">
        <x:f>(G871-H871)*K871</x:f>
        <x:v>6.5</x:v>
      </x:c>
      <x:c r="P871" s="10" t="n">
        <x:f>N871-O871</x:f>
        <x:v>10.559999999999999</x:v>
      </x:c>
      <x:c r="Q871" s="9" t="n">
        <x:f>A871-WEEKDAY(A871,2)+1</x:f>
        <x:v>46293</x:v>
      </x:c>
      <x:c r="R871" s="2" t="str">
        <x:f>IF(AND(A871&gt;='Review'!$B$4,A871&lt;='Review'!$D$4),"Selected","Outside")</x:f>
        <x:v>Selected</x:v>
      </x:c>
    </x:row>
    <x:row r="872" ht="20" customHeight="1">
      <x:c r="A872" s="9" t="n">
        <x:v>46296</x:v>
      </x:c>
      <x:c r="B872" s="2" t="str">
        <x:v>MM-1623</x:v>
      </x:c>
      <x:c r="C872" s="2" t="str">
        <x:v>Paid Social</x:v>
      </x:c>
      <x:c r="D872" s="2" t="str">
        <x:v>APP-001</x:v>
      </x:c>
      <x:c r="E872" s="2" t="str">
        <x:f>_xlfn.IFNA(VLOOKUP(D872,'Products'!$A$7:$I$22,2,FALSE),"Unmapped")</x:f>
        <x:v>Everyday crewneck</x:v>
      </x:c>
      <x:c r="F872" s="2" t="str">
        <x:f>_xlfn.IFNA(VLOOKUP(D872,'Products'!$A$7:$I$22,3,FALSE),"Unmapped")</x:f>
        <x:v>Apparel</x:v>
      </x:c>
      <x:c r="G872" s="2" t="n">
        <x:v>1</x:v>
      </x:c>
      <x:c r="H872" s="2" t="n">
        <x:v>0</x:v>
      </x:c>
      <x:c r="I872" s="10" t="n">
        <x:v>54.95</x:v>
      </x:c>
      <x:c r="J872" s="10" t="n">
        <x:v>0</x:v>
      </x:c>
      <x:c r="K872" s="10" t="n">
        <x:v>22</x:v>
      </x:c>
      <x:c r="L872" s="10" t="n">
        <x:f>G872*I872</x:f>
        <x:v>54.95</x:v>
      </x:c>
      <x:c r="M872" s="10" t="n">
        <x:f>ROUND((L872-J872)*H872/G872,2)</x:f>
        <x:v>0</x:v>
      </x:c>
      <x:c r="N872" s="10" t="n">
        <x:f>L872-J872-M872</x:f>
        <x:v>54.95</x:v>
      </x:c>
      <x:c r="O872" s="10" t="n">
        <x:f>(G872-H872)*K872</x:f>
        <x:v>22</x:v>
      </x:c>
      <x:c r="P872" s="10" t="n">
        <x:f>N872-O872</x:f>
        <x:v>32.95</x:v>
      </x:c>
      <x:c r="Q872" s="9" t="n">
        <x:f>A872-WEEKDAY(A872,2)+1</x:f>
        <x:v>46293</x:v>
      </x:c>
      <x:c r="R872" s="2" t="str">
        <x:f>IF(AND(A872&gt;='Review'!$B$4,A872&lt;='Review'!$D$4),"Selected","Outside")</x:f>
        <x:v>Selected</x:v>
      </x:c>
    </x:row>
    <x:row r="873" ht="20" customHeight="1">
      <x:c r="A873" s="9" t="n">
        <x:v>46296</x:v>
      </x:c>
      <x:c r="B873" s="2" t="str">
        <x:v>MM-1623</x:v>
      </x:c>
      <x:c r="C873" s="2" t="str">
        <x:v>Paid Social</x:v>
      </x:c>
      <x:c r="D873" s="2" t="str">
        <x:v>TOTE-001</x:v>
      </x:c>
      <x:c r="E873" s="2" t="str">
        <x:f>_xlfn.IFNA(VLOOKUP(D873,'Products'!$A$7:$I$22,2,FALSE),"Unmapped")</x:f>
        <x:v>Market canvas tote</x:v>
      </x:c>
      <x:c r="F873" s="2" t="str">
        <x:f>_xlfn.IFNA(VLOOKUP(D873,'Products'!$A$7:$I$22,3,FALSE),"Unmapped")</x:f>
        <x:v>Accessories</x:v>
      </x:c>
      <x:c r="G873" s="2" t="n">
        <x:v>1</x:v>
      </x:c>
      <x:c r="H873" s="2" t="n">
        <x:v>0</x:v>
      </x:c>
      <x:c r="I873" s="10" t="n">
        <x:v>19.95</x:v>
      </x:c>
      <x:c r="J873" s="10" t="n">
        <x:v>1.99</x:v>
      </x:c>
      <x:c r="K873" s="10" t="n">
        <x:v>6</x:v>
      </x:c>
      <x:c r="L873" s="10" t="n">
        <x:f>G873*I873</x:f>
        <x:v>19.95</x:v>
      </x:c>
      <x:c r="M873" s="10" t="n">
        <x:f>ROUND((L873-J873)*H873/G873,2)</x:f>
        <x:v>0</x:v>
      </x:c>
      <x:c r="N873" s="10" t="n">
        <x:f>L873-J873-M873</x:f>
        <x:v>17.96</x:v>
      </x:c>
      <x:c r="O873" s="10" t="n">
        <x:f>(G873-H873)*K873</x:f>
        <x:v>6</x:v>
      </x:c>
      <x:c r="P873" s="10" t="n">
        <x:f>N873-O873</x:f>
        <x:v>11.96</x:v>
      </x:c>
      <x:c r="Q873" s="9" t="n">
        <x:f>A873-WEEKDAY(A873,2)+1</x:f>
        <x:v>46293</x:v>
      </x:c>
      <x:c r="R873" s="2" t="str">
        <x:f>IF(AND(A873&gt;='Review'!$B$4,A873&lt;='Review'!$D$4),"Selected","Outside")</x:f>
        <x:v>Selected</x:v>
      </x:c>
    </x:row>
    <x:row r="874" ht="20" customHeight="1">
      <x:c r="A874" s="9" t="n">
        <x:v>46296</x:v>
      </x:c>
      <x:c r="B874" s="2" t="str">
        <x:v>MM-1618</x:v>
      </x:c>
      <x:c r="C874" s="2" t="str">
        <x:v>Paid Social</x:v>
      </x:c>
      <x:c r="D874" s="2" t="str">
        <x:v>TOTE-001</x:v>
      </x:c>
      <x:c r="E874" s="2" t="str">
        <x:f>_xlfn.IFNA(VLOOKUP(D874,'Products'!$A$7:$I$22,2,FALSE),"Unmapped")</x:f>
        <x:v>Market canvas tote</x:v>
      </x:c>
      <x:c r="F874" s="2" t="str">
        <x:f>_xlfn.IFNA(VLOOKUP(D874,'Products'!$A$7:$I$22,3,FALSE),"Unmapped")</x:f>
        <x:v>Accessories</x:v>
      </x:c>
      <x:c r="G874" s="2" t="n">
        <x:v>1</x:v>
      </x:c>
      <x:c r="H874" s="2" t="n">
        <x:v>0</x:v>
      </x:c>
      <x:c r="I874" s="10" t="n">
        <x:v>19.95</x:v>
      </x:c>
      <x:c r="J874" s="10" t="n">
        <x:v>0</x:v>
      </x:c>
      <x:c r="K874" s="10" t="n">
        <x:v>6</x:v>
      </x:c>
      <x:c r="L874" s="10" t="n">
        <x:f>G874*I874</x:f>
        <x:v>19.95</x:v>
      </x:c>
      <x:c r="M874" s="10" t="n">
        <x:f>ROUND((L874-J874)*H874/G874,2)</x:f>
        <x:v>0</x:v>
      </x:c>
      <x:c r="N874" s="10" t="n">
        <x:f>L874-J874-M874</x:f>
        <x:v>19.95</x:v>
      </x:c>
      <x:c r="O874" s="10" t="n">
        <x:f>(G874-H874)*K874</x:f>
        <x:v>6</x:v>
      </x:c>
      <x:c r="P874" s="10" t="n">
        <x:f>N874-O874</x:f>
        <x:v>13.95</x:v>
      </x:c>
      <x:c r="Q874" s="9" t="n">
        <x:f>A874-WEEKDAY(A874,2)+1</x:f>
        <x:v>46293</x:v>
      </x:c>
      <x:c r="R874" s="2" t="str">
        <x:f>IF(AND(A874&gt;='Review'!$B$4,A874&lt;='Review'!$D$4),"Selected","Outside")</x:f>
        <x:v>Selected</x:v>
      </x:c>
    </x:row>
    <x:row r="875" ht="20" customHeight="1">
      <x:c r="A875" s="9" t="n">
        <x:v>46296</x:v>
      </x:c>
      <x:c r="B875" s="2" t="str">
        <x:v>MM-1618</x:v>
      </x:c>
      <x:c r="C875" s="2" t="str">
        <x:v>Paid Social</x:v>
      </x:c>
      <x:c r="D875" s="2" t="str">
        <x:v>TUM-001</x:v>
      </x:c>
      <x:c r="E875" s="2" t="str">
        <x:f>_xlfn.IFNA(VLOOKUP(D875,'Products'!$A$7:$I$22,2,FALSE),"Unmapped")</x:f>
        <x:v>Maple travel tumbler</x:v>
      </x:c>
      <x:c r="F875" s="2" t="str">
        <x:f>_xlfn.IFNA(VLOOKUP(D875,'Products'!$A$7:$I$22,3,FALSE),"Unmapped")</x:f>
        <x:v>Drinkware</x:v>
      </x:c>
      <x:c r="G875" s="2" t="n">
        <x:v>2</x:v>
      </x:c>
      <x:c r="H875" s="2" t="n">
        <x:v>0</x:v>
      </x:c>
      <x:c r="I875" s="10" t="n">
        <x:v>32.95</x:v>
      </x:c>
      <x:c r="J875" s="10" t="n">
        <x:v>6.59</x:v>
      </x:c>
      <x:c r="K875" s="10" t="n">
        <x:v>12</x:v>
      </x:c>
      <x:c r="L875" s="10" t="n">
        <x:f>G875*I875</x:f>
        <x:v>65.9</x:v>
      </x:c>
      <x:c r="M875" s="10" t="n">
        <x:f>ROUND((L875-J875)*H875/G875,2)</x:f>
        <x:v>0</x:v>
      </x:c>
      <x:c r="N875" s="10" t="n">
        <x:f>L875-J875-M875</x:f>
        <x:v>59.31</x:v>
      </x:c>
      <x:c r="O875" s="10" t="n">
        <x:f>(G875-H875)*K875</x:f>
        <x:v>24</x:v>
      </x:c>
      <x:c r="P875" s="10" t="n">
        <x:f>N875-O875</x:f>
        <x:v>35.31</x:v>
      </x:c>
      <x:c r="Q875" s="9" t="n">
        <x:f>A875-WEEKDAY(A875,2)+1</x:f>
        <x:v>46293</x:v>
      </x:c>
      <x:c r="R875" s="2" t="str">
        <x:f>IF(AND(A875&gt;='Review'!$B$4,A875&lt;='Review'!$D$4),"Selected","Outside")</x:f>
        <x:v>Selected</x:v>
      </x:c>
    </x:row>
    <x:row r="876" ht="20" customHeight="1">
      <x:c r="A876" s="9" t="n">
        <x:v>46296</x:v>
      </x:c>
      <x:c r="B876" s="2" t="str">
        <x:v>MM-1625</x:v>
      </x:c>
      <x:c r="C876" s="2" t="str">
        <x:v>Direct</x:v>
      </x:c>
      <x:c r="D876" s="2" t="str">
        <x:v>KEY-001</x:v>
      </x:c>
      <x:c r="E876" s="2" t="str">
        <x:f>_xlfn.IFNA(VLOOKUP(D876,'Products'!$A$7:$I$22,2,FALSE),"Unmapped")</x:f>
        <x:v>Maple keyring</x:v>
      </x:c>
      <x:c r="F876" s="2" t="str">
        <x:f>_xlfn.IFNA(VLOOKUP(D876,'Products'!$A$7:$I$22,3,FALSE),"Unmapped")</x:f>
        <x:v>Accessories</x:v>
      </x:c>
      <x:c r="G876" s="2" t="n">
        <x:v>2</x:v>
      </x:c>
      <x:c r="H876" s="2" t="n">
        <x:v>0</x:v>
      </x:c>
      <x:c r="I876" s="10" t="n">
        <x:v>12.95</x:v>
      </x:c>
      <x:c r="J876" s="10" t="n">
        <x:v>0</x:v>
      </x:c>
      <x:c r="K876" s="10" t="n">
        <x:v>3.5</x:v>
      </x:c>
      <x:c r="L876" s="10" t="n">
        <x:f>G876*I876</x:f>
        <x:v>25.9</x:v>
      </x:c>
      <x:c r="M876" s="10" t="n">
        <x:f>ROUND((L876-J876)*H876/G876,2)</x:f>
        <x:v>0</x:v>
      </x:c>
      <x:c r="N876" s="10" t="n">
        <x:f>L876-J876-M876</x:f>
        <x:v>25.9</x:v>
      </x:c>
      <x:c r="O876" s="10" t="n">
        <x:f>(G876-H876)*K876</x:f>
        <x:v>7</x:v>
      </x:c>
      <x:c r="P876" s="10" t="n">
        <x:f>N876-O876</x:f>
        <x:v>18.9</x:v>
      </x:c>
      <x:c r="Q876" s="9" t="n">
        <x:f>A876-WEEKDAY(A876,2)+1</x:f>
        <x:v>46293</x:v>
      </x:c>
      <x:c r="R876" s="2" t="str">
        <x:f>IF(AND(A876&gt;='Review'!$B$4,A876&lt;='Review'!$D$4),"Selected","Outside")</x:f>
        <x:v>Selected</x:v>
      </x:c>
    </x:row>
    <x:row r="877" ht="20" customHeight="1">
      <x:c r="A877" s="9" t="n">
        <x:v>46296</x:v>
      </x:c>
      <x:c r="B877" s="2" t="str">
        <x:v>MM-1625</x:v>
      </x:c>
      <x:c r="C877" s="2" t="str">
        <x:v>Direct</x:v>
      </x:c>
      <x:c r="D877" s="2" t="str">
        <x:v>HAT-001</x:v>
      </x:c>
      <x:c r="E877" s="2" t="str">
        <x:f>_xlfn.IFNA(VLOOKUP(D877,'Products'!$A$7:$I$22,2,FALSE),"Unmapped")</x:f>
        <x:v>Classic canvas cap</x:v>
      </x:c>
      <x:c r="F877" s="2" t="str">
        <x:f>_xlfn.IFNA(VLOOKUP(D877,'Products'!$A$7:$I$22,3,FALSE),"Unmapped")</x:f>
        <x:v>Accessories</x:v>
      </x:c>
      <x:c r="G877" s="2" t="n">
        <x:v>1</x:v>
      </x:c>
      <x:c r="H877" s="2" t="n">
        <x:v>0</x:v>
      </x:c>
      <x:c r="I877" s="10" t="n">
        <x:v>24.95</x:v>
      </x:c>
      <x:c r="J877" s="10" t="n">
        <x:v>2.49</x:v>
      </x:c>
      <x:c r="K877" s="10" t="n">
        <x:v>8.5</x:v>
      </x:c>
      <x:c r="L877" s="10" t="n">
        <x:f>G877*I877</x:f>
        <x:v>24.95</x:v>
      </x:c>
      <x:c r="M877" s="10" t="n">
        <x:f>ROUND((L877-J877)*H877/G877,2)</x:f>
        <x:v>0</x:v>
      </x:c>
      <x:c r="N877" s="10" t="n">
        <x:f>L877-J877-M877</x:f>
        <x:v>22.46</x:v>
      </x:c>
      <x:c r="O877" s="10" t="n">
        <x:f>(G877-H877)*K877</x:f>
        <x:v>8.5</x:v>
      </x:c>
      <x:c r="P877" s="10" t="n">
        <x:f>N877-O877</x:f>
        <x:v>13.96</x:v>
      </x:c>
      <x:c r="Q877" s="9" t="n">
        <x:f>A877-WEEKDAY(A877,2)+1</x:f>
        <x:v>46293</x:v>
      </x:c>
      <x:c r="R877" s="2" t="str">
        <x:f>IF(AND(A877&gt;='Review'!$B$4,A877&lt;='Review'!$D$4),"Selected","Outside")</x:f>
        <x:v>Selected</x:v>
      </x:c>
    </x:row>
    <x:row r="878" ht="20" customHeight="1">
      <x:c r="A878" s="9" t="n">
        <x:v>46296</x:v>
      </x:c>
      <x:c r="B878" s="2" t="str">
        <x:v>MM-1615</x:v>
      </x:c>
      <x:c r="C878" s="2" t="str">
        <x:v>Paid Social</x:v>
      </x:c>
      <x:c r="D878" s="2" t="str">
        <x:v>MUG-001</x:v>
      </x:c>
      <x:c r="E878" s="2" t="str">
        <x:f>_xlfn.IFNA(VLOOKUP(D878,'Products'!$A$7:$I$22,2,FALSE),"Unmapped")</x:f>
        <x:v>Everyday ceramic mug</x:v>
      </x:c>
      <x:c r="F878" s="2" t="str">
        <x:f>_xlfn.IFNA(VLOOKUP(D878,'Products'!$A$7:$I$22,3,FALSE),"Unmapped")</x:f>
        <x:v>Drinkware</x:v>
      </x:c>
      <x:c r="G878" s="2" t="n">
        <x:v>1</x:v>
      </x:c>
      <x:c r="H878" s="2" t="n">
        <x:v>0</x:v>
      </x:c>
      <x:c r="I878" s="10" t="n">
        <x:v>18.95</x:v>
      </x:c>
      <x:c r="J878" s="10" t="n">
        <x:v>0</x:v>
      </x:c>
      <x:c r="K878" s="10" t="n">
        <x:v>6.5</x:v>
      </x:c>
      <x:c r="L878" s="10" t="n">
        <x:f>G878*I878</x:f>
        <x:v>18.95</x:v>
      </x:c>
      <x:c r="M878" s="10" t="n">
        <x:f>ROUND((L878-J878)*H878/G878,2)</x:f>
        <x:v>0</x:v>
      </x:c>
      <x:c r="N878" s="10" t="n">
        <x:f>L878-J878-M878</x:f>
        <x:v>18.95</x:v>
      </x:c>
      <x:c r="O878" s="10" t="n">
        <x:f>(G878-H878)*K878</x:f>
        <x:v>6.5</x:v>
      </x:c>
      <x:c r="P878" s="10" t="n">
        <x:f>N878-O878</x:f>
        <x:v>12.45</x:v>
      </x:c>
      <x:c r="Q878" s="9" t="n">
        <x:f>A878-WEEKDAY(A878,2)+1</x:f>
        <x:v>46293</x:v>
      </x:c>
      <x:c r="R878" s="2" t="str">
        <x:f>IF(AND(A878&gt;='Review'!$B$4,A878&lt;='Review'!$D$4),"Selected","Outside")</x:f>
        <x:v>Selected</x:v>
      </x:c>
    </x:row>
    <x:row r="879" ht="20" customHeight="1">
      <x:c r="A879" s="9" t="n">
        <x:v>46296</x:v>
      </x:c>
      <x:c r="B879" s="2" t="str">
        <x:v>MM-1622</x:v>
      </x:c>
      <x:c r="C879" s="2" t="str">
        <x:v>Email</x:v>
      </x:c>
      <x:c r="D879" s="2" t="str">
        <x:v>TUM-002</x:v>
      </x:c>
      <x:c r="E879" s="2" t="str">
        <x:f>_xlfn.IFNA(VLOOKUP(D879,'Products'!$A$7:$I$22,2,FALSE),"Unmapped")</x:f>
        <x:v>Cold brew glass cup</x:v>
      </x:c>
      <x:c r="F879" s="2" t="str">
        <x:f>_xlfn.IFNA(VLOOKUP(D879,'Products'!$A$7:$I$22,3,FALSE),"Unmapped")</x:f>
        <x:v>Drinkware</x:v>
      </x:c>
      <x:c r="G879" s="2" t="n">
        <x:v>1</x:v>
      </x:c>
      <x:c r="H879" s="2" t="n">
        <x:v>0</x:v>
      </x:c>
      <x:c r="I879" s="10" t="n">
        <x:v>24.95</x:v>
      </x:c>
      <x:c r="J879" s="10" t="n">
        <x:v>2.49</x:v>
      </x:c>
      <x:c r="K879" s="10" t="n">
        <x:v>9</x:v>
      </x:c>
      <x:c r="L879" s="10" t="n">
        <x:f>G879*I879</x:f>
        <x:v>24.95</x:v>
      </x:c>
      <x:c r="M879" s="10" t="n">
        <x:f>ROUND((L879-J879)*H879/G879,2)</x:f>
        <x:v>0</x:v>
      </x:c>
      <x:c r="N879" s="10" t="n">
        <x:f>L879-J879-M879</x:f>
        <x:v>22.46</x:v>
      </x:c>
      <x:c r="O879" s="10" t="n">
        <x:f>(G879-H879)*K879</x:f>
        <x:v>9</x:v>
      </x:c>
      <x:c r="P879" s="10" t="n">
        <x:f>N879-O879</x:f>
        <x:v>13.46</x:v>
      </x:c>
      <x:c r="Q879" s="9" t="n">
        <x:f>A879-WEEKDAY(A879,2)+1</x:f>
        <x:v>46293</x:v>
      </x:c>
      <x:c r="R879" s="2" t="str">
        <x:f>IF(AND(A879&gt;='Review'!$B$4,A879&lt;='Review'!$D$4),"Selected","Outside")</x:f>
        <x:v>Selected</x:v>
      </x:c>
    </x:row>
    <x:row r="880" ht="20" customHeight="1">
      <x:c r="A880" s="9" t="n">
        <x:v>46296</x:v>
      </x:c>
      <x:c r="B880" s="2" t="str">
        <x:v>MM-1626</x:v>
      </x:c>
      <x:c r="C880" s="2" t="str">
        <x:v>Paid Social</x:v>
      </x:c>
      <x:c r="D880" s="2" t="str">
        <x:v>BOT-001</x:v>
      </x:c>
      <x:c r="E880" s="2" t="str">
        <x:f>_xlfn.IFNA(VLOOKUP(D880,'Products'!$A$7:$I$22,2,FALSE),"Unmapped")</x:f>
        <x:v>Trail water bottle</x:v>
      </x:c>
      <x:c r="F880" s="2" t="str">
        <x:f>_xlfn.IFNA(VLOOKUP(D880,'Products'!$A$7:$I$22,3,FALSE),"Unmapped")</x:f>
        <x:v>Drinkware</x:v>
      </x:c>
      <x:c r="G880" s="2" t="n">
        <x:v>2</x:v>
      </x:c>
      <x:c r="H880" s="2" t="n">
        <x:v>0</x:v>
      </x:c>
      <x:c r="I880" s="10" t="n">
        <x:v>34.95</x:v>
      </x:c>
      <x:c r="J880" s="10" t="n">
        <x:v>6.99</x:v>
      </x:c>
      <x:c r="K880" s="10" t="n">
        <x:v>13.5</x:v>
      </x:c>
      <x:c r="L880" s="10" t="n">
        <x:f>G880*I880</x:f>
        <x:v>69.9</x:v>
      </x:c>
      <x:c r="M880" s="10" t="n">
        <x:f>ROUND((L880-J880)*H880/G880,2)</x:f>
        <x:v>0</x:v>
      </x:c>
      <x:c r="N880" s="10" t="n">
        <x:f>L880-J880-M880</x:f>
        <x:v>62.910000000000004</x:v>
      </x:c>
      <x:c r="O880" s="10" t="n">
        <x:f>(G880-H880)*K880</x:f>
        <x:v>27</x:v>
      </x:c>
      <x:c r="P880" s="10" t="n">
        <x:f>N880-O880</x:f>
        <x:v>35.910000000000004</x:v>
      </x:c>
      <x:c r="Q880" s="9" t="n">
        <x:f>A880-WEEKDAY(A880,2)+1</x:f>
        <x:v>46293</x:v>
      </x:c>
      <x:c r="R880" s="2" t="str">
        <x:f>IF(AND(A880&gt;='Review'!$B$4,A880&lt;='Review'!$D$4),"Selected","Outside")</x:f>
        <x:v>Selected</x:v>
      </x:c>
    </x:row>
    <x:row r="881" ht="20" customHeight="1">
      <x:c r="A881" s="9" t="n">
        <x:v>46296</x:v>
      </x:c>
      <x:c r="B881" s="2" t="str">
        <x:v>MM-1616</x:v>
      </x:c>
      <x:c r="C881" s="2" t="str">
        <x:v>Email</x:v>
      </x:c>
      <x:c r="D881" s="2" t="str">
        <x:v>APP-001</x:v>
      </x:c>
      <x:c r="E881" s="2" t="str">
        <x:f>_xlfn.IFNA(VLOOKUP(D881,'Products'!$A$7:$I$22,2,FALSE),"Unmapped")</x:f>
        <x:v>Everyday crewneck</x:v>
      </x:c>
      <x:c r="F881" s="2" t="str">
        <x:f>_xlfn.IFNA(VLOOKUP(D881,'Products'!$A$7:$I$22,3,FALSE),"Unmapped")</x:f>
        <x:v>Apparel</x:v>
      </x:c>
      <x:c r="G881" s="2" t="n">
        <x:v>3</x:v>
      </x:c>
      <x:c r="H881" s="2" t="n">
        <x:v>0</x:v>
      </x:c>
      <x:c r="I881" s="10" t="n">
        <x:v>54.95</x:v>
      </x:c>
      <x:c r="J881" s="10" t="n">
        <x:v>16.48</x:v>
      </x:c>
      <x:c r="K881" s="10" t="n">
        <x:v>22</x:v>
      </x:c>
      <x:c r="L881" s="10" t="n">
        <x:f>G881*I881</x:f>
        <x:v>164.85000000000002</x:v>
      </x:c>
      <x:c r="M881" s="10" t="n">
        <x:f>ROUND((L881-J881)*H881/G881,2)</x:f>
        <x:v>0</x:v>
      </x:c>
      <x:c r="N881" s="10" t="n">
        <x:f>L881-J881-M881</x:f>
        <x:v>148.37000000000003</x:v>
      </x:c>
      <x:c r="O881" s="10" t="n">
        <x:f>(G881-H881)*K881</x:f>
        <x:v>66</x:v>
      </x:c>
      <x:c r="P881" s="10" t="n">
        <x:f>N881-O881</x:f>
        <x:v>82.37000000000003</x:v>
      </x:c>
      <x:c r="Q881" s="9" t="n">
        <x:f>A881-WEEKDAY(A881,2)+1</x:f>
        <x:v>46293</x:v>
      </x:c>
      <x:c r="R881" s="2" t="str">
        <x:f>IF(AND(A881&gt;='Review'!$B$4,A881&lt;='Review'!$D$4),"Selected","Outside")</x:f>
        <x:v>Selected</x:v>
      </x:c>
    </x:row>
    <x:row r="882" ht="20" customHeight="1">
      <x:c r="A882" s="9" t="n">
        <x:v>46297</x:v>
      </x:c>
      <x:c r="B882" s="2" t="str">
        <x:v>MM-1629</x:v>
      </x:c>
      <x:c r="C882" s="2" t="str">
        <x:v>Paid Social</x:v>
      </x:c>
      <x:c r="D882" s="2" t="str">
        <x:v>GFT-001</x:v>
      </x:c>
      <x:c r="E882" s="2" t="str">
        <x:f>_xlfn.IFNA(VLOOKUP(D882,'Products'!$A$7:$I$22,2,FALSE),"Unmapped")</x:f>
        <x:v>Morning ritual gift set</x:v>
      </x:c>
      <x:c r="F882" s="2" t="str">
        <x:f>_xlfn.IFNA(VLOOKUP(D882,'Products'!$A$7:$I$22,3,FALSE),"Unmapped")</x:f>
        <x:v>Gifts</x:v>
      </x:c>
      <x:c r="G882" s="2" t="n">
        <x:v>1</x:v>
      </x:c>
      <x:c r="H882" s="2" t="n">
        <x:v>0</x:v>
      </x:c>
      <x:c r="I882" s="10" t="n">
        <x:v>59.95</x:v>
      </x:c>
      <x:c r="J882" s="10" t="n">
        <x:v>0</x:v>
      </x:c>
      <x:c r="K882" s="10" t="n">
        <x:v>24</x:v>
      </x:c>
      <x:c r="L882" s="10" t="n">
        <x:f>G882*I882</x:f>
        <x:v>59.95</x:v>
      </x:c>
      <x:c r="M882" s="10" t="n">
        <x:f>ROUND((L882-J882)*H882/G882,2)</x:f>
        <x:v>0</x:v>
      </x:c>
      <x:c r="N882" s="10" t="n">
        <x:f>L882-J882-M882</x:f>
        <x:v>59.95</x:v>
      </x:c>
      <x:c r="O882" s="10" t="n">
        <x:f>(G882-H882)*K882</x:f>
        <x:v>24</x:v>
      </x:c>
      <x:c r="P882" s="10" t="n">
        <x:f>N882-O882</x:f>
        <x:v>35.95</x:v>
      </x:c>
      <x:c r="Q882" s="9" t="n">
        <x:f>A882-WEEKDAY(A882,2)+1</x:f>
        <x:v>46293</x:v>
      </x:c>
      <x:c r="R882" s="2" t="str">
        <x:f>IF(AND(A882&gt;='Review'!$B$4,A882&lt;='Review'!$D$4),"Selected","Outside")</x:f>
        <x:v>Selected</x:v>
      </x:c>
    </x:row>
    <x:row r="883" ht="20" customHeight="1">
      <x:c r="A883" s="9" t="n">
        <x:v>46297</x:v>
      </x:c>
      <x:c r="B883" s="2" t="str">
        <x:v>MM-1629</x:v>
      </x:c>
      <x:c r="C883" s="2" t="str">
        <x:v>Paid Social</x:v>
      </x:c>
      <x:c r="D883" s="2" t="str">
        <x:v>TUM-001</x:v>
      </x:c>
      <x:c r="E883" s="2" t="str">
        <x:f>_xlfn.IFNA(VLOOKUP(D883,'Products'!$A$7:$I$22,2,FALSE),"Unmapped")</x:f>
        <x:v>Maple travel tumbler</x:v>
      </x:c>
      <x:c r="F883" s="2" t="str">
        <x:f>_xlfn.IFNA(VLOOKUP(D883,'Products'!$A$7:$I$22,3,FALSE),"Unmapped")</x:f>
        <x:v>Drinkware</x:v>
      </x:c>
      <x:c r="G883" s="2" t="n">
        <x:v>1</x:v>
      </x:c>
      <x:c r="H883" s="2" t="n">
        <x:v>0</x:v>
      </x:c>
      <x:c r="I883" s="10" t="n">
        <x:v>32.95</x:v>
      </x:c>
      <x:c r="J883" s="10" t="n">
        <x:v>3.29</x:v>
      </x:c>
      <x:c r="K883" s="10" t="n">
        <x:v>12</x:v>
      </x:c>
      <x:c r="L883" s="10" t="n">
        <x:f>G883*I883</x:f>
        <x:v>32.95</x:v>
      </x:c>
      <x:c r="M883" s="10" t="n">
        <x:f>ROUND((L883-J883)*H883/G883,2)</x:f>
        <x:v>0</x:v>
      </x:c>
      <x:c r="N883" s="10" t="n">
        <x:f>L883-J883-M883</x:f>
        <x:v>29.660000000000004</x:v>
      </x:c>
      <x:c r="O883" s="10" t="n">
        <x:f>(G883-H883)*K883</x:f>
        <x:v>12</x:v>
      </x:c>
      <x:c r="P883" s="10" t="n">
        <x:f>N883-O883</x:f>
        <x:v>17.660000000000004</x:v>
      </x:c>
      <x:c r="Q883" s="9" t="n">
        <x:f>A883-WEEKDAY(A883,2)+1</x:f>
        <x:v>46293</x:v>
      </x:c>
      <x:c r="R883" s="2" t="str">
        <x:f>IF(AND(A883&gt;='Review'!$B$4,A883&lt;='Review'!$D$4),"Selected","Outside")</x:f>
        <x:v>Selected</x:v>
      </x:c>
    </x:row>
    <x:row r="884" ht="20" customHeight="1">
      <x:c r="A884" s="9" t="n">
        <x:v>46297</x:v>
      </x:c>
      <x:c r="B884" s="2" t="str">
        <x:v>MM-1629</x:v>
      </x:c>
      <x:c r="C884" s="2" t="str">
        <x:v>Paid Social</x:v>
      </x:c>
      <x:c r="D884" s="2" t="str">
        <x:v>GFT-002</x:v>
      </x:c>
      <x:c r="E884" s="2" t="str">
        <x:f>_xlfn.IFNA(VLOOKUP(D884,'Products'!$A$7:$I$22,2,FALSE),"Unmapped")</x:f>
        <x:v>Cozy weekend gift box</x:v>
      </x:c>
      <x:c r="F884" s="2" t="str">
        <x:f>_xlfn.IFNA(VLOOKUP(D884,'Products'!$A$7:$I$22,3,FALSE),"Unmapped")</x:f>
        <x:v>Gifts</x:v>
      </x:c>
      <x:c r="G884" s="2" t="n">
        <x:v>1</x:v>
      </x:c>
      <x:c r="H884" s="2" t="n">
        <x:v>0</x:v>
      </x:c>
      <x:c r="I884" s="10" t="n">
        <x:v>79.95</x:v>
      </x:c>
      <x:c r="J884" s="10" t="n">
        <x:v>0</x:v>
      </x:c>
      <x:c r="K884" s="10" t="n">
        <x:v>32</x:v>
      </x:c>
      <x:c r="L884" s="10" t="n">
        <x:f>G884*I884</x:f>
        <x:v>79.95</x:v>
      </x:c>
      <x:c r="M884" s="10" t="n">
        <x:f>ROUND((L884-J884)*H884/G884,2)</x:f>
        <x:v>0</x:v>
      </x:c>
      <x:c r="N884" s="10" t="n">
        <x:f>L884-J884-M884</x:f>
        <x:v>79.95</x:v>
      </x:c>
      <x:c r="O884" s="10" t="n">
        <x:f>(G884-H884)*K884</x:f>
        <x:v>32</x:v>
      </x:c>
      <x:c r="P884" s="10" t="n">
        <x:f>N884-O884</x:f>
        <x:v>47.95</x:v>
      </x:c>
      <x:c r="Q884" s="9" t="n">
        <x:f>A884-WEEKDAY(A884,2)+1</x:f>
        <x:v>46293</x:v>
      </x:c>
      <x:c r="R884" s="2" t="str">
        <x:f>IF(AND(A884&gt;='Review'!$B$4,A884&lt;='Review'!$D$4),"Selected","Outside")</x:f>
        <x:v>Selected</x:v>
      </x:c>
    </x:row>
    <x:row r="885" ht="20" customHeight="1">
      <x:c r="A885" s="9" t="n">
        <x:v>46297</x:v>
      </x:c>
      <x:c r="B885" s="2" t="str">
        <x:v>MM-1636</x:v>
      </x:c>
      <x:c r="C885" s="2" t="str">
        <x:v>Email</x:v>
      </x:c>
      <x:c r="D885" s="2" t="str">
        <x:v>KEY-001</x:v>
      </x:c>
      <x:c r="E885" s="2" t="str">
        <x:f>_xlfn.IFNA(VLOOKUP(D885,'Products'!$A$7:$I$22,2,FALSE),"Unmapped")</x:f>
        <x:v>Maple keyring</x:v>
      </x:c>
      <x:c r="F885" s="2" t="str">
        <x:f>_xlfn.IFNA(VLOOKUP(D885,'Products'!$A$7:$I$22,3,FALSE),"Unmapped")</x:f>
        <x:v>Accessories</x:v>
      </x:c>
      <x:c r="G885" s="2" t="n">
        <x:v>2</x:v>
      </x:c>
      <x:c r="H885" s="2" t="n">
        <x:v>0</x:v>
      </x:c>
      <x:c r="I885" s="10" t="n">
        <x:v>12.95</x:v>
      </x:c>
      <x:c r="J885" s="10" t="n">
        <x:v>2.59</x:v>
      </x:c>
      <x:c r="K885" s="10" t="n">
        <x:v>3.5</x:v>
      </x:c>
      <x:c r="L885" s="10" t="n">
        <x:f>G885*I885</x:f>
        <x:v>25.9</x:v>
      </x:c>
      <x:c r="M885" s="10" t="n">
        <x:f>ROUND((L885-J885)*H885/G885,2)</x:f>
        <x:v>0</x:v>
      </x:c>
      <x:c r="N885" s="10" t="n">
        <x:f>L885-J885-M885</x:f>
        <x:v>23.31</x:v>
      </x:c>
      <x:c r="O885" s="10" t="n">
        <x:f>(G885-H885)*K885</x:f>
        <x:v>7</x:v>
      </x:c>
      <x:c r="P885" s="10" t="n">
        <x:f>N885-O885</x:f>
        <x:v>16.31</x:v>
      </x:c>
      <x:c r="Q885" s="9" t="n">
        <x:f>A885-WEEKDAY(A885,2)+1</x:f>
        <x:v>46293</x:v>
      </x:c>
      <x:c r="R885" s="2" t="str">
        <x:f>IF(AND(A885&gt;='Review'!$B$4,A885&lt;='Review'!$D$4),"Selected","Outside")</x:f>
        <x:v>Selected</x:v>
      </x:c>
    </x:row>
    <x:row r="886" ht="20" customHeight="1">
      <x:c r="A886" s="9" t="n">
        <x:v>46297</x:v>
      </x:c>
      <x:c r="B886" s="2" t="str">
        <x:v>MM-1634</x:v>
      </x:c>
      <x:c r="C886" s="2" t="str">
        <x:v>Email</x:v>
      </x:c>
      <x:c r="D886" s="2" t="str">
        <x:v>MUG-002</x:v>
      </x:c>
      <x:c r="E886" s="2" t="str">
        <x:f>_xlfn.IFNA(VLOOKUP(D886,'Products'!$A$7:$I$22,2,FALSE),"Unmapped")</x:f>
        <x:v>Campfire enamel mug</x:v>
      </x:c>
      <x:c r="F886" s="2" t="str">
        <x:f>_xlfn.IFNA(VLOOKUP(D886,'Products'!$A$7:$I$22,3,FALSE),"Unmapped")</x:f>
        <x:v>Drinkware</x:v>
      </x:c>
      <x:c r="G886" s="2" t="n">
        <x:v>2</x:v>
      </x:c>
      <x:c r="H886" s="2" t="n">
        <x:v>0</x:v>
      </x:c>
      <x:c r="I886" s="10" t="n">
        <x:v>22.95</x:v>
      </x:c>
      <x:c r="J886" s="10" t="n">
        <x:v>4.59</x:v>
      </x:c>
      <x:c r="K886" s="10" t="n">
        <x:v>8.5</x:v>
      </x:c>
      <x:c r="L886" s="10" t="n">
        <x:f>G886*I886</x:f>
        <x:v>45.9</x:v>
      </x:c>
      <x:c r="M886" s="10" t="n">
        <x:f>ROUND((L886-J886)*H886/G886,2)</x:f>
        <x:v>0</x:v>
      </x:c>
      <x:c r="N886" s="10" t="n">
        <x:f>L886-J886-M886</x:f>
        <x:v>41.31</x:v>
      </x:c>
      <x:c r="O886" s="10" t="n">
        <x:f>(G886-H886)*K886</x:f>
        <x:v>17</x:v>
      </x:c>
      <x:c r="P886" s="10" t="n">
        <x:f>N886-O886</x:f>
        <x:v>24.310000000000002</x:v>
      </x:c>
      <x:c r="Q886" s="9" t="n">
        <x:f>A886-WEEKDAY(A886,2)+1</x:f>
        <x:v>46293</x:v>
      </x:c>
      <x:c r="R886" s="2" t="str">
        <x:f>IF(AND(A886&gt;='Review'!$B$4,A886&lt;='Review'!$D$4),"Selected","Outside")</x:f>
        <x:v>Selected</x:v>
      </x:c>
    </x:row>
    <x:row r="887" ht="20" customHeight="1">
      <x:c r="A887" s="9" t="n">
        <x:v>46297</x:v>
      </x:c>
      <x:c r="B887" s="2" t="str">
        <x:v>MM-1638</x:v>
      </x:c>
      <x:c r="C887" s="2" t="str">
        <x:v>Email</x:v>
      </x:c>
      <x:c r="D887" s="2" t="str">
        <x:v>GFT-002</x:v>
      </x:c>
      <x:c r="E887" s="2" t="str">
        <x:f>_xlfn.IFNA(VLOOKUP(D887,'Products'!$A$7:$I$22,2,FALSE),"Unmapped")</x:f>
        <x:v>Cozy weekend gift box</x:v>
      </x:c>
      <x:c r="F887" s="2" t="str">
        <x:f>_xlfn.IFNA(VLOOKUP(D887,'Products'!$A$7:$I$22,3,FALSE),"Unmapped")</x:f>
        <x:v>Gifts</x:v>
      </x:c>
      <x:c r="G887" s="2" t="n">
        <x:v>2</x:v>
      </x:c>
      <x:c r="H887" s="2" t="n">
        <x:v>0</x:v>
      </x:c>
      <x:c r="I887" s="10" t="n">
        <x:v>79.95</x:v>
      </x:c>
      <x:c r="J887" s="10" t="n">
        <x:v>15.99</x:v>
      </x:c>
      <x:c r="K887" s="10" t="n">
        <x:v>32</x:v>
      </x:c>
      <x:c r="L887" s="10" t="n">
        <x:f>G887*I887</x:f>
        <x:v>159.9</x:v>
      </x:c>
      <x:c r="M887" s="10" t="n">
        <x:f>ROUND((L887-J887)*H887/G887,2)</x:f>
        <x:v>0</x:v>
      </x:c>
      <x:c r="N887" s="10" t="n">
        <x:f>L887-J887-M887</x:f>
        <x:v>143.91</x:v>
      </x:c>
      <x:c r="O887" s="10" t="n">
        <x:f>(G887-H887)*K887</x:f>
        <x:v>64</x:v>
      </x:c>
      <x:c r="P887" s="10" t="n">
        <x:f>N887-O887</x:f>
        <x:v>79.91</x:v>
      </x:c>
      <x:c r="Q887" s="9" t="n">
        <x:f>A887-WEEKDAY(A887,2)+1</x:f>
        <x:v>46293</x:v>
      </x:c>
      <x:c r="R887" s="2" t="str">
        <x:f>IF(AND(A887&gt;='Review'!$B$4,A887&lt;='Review'!$D$4),"Selected","Outside")</x:f>
        <x:v>Selected</x:v>
      </x:c>
    </x:row>
    <x:row r="888" ht="20" customHeight="1">
      <x:c r="A888" s="9" t="n">
        <x:v>46297</x:v>
      </x:c>
      <x:c r="B888" s="2" t="str">
        <x:v>MM-1628</x:v>
      </x:c>
      <x:c r="C888" s="2" t="str">
        <x:v>Email</x:v>
      </x:c>
      <x:c r="D888" s="2" t="str">
        <x:v>MUG-001</x:v>
      </x:c>
      <x:c r="E888" s="2" t="str">
        <x:f>_xlfn.IFNA(VLOOKUP(D888,'Products'!$A$7:$I$22,2,FALSE),"Unmapped")</x:f>
        <x:v>Everyday ceramic mug</x:v>
      </x:c>
      <x:c r="F888" s="2" t="str">
        <x:f>_xlfn.IFNA(VLOOKUP(D888,'Products'!$A$7:$I$22,3,FALSE),"Unmapped")</x:f>
        <x:v>Drinkware</x:v>
      </x:c>
      <x:c r="G888" s="2" t="n">
        <x:v>3</x:v>
      </x:c>
      <x:c r="H888" s="2" t="n">
        <x:v>0</x:v>
      </x:c>
      <x:c r="I888" s="10" t="n">
        <x:v>18.95</x:v>
      </x:c>
      <x:c r="J888" s="10" t="n">
        <x:v>5.68</x:v>
      </x:c>
      <x:c r="K888" s="10" t="n">
        <x:v>6.5</x:v>
      </x:c>
      <x:c r="L888" s="10" t="n">
        <x:f>G888*I888</x:f>
        <x:v>56.849999999999994</x:v>
      </x:c>
      <x:c r="M888" s="10" t="n">
        <x:f>ROUND((L888-J888)*H888/G888,2)</x:f>
        <x:v>0</x:v>
      </x:c>
      <x:c r="N888" s="10" t="n">
        <x:f>L888-J888-M888</x:f>
        <x:v>51.169999999999995</x:v>
      </x:c>
      <x:c r="O888" s="10" t="n">
        <x:f>(G888-H888)*K888</x:f>
        <x:v>19.5</x:v>
      </x:c>
      <x:c r="P888" s="10" t="n">
        <x:f>N888-O888</x:f>
        <x:v>31.669999999999995</x:v>
      </x:c>
      <x:c r="Q888" s="9" t="n">
        <x:f>A888-WEEKDAY(A888,2)+1</x:f>
        <x:v>46293</x:v>
      </x:c>
      <x:c r="R888" s="2" t="str">
        <x:f>IF(AND(A888&gt;='Review'!$B$4,A888&lt;='Review'!$D$4),"Selected","Outside")</x:f>
        <x:v>Selected</x:v>
      </x:c>
    </x:row>
    <x:row r="889" ht="20" customHeight="1">
      <x:c r="A889" s="9" t="n">
        <x:v>46297</x:v>
      </x:c>
      <x:c r="B889" s="2" t="str">
        <x:v>MM-1632</x:v>
      </x:c>
      <x:c r="C889" s="2" t="str">
        <x:v>Direct</x:v>
      </x:c>
      <x:c r="D889" s="2" t="str">
        <x:v>BOT-001</x:v>
      </x:c>
      <x:c r="E889" s="2" t="str">
        <x:f>_xlfn.IFNA(VLOOKUP(D889,'Products'!$A$7:$I$22,2,FALSE),"Unmapped")</x:f>
        <x:v>Trail water bottle</x:v>
      </x:c>
      <x:c r="F889" s="2" t="str">
        <x:f>_xlfn.IFNA(VLOOKUP(D889,'Products'!$A$7:$I$22,3,FALSE),"Unmapped")</x:f>
        <x:v>Drinkware</x:v>
      </x:c>
      <x:c r="G889" s="2" t="n">
        <x:v>1</x:v>
      </x:c>
      <x:c r="H889" s="2" t="n">
        <x:v>0</x:v>
      </x:c>
      <x:c r="I889" s="10" t="n">
        <x:v>34.95</x:v>
      </x:c>
      <x:c r="J889" s="10" t="n">
        <x:v>3.49</x:v>
      </x:c>
      <x:c r="K889" s="10" t="n">
        <x:v>13.5</x:v>
      </x:c>
      <x:c r="L889" s="10" t="n">
        <x:f>G889*I889</x:f>
        <x:v>34.95</x:v>
      </x:c>
      <x:c r="M889" s="10" t="n">
        <x:f>ROUND((L889-J889)*H889/G889,2)</x:f>
        <x:v>0</x:v>
      </x:c>
      <x:c r="N889" s="10" t="n">
        <x:f>L889-J889-M889</x:f>
        <x:v>31.46</x:v>
      </x:c>
      <x:c r="O889" s="10" t="n">
        <x:f>(G889-H889)*K889</x:f>
        <x:v>13.5</x:v>
      </x:c>
      <x:c r="P889" s="10" t="n">
        <x:f>N889-O889</x:f>
        <x:v>17.96</x:v>
      </x:c>
      <x:c r="Q889" s="9" t="n">
        <x:f>A889-WEEKDAY(A889,2)+1</x:f>
        <x:v>46293</x:v>
      </x:c>
      <x:c r="R889" s="2" t="str">
        <x:f>IF(AND(A889&gt;='Review'!$B$4,A889&lt;='Review'!$D$4),"Selected","Outside")</x:f>
        <x:v>Selected</x:v>
      </x:c>
    </x:row>
    <x:row r="890" ht="20" customHeight="1">
      <x:c r="A890" s="9" t="n">
        <x:v>46297</x:v>
      </x:c>
      <x:c r="B890" s="2" t="str">
        <x:v>MM-1641</x:v>
      </x:c>
      <x:c r="C890" s="2" t="str">
        <x:v>Email</x:v>
      </x:c>
      <x:c r="D890" s="2" t="str">
        <x:v>APP-001</x:v>
      </x:c>
      <x:c r="E890" s="2" t="str">
        <x:f>_xlfn.IFNA(VLOOKUP(D890,'Products'!$A$7:$I$22,2,FALSE),"Unmapped")</x:f>
        <x:v>Everyday crewneck</x:v>
      </x:c>
      <x:c r="F890" s="2" t="str">
        <x:f>_xlfn.IFNA(VLOOKUP(D890,'Products'!$A$7:$I$22,3,FALSE),"Unmapped")</x:f>
        <x:v>Apparel</x:v>
      </x:c>
      <x:c r="G890" s="2" t="n">
        <x:v>1</x:v>
      </x:c>
      <x:c r="H890" s="2" t="n">
        <x:v>0</x:v>
      </x:c>
      <x:c r="I890" s="10" t="n">
        <x:v>54.95</x:v>
      </x:c>
      <x:c r="J890" s="10" t="n">
        <x:v>5.49</x:v>
      </x:c>
      <x:c r="K890" s="10" t="n">
        <x:v>22</x:v>
      </x:c>
      <x:c r="L890" s="10" t="n">
        <x:f>G890*I890</x:f>
        <x:v>54.95</x:v>
      </x:c>
      <x:c r="M890" s="10" t="n">
        <x:f>ROUND((L890-J890)*H890/G890,2)</x:f>
        <x:v>0</x:v>
      </x:c>
      <x:c r="N890" s="10" t="n">
        <x:f>L890-J890-M890</x:f>
        <x:v>49.46</x:v>
      </x:c>
      <x:c r="O890" s="10" t="n">
        <x:f>(G890-H890)*K890</x:f>
        <x:v>22</x:v>
      </x:c>
      <x:c r="P890" s="10" t="n">
        <x:f>N890-O890</x:f>
        <x:v>27.46</x:v>
      </x:c>
      <x:c r="Q890" s="9" t="n">
        <x:f>A890-WEEKDAY(A890,2)+1</x:f>
        <x:v>46293</x:v>
      </x:c>
      <x:c r="R890" s="2" t="str">
        <x:f>IF(AND(A890&gt;='Review'!$B$4,A890&lt;='Review'!$D$4),"Selected","Outside")</x:f>
        <x:v>Selected</x:v>
      </x:c>
    </x:row>
    <x:row r="891" ht="20" customHeight="1">
      <x:c r="A891" s="9" t="n">
        <x:v>46297</x:v>
      </x:c>
      <x:c r="B891" s="2" t="str">
        <x:v>MM-1641</x:v>
      </x:c>
      <x:c r="C891" s="2" t="str">
        <x:v>Email</x:v>
      </x:c>
      <x:c r="D891" s="2" t="str">
        <x:v>TUM-002</x:v>
      </x:c>
      <x:c r="E891" s="2" t="str">
        <x:f>_xlfn.IFNA(VLOOKUP(D891,'Products'!$A$7:$I$22,2,FALSE),"Unmapped")</x:f>
        <x:v>Cold brew glass cup</x:v>
      </x:c>
      <x:c r="F891" s="2" t="str">
        <x:f>_xlfn.IFNA(VLOOKUP(D891,'Products'!$A$7:$I$22,3,FALSE),"Unmapped")</x:f>
        <x:v>Drinkware</x:v>
      </x:c>
      <x:c r="G891" s="2" t="n">
        <x:v>1</x:v>
      </x:c>
      <x:c r="H891" s="2" t="n">
        <x:v>0</x:v>
      </x:c>
      <x:c r="I891" s="10" t="n">
        <x:v>24.95</x:v>
      </x:c>
      <x:c r="J891" s="10" t="n">
        <x:v>2.49</x:v>
      </x:c>
      <x:c r="K891" s="10" t="n">
        <x:v>9</x:v>
      </x:c>
      <x:c r="L891" s="10" t="n">
        <x:f>G891*I891</x:f>
        <x:v>24.95</x:v>
      </x:c>
      <x:c r="M891" s="10" t="n">
        <x:f>ROUND((L891-J891)*H891/G891,2)</x:f>
        <x:v>0</x:v>
      </x:c>
      <x:c r="N891" s="10" t="n">
        <x:f>L891-J891-M891</x:f>
        <x:v>22.46</x:v>
      </x:c>
      <x:c r="O891" s="10" t="n">
        <x:f>(G891-H891)*K891</x:f>
        <x:v>9</x:v>
      </x:c>
      <x:c r="P891" s="10" t="n">
        <x:f>N891-O891</x:f>
        <x:v>13.46</x:v>
      </x:c>
      <x:c r="Q891" s="9" t="n">
        <x:f>A891-WEEKDAY(A891,2)+1</x:f>
        <x:v>46293</x:v>
      </x:c>
      <x:c r="R891" s="2" t="str">
        <x:f>IF(AND(A891&gt;='Review'!$B$4,A891&lt;='Review'!$D$4),"Selected","Outside")</x:f>
        <x:v>Selected</x:v>
      </x:c>
    </x:row>
    <x:row r="892" ht="20" customHeight="1">
      <x:c r="A892" s="9" t="n">
        <x:v>46297</x:v>
      </x:c>
      <x:c r="B892" s="2" t="str">
        <x:v>MM-1641</x:v>
      </x:c>
      <x:c r="C892" s="2" t="str">
        <x:v>Email</x:v>
      </x:c>
      <x:c r="D892" s="2" t="str">
        <x:v>GFT-001</x:v>
      </x:c>
      <x:c r="E892" s="2" t="str">
        <x:f>_xlfn.IFNA(VLOOKUP(D892,'Products'!$A$7:$I$22,2,FALSE),"Unmapped")</x:f>
        <x:v>Morning ritual gift set</x:v>
      </x:c>
      <x:c r="F892" s="2" t="str">
        <x:f>_xlfn.IFNA(VLOOKUP(D892,'Products'!$A$7:$I$22,3,FALSE),"Unmapped")</x:f>
        <x:v>Gifts</x:v>
      </x:c>
      <x:c r="G892" s="2" t="n">
        <x:v>1</x:v>
      </x:c>
      <x:c r="H892" s="2" t="n">
        <x:v>0</x:v>
      </x:c>
      <x:c r="I892" s="10" t="n">
        <x:v>59.95</x:v>
      </x:c>
      <x:c r="J892" s="10" t="n">
        <x:v>5.99</x:v>
      </x:c>
      <x:c r="K892" s="10" t="n">
        <x:v>24</x:v>
      </x:c>
      <x:c r="L892" s="10" t="n">
        <x:f>G892*I892</x:f>
        <x:v>59.95</x:v>
      </x:c>
      <x:c r="M892" s="10" t="n">
        <x:f>ROUND((L892-J892)*H892/G892,2)</x:f>
        <x:v>0</x:v>
      </x:c>
      <x:c r="N892" s="10" t="n">
        <x:f>L892-J892-M892</x:f>
        <x:v>53.96</x:v>
      </x:c>
      <x:c r="O892" s="10" t="n">
        <x:f>(G892-H892)*K892</x:f>
        <x:v>24</x:v>
      </x:c>
      <x:c r="P892" s="10" t="n">
        <x:f>N892-O892</x:f>
        <x:v>29.96</x:v>
      </x:c>
      <x:c r="Q892" s="9" t="n">
        <x:f>A892-WEEKDAY(A892,2)+1</x:f>
        <x:v>46293</x:v>
      </x:c>
      <x:c r="R892" s="2" t="str">
        <x:f>IF(AND(A892&gt;='Review'!$B$4,A892&lt;='Review'!$D$4),"Selected","Outside")</x:f>
        <x:v>Selected</x:v>
      </x:c>
    </x:row>
    <x:row r="893" ht="20" customHeight="1">
      <x:c r="A893" s="9" t="n">
        <x:v>46297</x:v>
      </x:c>
      <x:c r="B893" s="2" t="str">
        <x:v>MM-1637</x:v>
      </x:c>
      <x:c r="C893" s="2" t="str">
        <x:v>Organic Search</x:v>
      </x:c>
      <x:c r="D893" s="2" t="str">
        <x:v>MUG-001</x:v>
      </x:c>
      <x:c r="E893" s="2" t="str">
        <x:f>_xlfn.IFNA(VLOOKUP(D893,'Products'!$A$7:$I$22,2,FALSE),"Unmapped")</x:f>
        <x:v>Everyday ceramic mug</x:v>
      </x:c>
      <x:c r="F893" s="2" t="str">
        <x:f>_xlfn.IFNA(VLOOKUP(D893,'Products'!$A$7:$I$22,3,FALSE),"Unmapped")</x:f>
        <x:v>Drinkware</x:v>
      </x:c>
      <x:c r="G893" s="2" t="n">
        <x:v>1</x:v>
      </x:c>
      <x:c r="H893" s="2" t="n">
        <x:v>0</x:v>
      </x:c>
      <x:c r="I893" s="10" t="n">
        <x:v>18.95</x:v>
      </x:c>
      <x:c r="J893" s="10" t="n">
        <x:v>0</x:v>
      </x:c>
      <x:c r="K893" s="10" t="n">
        <x:v>6.5</x:v>
      </x:c>
      <x:c r="L893" s="10" t="n">
        <x:f>G893*I893</x:f>
        <x:v>18.95</x:v>
      </x:c>
      <x:c r="M893" s="10" t="n">
        <x:f>ROUND((L893-J893)*H893/G893,2)</x:f>
        <x:v>0</x:v>
      </x:c>
      <x:c r="N893" s="10" t="n">
        <x:f>L893-J893-M893</x:f>
        <x:v>18.95</x:v>
      </x:c>
      <x:c r="O893" s="10" t="n">
        <x:f>(G893-H893)*K893</x:f>
        <x:v>6.5</x:v>
      </x:c>
      <x:c r="P893" s="10" t="n">
        <x:f>N893-O893</x:f>
        <x:v>12.45</x:v>
      </x:c>
      <x:c r="Q893" s="9" t="n">
        <x:f>A893-WEEKDAY(A893,2)+1</x:f>
        <x:v>46293</x:v>
      </x:c>
      <x:c r="R893" s="2" t="str">
        <x:f>IF(AND(A893&gt;='Review'!$B$4,A893&lt;='Review'!$D$4),"Selected","Outside")</x:f>
        <x:v>Selected</x:v>
      </x:c>
    </x:row>
    <x:row r="894" ht="20" customHeight="1">
      <x:c r="A894" s="9" t="n">
        <x:v>46297</x:v>
      </x:c>
      <x:c r="B894" s="2" t="str">
        <x:v>MM-1640</x:v>
      </x:c>
      <x:c r="C894" s="2" t="str">
        <x:v>Paid Social</x:v>
      </x:c>
      <x:c r="D894" s="2" t="str">
        <x:v>GFT-001</x:v>
      </x:c>
      <x:c r="E894" s="2" t="str">
        <x:f>_xlfn.IFNA(VLOOKUP(D894,'Products'!$A$7:$I$22,2,FALSE),"Unmapped")</x:f>
        <x:v>Morning ritual gift set</x:v>
      </x:c>
      <x:c r="F894" s="2" t="str">
        <x:f>_xlfn.IFNA(VLOOKUP(D894,'Products'!$A$7:$I$22,3,FALSE),"Unmapped")</x:f>
        <x:v>Gifts</x:v>
      </x:c>
      <x:c r="G894" s="2" t="n">
        <x:v>2</x:v>
      </x:c>
      <x:c r="H894" s="2" t="n">
        <x:v>0</x:v>
      </x:c>
      <x:c r="I894" s="10" t="n">
        <x:v>59.95</x:v>
      </x:c>
      <x:c r="J894" s="10" t="n">
        <x:v>11.99</x:v>
      </x:c>
      <x:c r="K894" s="10" t="n">
        <x:v>24</x:v>
      </x:c>
      <x:c r="L894" s="10" t="n">
        <x:f>G894*I894</x:f>
        <x:v>119.9</x:v>
      </x:c>
      <x:c r="M894" s="10" t="n">
        <x:f>ROUND((L894-J894)*H894/G894,2)</x:f>
        <x:v>0</x:v>
      </x:c>
      <x:c r="N894" s="10" t="n">
        <x:f>L894-J894-M894</x:f>
        <x:v>107.91000000000001</x:v>
      </x:c>
      <x:c r="O894" s="10" t="n">
        <x:f>(G894-H894)*K894</x:f>
        <x:v>48</x:v>
      </x:c>
      <x:c r="P894" s="10" t="n">
        <x:f>N894-O894</x:f>
        <x:v>59.91000000000001</x:v>
      </x:c>
      <x:c r="Q894" s="9" t="n">
        <x:f>A894-WEEKDAY(A894,2)+1</x:f>
        <x:v>46293</x:v>
      </x:c>
      <x:c r="R894" s="2" t="str">
        <x:f>IF(AND(A894&gt;='Review'!$B$4,A894&lt;='Review'!$D$4),"Selected","Outside")</x:f>
        <x:v>Selected</x:v>
      </x:c>
    </x:row>
    <x:row r="895" ht="20" customHeight="1">
      <x:c r="A895" s="9" t="n">
        <x:v>46297</x:v>
      </x:c>
      <x:c r="B895" s="2" t="str">
        <x:v>MM-1640</x:v>
      </x:c>
      <x:c r="C895" s="2" t="str">
        <x:v>Paid Social</x:v>
      </x:c>
      <x:c r="D895" s="2" t="str">
        <x:v>BOT-001</x:v>
      </x:c>
      <x:c r="E895" s="2" t="str">
        <x:f>_xlfn.IFNA(VLOOKUP(D895,'Products'!$A$7:$I$22,2,FALSE),"Unmapped")</x:f>
        <x:v>Trail water bottle</x:v>
      </x:c>
      <x:c r="F895" s="2" t="str">
        <x:f>_xlfn.IFNA(VLOOKUP(D895,'Products'!$A$7:$I$22,3,FALSE),"Unmapped")</x:f>
        <x:v>Drinkware</x:v>
      </x:c>
      <x:c r="G895" s="2" t="n">
        <x:v>1</x:v>
      </x:c>
      <x:c r="H895" s="2" t="n">
        <x:v>1</x:v>
      </x:c>
      <x:c r="I895" s="10" t="n">
        <x:v>34.95</x:v>
      </x:c>
      <x:c r="J895" s="10" t="n">
        <x:v>0</x:v>
      </x:c>
      <x:c r="K895" s="10" t="n">
        <x:v>13.5</x:v>
      </x:c>
      <x:c r="L895" s="10" t="n">
        <x:f>G895*I895</x:f>
        <x:v>34.95</x:v>
      </x:c>
      <x:c r="M895" s="10" t="n">
        <x:f>ROUND((L895-J895)*H895/G895,2)</x:f>
        <x:v>34.95</x:v>
      </x:c>
      <x:c r="N895" s="10" t="n">
        <x:f>L895-J895-M895</x:f>
        <x:v>0</x:v>
      </x:c>
      <x:c r="O895" s="10" t="n">
        <x:f>(G895-H895)*K895</x:f>
        <x:v>0</x:v>
      </x:c>
      <x:c r="P895" s="10" t="n">
        <x:f>N895-O895</x:f>
        <x:v>0</x:v>
      </x:c>
      <x:c r="Q895" s="9" t="n">
        <x:f>A895-WEEKDAY(A895,2)+1</x:f>
        <x:v>46293</x:v>
      </x:c>
      <x:c r="R895" s="2" t="str">
        <x:f>IF(AND(A895&gt;='Review'!$B$4,A895&lt;='Review'!$D$4),"Selected","Outside")</x:f>
        <x:v>Selected</x:v>
      </x:c>
    </x:row>
    <x:row r="896" ht="20" customHeight="1">
      <x:c r="A896" s="9" t="n">
        <x:v>46297</x:v>
      </x:c>
      <x:c r="B896" s="2" t="str">
        <x:v>MM-1642</x:v>
      </x:c>
      <x:c r="C896" s="2" t="str">
        <x:v>Organic Search</x:v>
      </x:c>
      <x:c r="D896" s="2" t="str">
        <x:v>APP-001</x:v>
      </x:c>
      <x:c r="E896" s="2" t="str">
        <x:f>_xlfn.IFNA(VLOOKUP(D896,'Products'!$A$7:$I$22,2,FALSE),"Unmapped")</x:f>
        <x:v>Everyday crewneck</x:v>
      </x:c>
      <x:c r="F896" s="2" t="str">
        <x:f>_xlfn.IFNA(VLOOKUP(D896,'Products'!$A$7:$I$22,3,FALSE),"Unmapped")</x:f>
        <x:v>Apparel</x:v>
      </x:c>
      <x:c r="G896" s="2" t="n">
        <x:v>1</x:v>
      </x:c>
      <x:c r="H896" s="2" t="n">
        <x:v>0</x:v>
      </x:c>
      <x:c r="I896" s="10" t="n">
        <x:v>54.95</x:v>
      </x:c>
      <x:c r="J896" s="10" t="n">
        <x:v>0</x:v>
      </x:c>
      <x:c r="K896" s="10" t="n">
        <x:v>22</x:v>
      </x:c>
      <x:c r="L896" s="10" t="n">
        <x:f>G896*I896</x:f>
        <x:v>54.95</x:v>
      </x:c>
      <x:c r="M896" s="10" t="n">
        <x:f>ROUND((L896-J896)*H896/G896,2)</x:f>
        <x:v>0</x:v>
      </x:c>
      <x:c r="N896" s="10" t="n">
        <x:f>L896-J896-M896</x:f>
        <x:v>54.95</x:v>
      </x:c>
      <x:c r="O896" s="10" t="n">
        <x:f>(G896-H896)*K896</x:f>
        <x:v>22</x:v>
      </x:c>
      <x:c r="P896" s="10" t="n">
        <x:f>N896-O896</x:f>
        <x:v>32.95</x:v>
      </x:c>
      <x:c r="Q896" s="9" t="n">
        <x:f>A896-WEEKDAY(A896,2)+1</x:f>
        <x:v>46293</x:v>
      </x:c>
      <x:c r="R896" s="2" t="str">
        <x:f>IF(AND(A896&gt;='Review'!$B$4,A896&lt;='Review'!$D$4),"Selected","Outside")</x:f>
        <x:v>Selected</x:v>
      </x:c>
    </x:row>
    <x:row r="897" ht="20" customHeight="1">
      <x:c r="A897" s="9" t="n">
        <x:v>46297</x:v>
      </x:c>
      <x:c r="B897" s="2" t="str">
        <x:v>MM-1642</x:v>
      </x:c>
      <x:c r="C897" s="2" t="str">
        <x:v>Organic Search</x:v>
      </x:c>
      <x:c r="D897" s="2" t="str">
        <x:v>TOTE-001</x:v>
      </x:c>
      <x:c r="E897" s="2" t="str">
        <x:f>_xlfn.IFNA(VLOOKUP(D897,'Products'!$A$7:$I$22,2,FALSE),"Unmapped")</x:f>
        <x:v>Market canvas tote</x:v>
      </x:c>
      <x:c r="F897" s="2" t="str">
        <x:f>_xlfn.IFNA(VLOOKUP(D897,'Products'!$A$7:$I$22,3,FALSE),"Unmapped")</x:f>
        <x:v>Accessories</x:v>
      </x:c>
      <x:c r="G897" s="2" t="n">
        <x:v>1</x:v>
      </x:c>
      <x:c r="H897" s="2" t="n">
        <x:v>0</x:v>
      </x:c>
      <x:c r="I897" s="10" t="n">
        <x:v>19.95</x:v>
      </x:c>
      <x:c r="J897" s="10" t="n">
        <x:v>1.99</x:v>
      </x:c>
      <x:c r="K897" s="10" t="n">
        <x:v>6</x:v>
      </x:c>
      <x:c r="L897" s="10" t="n">
        <x:f>G897*I897</x:f>
        <x:v>19.95</x:v>
      </x:c>
      <x:c r="M897" s="10" t="n">
        <x:f>ROUND((L897-J897)*H897/G897,2)</x:f>
        <x:v>0</x:v>
      </x:c>
      <x:c r="N897" s="10" t="n">
        <x:f>L897-J897-M897</x:f>
        <x:v>17.96</x:v>
      </x:c>
      <x:c r="O897" s="10" t="n">
        <x:f>(G897-H897)*K897</x:f>
        <x:v>6</x:v>
      </x:c>
      <x:c r="P897" s="10" t="n">
        <x:f>N897-O897</x:f>
        <x:v>11.96</x:v>
      </x:c>
      <x:c r="Q897" s="9" t="n">
        <x:f>A897-WEEKDAY(A897,2)+1</x:f>
        <x:v>46293</x:v>
      </x:c>
      <x:c r="R897" s="2" t="str">
        <x:f>IF(AND(A897&gt;='Review'!$B$4,A897&lt;='Review'!$D$4),"Selected","Outside")</x:f>
        <x:v>Selected</x:v>
      </x:c>
    </x:row>
    <x:row r="898" ht="20" customHeight="1">
      <x:c r="A898" s="9" t="n">
        <x:v>46297</x:v>
      </x:c>
      <x:c r="B898" s="2" t="str">
        <x:v>MM-1639</x:v>
      </x:c>
      <x:c r="C898" s="2" t="str">
        <x:v>Organic Search</x:v>
      </x:c>
      <x:c r="D898" s="2" t="str">
        <x:v>PIN-001</x:v>
      </x:c>
      <x:c r="E898" s="2" t="str">
        <x:f>_xlfn.IFNA(VLOOKUP(D898,'Products'!$A$7:$I$22,2,FALSE),"Unmapped")</x:f>
        <x:v>Coffee enamel pin</x:v>
      </x:c>
      <x:c r="F898" s="2" t="str">
        <x:f>_xlfn.IFNA(VLOOKUP(D898,'Products'!$A$7:$I$22,3,FALSE),"Unmapped")</x:f>
        <x:v>Accessories</x:v>
      </x:c>
      <x:c r="G898" s="2" t="n">
        <x:v>1</x:v>
      </x:c>
      <x:c r="H898" s="2" t="n">
        <x:v>0</x:v>
      </x:c>
      <x:c r="I898" s="10" t="n">
        <x:v>9.95</x:v>
      </x:c>
      <x:c r="J898" s="10" t="n">
        <x:v>0</x:v>
      </x:c>
      <x:c r="K898" s="10" t="n">
        <x:v>2.5</x:v>
      </x:c>
      <x:c r="L898" s="10" t="n">
        <x:f>G898*I898</x:f>
        <x:v>9.95</x:v>
      </x:c>
      <x:c r="M898" s="10" t="n">
        <x:f>ROUND((L898-J898)*H898/G898,2)</x:f>
        <x:v>0</x:v>
      </x:c>
      <x:c r="N898" s="10" t="n">
        <x:f>L898-J898-M898</x:f>
        <x:v>9.95</x:v>
      </x:c>
      <x:c r="O898" s="10" t="n">
        <x:f>(G898-H898)*K898</x:f>
        <x:v>2.5</x:v>
      </x:c>
      <x:c r="P898" s="10" t="n">
        <x:f>N898-O898</x:f>
        <x:v>7.449999999999999</x:v>
      </x:c>
      <x:c r="Q898" s="9" t="n">
        <x:f>A898-WEEKDAY(A898,2)+1</x:f>
        <x:v>46293</x:v>
      </x:c>
      <x:c r="R898" s="2" t="str">
        <x:f>IF(AND(A898&gt;='Review'!$B$4,A898&lt;='Review'!$D$4),"Selected","Outside")</x:f>
        <x:v>Selected</x:v>
      </x:c>
    </x:row>
    <x:row r="899" ht="20" customHeight="1">
      <x:c r="A899" s="9" t="n">
        <x:v>46297</x:v>
      </x:c>
      <x:c r="B899" s="2" t="str">
        <x:v>MM-1635</x:v>
      </x:c>
      <x:c r="C899" s="2" t="str">
        <x:v>Email</x:v>
      </x:c>
      <x:c r="D899" s="2" t="str">
        <x:v>BOT-001</x:v>
      </x:c>
      <x:c r="E899" s="2" t="str">
        <x:f>_xlfn.IFNA(VLOOKUP(D899,'Products'!$A$7:$I$22,2,FALSE),"Unmapped")</x:f>
        <x:v>Trail water bottle</x:v>
      </x:c>
      <x:c r="F899" s="2" t="str">
        <x:f>_xlfn.IFNA(VLOOKUP(D899,'Products'!$A$7:$I$22,3,FALSE),"Unmapped")</x:f>
        <x:v>Drinkware</x:v>
      </x:c>
      <x:c r="G899" s="2" t="n">
        <x:v>1</x:v>
      </x:c>
      <x:c r="H899" s="2" t="n">
        <x:v>0</x:v>
      </x:c>
      <x:c r="I899" s="10" t="n">
        <x:v>34.95</x:v>
      </x:c>
      <x:c r="J899" s="10" t="n">
        <x:v>3.49</x:v>
      </x:c>
      <x:c r="K899" s="10" t="n">
        <x:v>13.5</x:v>
      </x:c>
      <x:c r="L899" s="10" t="n">
        <x:f>G899*I899</x:f>
        <x:v>34.95</x:v>
      </x:c>
      <x:c r="M899" s="10" t="n">
        <x:f>ROUND((L899-J899)*H899/G899,2)</x:f>
        <x:v>0</x:v>
      </x:c>
      <x:c r="N899" s="10" t="n">
        <x:f>L899-J899-M899</x:f>
        <x:v>31.46</x:v>
      </x:c>
      <x:c r="O899" s="10" t="n">
        <x:f>(G899-H899)*K899</x:f>
        <x:v>13.5</x:v>
      </x:c>
      <x:c r="P899" s="10" t="n">
        <x:f>N899-O899</x:f>
        <x:v>17.96</x:v>
      </x:c>
      <x:c r="Q899" s="9" t="n">
        <x:f>A899-WEEKDAY(A899,2)+1</x:f>
        <x:v>46293</x:v>
      </x:c>
      <x:c r="R899" s="2" t="str">
        <x:f>IF(AND(A899&gt;='Review'!$B$4,A899&lt;='Review'!$D$4),"Selected","Outside")</x:f>
        <x:v>Selected</x:v>
      </x:c>
    </x:row>
    <x:row r="900" ht="20" customHeight="1">
      <x:c r="A900" s="9" t="n">
        <x:v>46297</x:v>
      </x:c>
      <x:c r="B900" s="2" t="str">
        <x:v>MM-1627</x:v>
      </x:c>
      <x:c r="C900" s="2" t="str">
        <x:v>Email</x:v>
      </x:c>
      <x:c r="D900" s="2" t="str">
        <x:v>APP-003</x:v>
      </x:c>
      <x:c r="E900" s="2" t="str">
        <x:f>_xlfn.IFNA(VLOOKUP(D900,'Products'!$A$7:$I$22,2,FALSE),"Unmapped")</x:f>
        <x:v>Coffee club tee</x:v>
      </x:c>
      <x:c r="F900" s="2" t="str">
        <x:f>_xlfn.IFNA(VLOOKUP(D900,'Products'!$A$7:$I$22,3,FALSE),"Unmapped")</x:f>
        <x:v>Apparel</x:v>
      </x:c>
      <x:c r="G900" s="2" t="n">
        <x:v>1</x:v>
      </x:c>
      <x:c r="H900" s="2" t="n">
        <x:v>0</x:v>
      </x:c>
      <x:c r="I900" s="10" t="n">
        <x:v>29.95</x:v>
      </x:c>
      <x:c r="J900" s="10" t="n">
        <x:v>2.99</x:v>
      </x:c>
      <x:c r="K900" s="10" t="n">
        <x:v>10</x:v>
      </x:c>
      <x:c r="L900" s="10" t="n">
        <x:f>G900*I900</x:f>
        <x:v>29.95</x:v>
      </x:c>
      <x:c r="M900" s="10" t="n">
        <x:f>ROUND((L900-J900)*H900/G900,2)</x:f>
        <x:v>0</x:v>
      </x:c>
      <x:c r="N900" s="10" t="n">
        <x:f>L900-J900-M900</x:f>
        <x:v>26.96</x:v>
      </x:c>
      <x:c r="O900" s="10" t="n">
        <x:f>(G900-H900)*K900</x:f>
        <x:v>10</x:v>
      </x:c>
      <x:c r="P900" s="10" t="n">
        <x:f>N900-O900</x:f>
        <x:v>16.96</x:v>
      </x:c>
      <x:c r="Q900" s="9" t="n">
        <x:f>A900-WEEKDAY(A900,2)+1</x:f>
        <x:v>46293</x:v>
      </x:c>
      <x:c r="R900" s="2" t="str">
        <x:f>IF(AND(A900&gt;='Review'!$B$4,A900&lt;='Review'!$D$4),"Selected","Outside")</x:f>
        <x:v>Selected</x:v>
      </x:c>
    </x:row>
    <x:row r="901" ht="20" customHeight="1">
      <x:c r="A901" s="9" t="n">
        <x:v>46297</x:v>
      </x:c>
      <x:c r="B901" s="2" t="str">
        <x:v>MM-1627</x:v>
      </x:c>
      <x:c r="C901" s="2" t="str">
        <x:v>Email</x:v>
      </x:c>
      <x:c r="D901" s="2" t="str">
        <x:v>KEY-001</x:v>
      </x:c>
      <x:c r="E901" s="2" t="str">
        <x:f>_xlfn.IFNA(VLOOKUP(D901,'Products'!$A$7:$I$22,2,FALSE),"Unmapped")</x:f>
        <x:v>Maple keyring</x:v>
      </x:c>
      <x:c r="F901" s="2" t="str">
        <x:f>_xlfn.IFNA(VLOOKUP(D901,'Products'!$A$7:$I$22,3,FALSE),"Unmapped")</x:f>
        <x:v>Accessories</x:v>
      </x:c>
      <x:c r="G901" s="2" t="n">
        <x:v>1</x:v>
      </x:c>
      <x:c r="H901" s="2" t="n">
        <x:v>0</x:v>
      </x:c>
      <x:c r="I901" s="10" t="n">
        <x:v>12.95</x:v>
      </x:c>
      <x:c r="J901" s="10" t="n">
        <x:v>1.29</x:v>
      </x:c>
      <x:c r="K901" s="10" t="n">
        <x:v>3.5</x:v>
      </x:c>
      <x:c r="L901" s="10" t="n">
        <x:f>G901*I901</x:f>
        <x:v>12.95</x:v>
      </x:c>
      <x:c r="M901" s="10" t="n">
        <x:f>ROUND((L901-J901)*H901/G901,2)</x:f>
        <x:v>0</x:v>
      </x:c>
      <x:c r="N901" s="10" t="n">
        <x:f>L901-J901-M901</x:f>
        <x:v>11.66</x:v>
      </x:c>
      <x:c r="O901" s="10" t="n">
        <x:f>(G901-H901)*K901</x:f>
        <x:v>3.5</x:v>
      </x:c>
      <x:c r="P901" s="10" t="n">
        <x:f>N901-O901</x:f>
        <x:v>8.16</x:v>
      </x:c>
      <x:c r="Q901" s="9" t="n">
        <x:f>A901-WEEKDAY(A901,2)+1</x:f>
        <x:v>46293</x:v>
      </x:c>
      <x:c r="R901" s="2" t="str">
        <x:f>IF(AND(A901&gt;='Review'!$B$4,A901&lt;='Review'!$D$4),"Selected","Outside")</x:f>
        <x:v>Selected</x:v>
      </x:c>
    </x:row>
    <x:row r="902" ht="20" customHeight="1">
      <x:c r="A902" s="9" t="n">
        <x:v>46297</x:v>
      </x:c>
      <x:c r="B902" s="2" t="str">
        <x:v>MM-1630</x:v>
      </x:c>
      <x:c r="C902" s="2" t="str">
        <x:v>Email</x:v>
      </x:c>
      <x:c r="D902" s="2" t="str">
        <x:v>GFT-001</x:v>
      </x:c>
      <x:c r="E902" s="2" t="str">
        <x:f>_xlfn.IFNA(VLOOKUP(D902,'Products'!$A$7:$I$22,2,FALSE),"Unmapped")</x:f>
        <x:v>Morning ritual gift set</x:v>
      </x:c>
      <x:c r="F902" s="2" t="str">
        <x:f>_xlfn.IFNA(VLOOKUP(D902,'Products'!$A$7:$I$22,3,FALSE),"Unmapped")</x:f>
        <x:v>Gifts</x:v>
      </x:c>
      <x:c r="G902" s="2" t="n">
        <x:v>1</x:v>
      </x:c>
      <x:c r="H902" s="2" t="n">
        <x:v>0</x:v>
      </x:c>
      <x:c r="I902" s="10" t="n">
        <x:v>59.95</x:v>
      </x:c>
      <x:c r="J902" s="10" t="n">
        <x:v>5.99</x:v>
      </x:c>
      <x:c r="K902" s="10" t="n">
        <x:v>24</x:v>
      </x:c>
      <x:c r="L902" s="10" t="n">
        <x:f>G902*I902</x:f>
        <x:v>59.95</x:v>
      </x:c>
      <x:c r="M902" s="10" t="n">
        <x:f>ROUND((L902-J902)*H902/G902,2)</x:f>
        <x:v>0</x:v>
      </x:c>
      <x:c r="N902" s="10" t="n">
        <x:f>L902-J902-M902</x:f>
        <x:v>53.96</x:v>
      </x:c>
      <x:c r="O902" s="10" t="n">
        <x:f>(G902-H902)*K902</x:f>
        <x:v>24</x:v>
      </x:c>
      <x:c r="P902" s="10" t="n">
        <x:f>N902-O902</x:f>
        <x:v>29.96</x:v>
      </x:c>
      <x:c r="Q902" s="9" t="n">
        <x:f>A902-WEEKDAY(A902,2)+1</x:f>
        <x:v>46293</x:v>
      </x:c>
      <x:c r="R902" s="2" t="str">
        <x:f>IF(AND(A902&gt;='Review'!$B$4,A902&lt;='Review'!$D$4),"Selected","Outside")</x:f>
        <x:v>Selected</x:v>
      </x:c>
    </x:row>
    <x:row r="903" ht="20" customHeight="1">
      <x:c r="A903" s="9" t="n">
        <x:v>46297</x:v>
      </x:c>
      <x:c r="B903" s="2" t="str">
        <x:v>MM-1631</x:v>
      </x:c>
      <x:c r="C903" s="2" t="str">
        <x:v>Email</x:v>
      </x:c>
      <x:c r="D903" s="2" t="str">
        <x:v>BOT-001</x:v>
      </x:c>
      <x:c r="E903" s="2" t="str">
        <x:f>_xlfn.IFNA(VLOOKUP(D903,'Products'!$A$7:$I$22,2,FALSE),"Unmapped")</x:f>
        <x:v>Trail water bottle</x:v>
      </x:c>
      <x:c r="F903" s="2" t="str">
        <x:f>_xlfn.IFNA(VLOOKUP(D903,'Products'!$A$7:$I$22,3,FALSE),"Unmapped")</x:f>
        <x:v>Drinkware</x:v>
      </x:c>
      <x:c r="G903" s="2" t="n">
        <x:v>2</x:v>
      </x:c>
      <x:c r="H903" s="2" t="n">
        <x:v>0</x:v>
      </x:c>
      <x:c r="I903" s="10" t="n">
        <x:v>34.95</x:v>
      </x:c>
      <x:c r="J903" s="10" t="n">
        <x:v>6.99</x:v>
      </x:c>
      <x:c r="K903" s="10" t="n">
        <x:v>13.5</x:v>
      </x:c>
      <x:c r="L903" s="10" t="n">
        <x:f>G903*I903</x:f>
        <x:v>69.9</x:v>
      </x:c>
      <x:c r="M903" s="10" t="n">
        <x:f>ROUND((L903-J903)*H903/G903,2)</x:f>
        <x:v>0</x:v>
      </x:c>
      <x:c r="N903" s="10" t="n">
        <x:f>L903-J903-M903</x:f>
        <x:v>62.910000000000004</x:v>
      </x:c>
      <x:c r="O903" s="10" t="n">
        <x:f>(G903-H903)*K903</x:f>
        <x:v>27</x:v>
      </x:c>
      <x:c r="P903" s="10" t="n">
        <x:f>N903-O903</x:f>
        <x:v>35.910000000000004</x:v>
      </x:c>
      <x:c r="Q903" s="9" t="n">
        <x:f>A903-WEEKDAY(A903,2)+1</x:f>
        <x:v>46293</x:v>
      </x:c>
      <x:c r="R903" s="2" t="str">
        <x:f>IF(AND(A903&gt;='Review'!$B$4,A903&lt;='Review'!$D$4),"Selected","Outside")</x:f>
        <x:v>Selected</x:v>
      </x:c>
    </x:row>
    <x:row r="904" ht="20" customHeight="1">
      <x:c r="A904" s="9" t="n">
        <x:v>46297</x:v>
      </x:c>
      <x:c r="B904" s="2" t="str">
        <x:v>MM-1633</x:v>
      </x:c>
      <x:c r="C904" s="2" t="str">
        <x:v>Email</x:v>
      </x:c>
      <x:c r="D904" s="2" t="str">
        <x:v>MUG-001</x:v>
      </x:c>
      <x:c r="E904" s="2" t="str">
        <x:f>_xlfn.IFNA(VLOOKUP(D904,'Products'!$A$7:$I$22,2,FALSE),"Unmapped")</x:f>
        <x:v>Everyday ceramic mug</x:v>
      </x:c>
      <x:c r="F904" s="2" t="str">
        <x:f>_xlfn.IFNA(VLOOKUP(D904,'Products'!$A$7:$I$22,3,FALSE),"Unmapped")</x:f>
        <x:v>Drinkware</x:v>
      </x:c>
      <x:c r="G904" s="2" t="n">
        <x:v>1</x:v>
      </x:c>
      <x:c r="H904" s="2" t="n">
        <x:v>0</x:v>
      </x:c>
      <x:c r="I904" s="10" t="n">
        <x:v>18.95</x:v>
      </x:c>
      <x:c r="J904" s="10" t="n">
        <x:v>1.89</x:v>
      </x:c>
      <x:c r="K904" s="10" t="n">
        <x:v>6.5</x:v>
      </x:c>
      <x:c r="L904" s="10" t="n">
        <x:f>G904*I904</x:f>
        <x:v>18.95</x:v>
      </x:c>
      <x:c r="M904" s="10" t="n">
        <x:f>ROUND((L904-J904)*H904/G904,2)</x:f>
        <x:v>0</x:v>
      </x:c>
      <x:c r="N904" s="10" t="n">
        <x:f>L904-J904-M904</x:f>
        <x:v>17.06</x:v>
      </x:c>
      <x:c r="O904" s="10" t="n">
        <x:f>(G904-H904)*K904</x:f>
        <x:v>6.5</x:v>
      </x:c>
      <x:c r="P904" s="10" t="n">
        <x:f>N904-O904</x:f>
        <x:v>10.559999999999999</x:v>
      </x:c>
      <x:c r="Q904" s="9" t="n">
        <x:f>A904-WEEKDAY(A904,2)+1</x:f>
        <x:v>46293</x:v>
      </x:c>
      <x:c r="R904" s="2" t="str">
        <x:f>IF(AND(A904&gt;='Review'!$B$4,A904&lt;='Review'!$D$4),"Selected","Outside")</x:f>
        <x:v>Selected</x:v>
      </x:c>
    </x:row>
    <x:row r="905" ht="20" customHeight="1">
      <x:c r="A905" s="9" t="n">
        <x:v>46297</x:v>
      </x:c>
      <x:c r="B905" s="2" t="str">
        <x:v>MM-1633</x:v>
      </x:c>
      <x:c r="C905" s="2" t="str">
        <x:v>Email</x:v>
      </x:c>
      <x:c r="D905" s="2" t="str">
        <x:v>TUM-002</x:v>
      </x:c>
      <x:c r="E905" s="2" t="str">
        <x:f>_xlfn.IFNA(VLOOKUP(D905,'Products'!$A$7:$I$22,2,FALSE),"Unmapped")</x:f>
        <x:v>Cold brew glass cup</x:v>
      </x:c>
      <x:c r="F905" s="2" t="str">
        <x:f>_xlfn.IFNA(VLOOKUP(D905,'Products'!$A$7:$I$22,3,FALSE),"Unmapped")</x:f>
        <x:v>Drinkware</x:v>
      </x:c>
      <x:c r="G905" s="2" t="n">
        <x:v>2</x:v>
      </x:c>
      <x:c r="H905" s="2" t="n">
        <x:v>0</x:v>
      </x:c>
      <x:c r="I905" s="10" t="n">
        <x:v>24.95</x:v>
      </x:c>
      <x:c r="J905" s="10" t="n">
        <x:v>4.99</x:v>
      </x:c>
      <x:c r="K905" s="10" t="n">
        <x:v>9</x:v>
      </x:c>
      <x:c r="L905" s="10" t="n">
        <x:f>G905*I905</x:f>
        <x:v>49.9</x:v>
      </x:c>
      <x:c r="M905" s="10" t="n">
        <x:f>ROUND((L905-J905)*H905/G905,2)</x:f>
        <x:v>0</x:v>
      </x:c>
      <x:c r="N905" s="10" t="n">
        <x:f>L905-J905-M905</x:f>
        <x:v>44.91</x:v>
      </x:c>
      <x:c r="O905" s="10" t="n">
        <x:f>(G905-H905)*K905</x:f>
        <x:v>18</x:v>
      </x:c>
      <x:c r="P905" s="10" t="n">
        <x:f>N905-O905</x:f>
        <x:v>26.909999999999997</x:v>
      </x:c>
      <x:c r="Q905" s="9" t="n">
        <x:f>A905-WEEKDAY(A905,2)+1</x:f>
        <x:v>46293</x:v>
      </x:c>
      <x:c r="R905" s="2" t="str">
        <x:f>IF(AND(A905&gt;='Review'!$B$4,A905&lt;='Review'!$D$4),"Selected","Outside")</x:f>
        <x:v>Selected</x:v>
      </x:c>
    </x:row>
    <x:row r="906" ht="20" customHeight="1">
      <x:c r="A906" s="9" t="n">
        <x:v>46297</x:v>
      </x:c>
      <x:c r="B906" s="2" t="str">
        <x:v>MM-1633</x:v>
      </x:c>
      <x:c r="C906" s="2" t="str">
        <x:v>Email</x:v>
      </x:c>
      <x:c r="D906" s="2" t="str">
        <x:v>APP-002</x:v>
      </x:c>
      <x:c r="E906" s="2" t="str">
        <x:f>_xlfn.IFNA(VLOOKUP(D906,'Products'!$A$7:$I$22,2,FALSE),"Unmapped")</x:f>
        <x:v>Weekend hoodie</x:v>
      </x:c>
      <x:c r="F906" s="2" t="str">
        <x:f>_xlfn.IFNA(VLOOKUP(D906,'Products'!$A$7:$I$22,3,FALSE),"Unmapped")</x:f>
        <x:v>Apparel</x:v>
      </x:c>
      <x:c r="G906" s="2" t="n">
        <x:v>1</x:v>
      </x:c>
      <x:c r="H906" s="2" t="n">
        <x:v>0</x:v>
      </x:c>
      <x:c r="I906" s="10" t="n">
        <x:v>69.95</x:v>
      </x:c>
      <x:c r="J906" s="10" t="n">
        <x:v>6.99</x:v>
      </x:c>
      <x:c r="K906" s="10" t="n">
        <x:v>28</x:v>
      </x:c>
      <x:c r="L906" s="10" t="n">
        <x:f>G906*I906</x:f>
        <x:v>69.95</x:v>
      </x:c>
      <x:c r="M906" s="10" t="n">
        <x:f>ROUND((L906-J906)*H906/G906,2)</x:f>
        <x:v>0</x:v>
      </x:c>
      <x:c r="N906" s="10" t="n">
        <x:f>L906-J906-M906</x:f>
        <x:v>62.96</x:v>
      </x:c>
      <x:c r="O906" s="10" t="n">
        <x:f>(G906-H906)*K906</x:f>
        <x:v>28</x:v>
      </x:c>
      <x:c r="P906" s="10" t="n">
        <x:f>N906-O906</x:f>
        <x:v>34.96</x:v>
      </x:c>
      <x:c r="Q906" s="9" t="n">
        <x:f>A906-WEEKDAY(A906,2)+1</x:f>
        <x:v>46293</x:v>
      </x:c>
      <x:c r="R906" s="2" t="str">
        <x:f>IF(AND(A906&gt;='Review'!$B$4,A906&lt;='Review'!$D$4),"Selected","Outside")</x:f>
        <x:v>Selected</x:v>
      </x:c>
    </x:row>
    <x:row r="907" ht="20" customHeight="1">
      <x:c r="A907" s="9" t="n">
        <x:v>46298</x:v>
      </x:c>
      <x:c r="B907" s="2" t="str">
        <x:v>MM-1658</x:v>
      </x:c>
      <x:c r="C907" s="2" t="str">
        <x:v>Email</x:v>
      </x:c>
      <x:c r="D907" s="2" t="str">
        <x:v>KEY-001</x:v>
      </x:c>
      <x:c r="E907" s="2" t="str">
        <x:f>_xlfn.IFNA(VLOOKUP(D907,'Products'!$A$7:$I$22,2,FALSE),"Unmapped")</x:f>
        <x:v>Maple keyring</x:v>
      </x:c>
      <x:c r="F907" s="2" t="str">
        <x:f>_xlfn.IFNA(VLOOKUP(D907,'Products'!$A$7:$I$22,3,FALSE),"Unmapped")</x:f>
        <x:v>Accessories</x:v>
      </x:c>
      <x:c r="G907" s="2" t="n">
        <x:v>1</x:v>
      </x:c>
      <x:c r="H907" s="2" t="n">
        <x:v>0</x:v>
      </x:c>
      <x:c r="I907" s="10" t="n">
        <x:v>12.95</x:v>
      </x:c>
      <x:c r="J907" s="10" t="n">
        <x:v>1.29</x:v>
      </x:c>
      <x:c r="K907" s="10" t="n">
        <x:v>3.5</x:v>
      </x:c>
      <x:c r="L907" s="10" t="n">
        <x:f>G907*I907</x:f>
        <x:v>12.95</x:v>
      </x:c>
      <x:c r="M907" s="10" t="n">
        <x:f>ROUND((L907-J907)*H907/G907,2)</x:f>
        <x:v>0</x:v>
      </x:c>
      <x:c r="N907" s="10" t="n">
        <x:f>L907-J907-M907</x:f>
        <x:v>11.66</x:v>
      </x:c>
      <x:c r="O907" s="10" t="n">
        <x:f>(G907-H907)*K907</x:f>
        <x:v>3.5</x:v>
      </x:c>
      <x:c r="P907" s="10" t="n">
        <x:f>N907-O907</x:f>
        <x:v>8.16</x:v>
      </x:c>
      <x:c r="Q907" s="9" t="n">
        <x:f>A907-WEEKDAY(A907,2)+1</x:f>
        <x:v>46293</x:v>
      </x:c>
      <x:c r="R907" s="2" t="str">
        <x:f>IF(AND(A907&gt;='Review'!$B$4,A907&lt;='Review'!$D$4),"Selected","Outside")</x:f>
        <x:v>Selected</x:v>
      </x:c>
    </x:row>
    <x:row r="908" ht="20" customHeight="1">
      <x:c r="A908" s="9" t="n">
        <x:v>46298</x:v>
      </x:c>
      <x:c r="B908" s="2" t="str">
        <x:v>MM-1661</x:v>
      </x:c>
      <x:c r="C908" s="2" t="str">
        <x:v>Email</x:v>
      </x:c>
      <x:c r="D908" s="2" t="str">
        <x:v>BOT-001</x:v>
      </x:c>
      <x:c r="E908" s="2" t="str">
        <x:f>_xlfn.IFNA(VLOOKUP(D908,'Products'!$A$7:$I$22,2,FALSE),"Unmapped")</x:f>
        <x:v>Trail water bottle</x:v>
      </x:c>
      <x:c r="F908" s="2" t="str">
        <x:f>_xlfn.IFNA(VLOOKUP(D908,'Products'!$A$7:$I$22,3,FALSE),"Unmapped")</x:f>
        <x:v>Drinkware</x:v>
      </x:c>
      <x:c r="G908" s="2" t="n">
        <x:v>2</x:v>
      </x:c>
      <x:c r="H908" s="2" t="n">
        <x:v>0</x:v>
      </x:c>
      <x:c r="I908" s="10" t="n">
        <x:v>34.95</x:v>
      </x:c>
      <x:c r="J908" s="10" t="n">
        <x:v>6.99</x:v>
      </x:c>
      <x:c r="K908" s="10" t="n">
        <x:v>13.5</x:v>
      </x:c>
      <x:c r="L908" s="10" t="n">
        <x:f>G908*I908</x:f>
        <x:v>69.9</x:v>
      </x:c>
      <x:c r="M908" s="10" t="n">
        <x:f>ROUND((L908-J908)*H908/G908,2)</x:f>
        <x:v>0</x:v>
      </x:c>
      <x:c r="N908" s="10" t="n">
        <x:f>L908-J908-M908</x:f>
        <x:v>62.910000000000004</x:v>
      </x:c>
      <x:c r="O908" s="10" t="n">
        <x:f>(G908-H908)*K908</x:f>
        <x:v>27</x:v>
      </x:c>
      <x:c r="P908" s="10" t="n">
        <x:f>N908-O908</x:f>
        <x:v>35.910000000000004</x:v>
      </x:c>
      <x:c r="Q908" s="9" t="n">
        <x:f>A908-WEEKDAY(A908,2)+1</x:f>
        <x:v>46293</x:v>
      </x:c>
      <x:c r="R908" s="2" t="str">
        <x:f>IF(AND(A908&gt;='Review'!$B$4,A908&lt;='Review'!$D$4),"Selected","Outside")</x:f>
        <x:v>Selected</x:v>
      </x:c>
    </x:row>
    <x:row r="909" ht="20" customHeight="1">
      <x:c r="A909" s="9" t="n">
        <x:v>46298</x:v>
      </x:c>
      <x:c r="B909" s="2" t="str">
        <x:v>MM-1647</x:v>
      </x:c>
      <x:c r="C909" s="2" t="str">
        <x:v>Email</x:v>
      </x:c>
      <x:c r="D909" s="2" t="str">
        <x:v>MUG-002</x:v>
      </x:c>
      <x:c r="E909" s="2" t="str">
        <x:f>_xlfn.IFNA(VLOOKUP(D909,'Products'!$A$7:$I$22,2,FALSE),"Unmapped")</x:f>
        <x:v>Campfire enamel mug</x:v>
      </x:c>
      <x:c r="F909" s="2" t="str">
        <x:f>_xlfn.IFNA(VLOOKUP(D909,'Products'!$A$7:$I$22,3,FALSE),"Unmapped")</x:f>
        <x:v>Drinkware</x:v>
      </x:c>
      <x:c r="G909" s="2" t="n">
        <x:v>1</x:v>
      </x:c>
      <x:c r="H909" s="2" t="n">
        <x:v>0</x:v>
      </x:c>
      <x:c r="I909" s="10" t="n">
        <x:v>22.95</x:v>
      </x:c>
      <x:c r="J909" s="10" t="n">
        <x:v>2.29</x:v>
      </x:c>
      <x:c r="K909" s="10" t="n">
        <x:v>8.5</x:v>
      </x:c>
      <x:c r="L909" s="10" t="n">
        <x:f>G909*I909</x:f>
        <x:v>22.95</x:v>
      </x:c>
      <x:c r="M909" s="10" t="n">
        <x:f>ROUND((L909-J909)*H909/G909,2)</x:f>
        <x:v>0</x:v>
      </x:c>
      <x:c r="N909" s="10" t="n">
        <x:f>L909-J909-M909</x:f>
        <x:v>20.66</x:v>
      </x:c>
      <x:c r="O909" s="10" t="n">
        <x:f>(G909-H909)*K909</x:f>
        <x:v>8.5</x:v>
      </x:c>
      <x:c r="P909" s="10" t="n">
        <x:f>N909-O909</x:f>
        <x:v>12.16</x:v>
      </x:c>
      <x:c r="Q909" s="9" t="n">
        <x:f>A909-WEEKDAY(A909,2)+1</x:f>
        <x:v>46293</x:v>
      </x:c>
      <x:c r="R909" s="2" t="str">
        <x:f>IF(AND(A909&gt;='Review'!$B$4,A909&lt;='Review'!$D$4),"Selected","Outside")</x:f>
        <x:v>Selected</x:v>
      </x:c>
    </x:row>
    <x:row r="910" ht="20" customHeight="1">
      <x:c r="A910" s="9" t="n">
        <x:v>46298</x:v>
      </x:c>
      <x:c r="B910" s="2" t="str">
        <x:v>MM-1647</x:v>
      </x:c>
      <x:c r="C910" s="2" t="str">
        <x:v>Email</x:v>
      </x:c>
      <x:c r="D910" s="2" t="str">
        <x:v>KEY-001</x:v>
      </x:c>
      <x:c r="E910" s="2" t="str">
        <x:f>_xlfn.IFNA(VLOOKUP(D910,'Products'!$A$7:$I$22,2,FALSE),"Unmapped")</x:f>
        <x:v>Maple keyring</x:v>
      </x:c>
      <x:c r="F910" s="2" t="str">
        <x:f>_xlfn.IFNA(VLOOKUP(D910,'Products'!$A$7:$I$22,3,FALSE),"Unmapped")</x:f>
        <x:v>Accessories</x:v>
      </x:c>
      <x:c r="G910" s="2" t="n">
        <x:v>2</x:v>
      </x:c>
      <x:c r="H910" s="2" t="n">
        <x:v>0</x:v>
      </x:c>
      <x:c r="I910" s="10" t="n">
        <x:v>12.95</x:v>
      </x:c>
      <x:c r="J910" s="10" t="n">
        <x:v>2.59</x:v>
      </x:c>
      <x:c r="K910" s="10" t="n">
        <x:v>3.5</x:v>
      </x:c>
      <x:c r="L910" s="10" t="n">
        <x:f>G910*I910</x:f>
        <x:v>25.9</x:v>
      </x:c>
      <x:c r="M910" s="10" t="n">
        <x:f>ROUND((L910-J910)*H910/G910,2)</x:f>
        <x:v>0</x:v>
      </x:c>
      <x:c r="N910" s="10" t="n">
        <x:f>L910-J910-M910</x:f>
        <x:v>23.31</x:v>
      </x:c>
      <x:c r="O910" s="10" t="n">
        <x:f>(G910-H910)*K910</x:f>
        <x:v>7</x:v>
      </x:c>
      <x:c r="P910" s="10" t="n">
        <x:f>N910-O910</x:f>
        <x:v>16.31</x:v>
      </x:c>
      <x:c r="Q910" s="9" t="n">
        <x:f>A910-WEEKDAY(A910,2)+1</x:f>
        <x:v>46293</x:v>
      </x:c>
      <x:c r="R910" s="2" t="str">
        <x:f>IF(AND(A910&gt;='Review'!$B$4,A910&lt;='Review'!$D$4),"Selected","Outside")</x:f>
        <x:v>Selected</x:v>
      </x:c>
    </x:row>
    <x:row r="911" ht="20" customHeight="1">
      <x:c r="A911" s="9" t="n">
        <x:v>46298</x:v>
      </x:c>
      <x:c r="B911" s="2" t="str">
        <x:v>MM-1651</x:v>
      </x:c>
      <x:c r="C911" s="2" t="str">
        <x:v>Organic Search</x:v>
      </x:c>
      <x:c r="D911" s="2" t="str">
        <x:v>MUG-001</x:v>
      </x:c>
      <x:c r="E911" s="2" t="str">
        <x:f>_xlfn.IFNA(VLOOKUP(D911,'Products'!$A$7:$I$22,2,FALSE),"Unmapped")</x:f>
        <x:v>Everyday ceramic mug</x:v>
      </x:c>
      <x:c r="F911" s="2" t="str">
        <x:f>_xlfn.IFNA(VLOOKUP(D911,'Products'!$A$7:$I$22,3,FALSE),"Unmapped")</x:f>
        <x:v>Drinkware</x:v>
      </x:c>
      <x:c r="G911" s="2" t="n">
        <x:v>1</x:v>
      </x:c>
      <x:c r="H911" s="2" t="n">
        <x:v>0</x:v>
      </x:c>
      <x:c r="I911" s="10" t="n">
        <x:v>18.95</x:v>
      </x:c>
      <x:c r="J911" s="10" t="n">
        <x:v>1.89</x:v>
      </x:c>
      <x:c r="K911" s="10" t="n">
        <x:v>6.5</x:v>
      </x:c>
      <x:c r="L911" s="10" t="n">
        <x:f>G911*I911</x:f>
        <x:v>18.95</x:v>
      </x:c>
      <x:c r="M911" s="10" t="n">
        <x:f>ROUND((L911-J911)*H911/G911,2)</x:f>
        <x:v>0</x:v>
      </x:c>
      <x:c r="N911" s="10" t="n">
        <x:f>L911-J911-M911</x:f>
        <x:v>17.06</x:v>
      </x:c>
      <x:c r="O911" s="10" t="n">
        <x:f>(G911-H911)*K911</x:f>
        <x:v>6.5</x:v>
      </x:c>
      <x:c r="P911" s="10" t="n">
        <x:f>N911-O911</x:f>
        <x:v>10.559999999999999</x:v>
      </x:c>
      <x:c r="Q911" s="9" t="n">
        <x:f>A911-WEEKDAY(A911,2)+1</x:f>
        <x:v>46293</x:v>
      </x:c>
      <x:c r="R911" s="2" t="str">
        <x:f>IF(AND(A911&gt;='Review'!$B$4,A911&lt;='Review'!$D$4),"Selected","Outside")</x:f>
        <x:v>Selected</x:v>
      </x:c>
    </x:row>
    <x:row r="912" ht="20" customHeight="1">
      <x:c r="A912" s="9" t="n">
        <x:v>46298</x:v>
      </x:c>
      <x:c r="B912" s="2" t="str">
        <x:v>MM-1652</x:v>
      </x:c>
      <x:c r="C912" s="2" t="str">
        <x:v>Email</x:v>
      </x:c>
      <x:c r="D912" s="2" t="str">
        <x:v>APP-002</x:v>
      </x:c>
      <x:c r="E912" s="2" t="str">
        <x:f>_xlfn.IFNA(VLOOKUP(D912,'Products'!$A$7:$I$22,2,FALSE),"Unmapped")</x:f>
        <x:v>Weekend hoodie</x:v>
      </x:c>
      <x:c r="F912" s="2" t="str">
        <x:f>_xlfn.IFNA(VLOOKUP(D912,'Products'!$A$7:$I$22,3,FALSE),"Unmapped")</x:f>
        <x:v>Apparel</x:v>
      </x:c>
      <x:c r="G912" s="2" t="n">
        <x:v>2</x:v>
      </x:c>
      <x:c r="H912" s="2" t="n">
        <x:v>0</x:v>
      </x:c>
      <x:c r="I912" s="10" t="n">
        <x:v>69.95</x:v>
      </x:c>
      <x:c r="J912" s="10" t="n">
        <x:v>13.99</x:v>
      </x:c>
      <x:c r="K912" s="10" t="n">
        <x:v>28</x:v>
      </x:c>
      <x:c r="L912" s="10" t="n">
        <x:f>G912*I912</x:f>
        <x:v>139.9</x:v>
      </x:c>
      <x:c r="M912" s="10" t="n">
        <x:f>ROUND((L912-J912)*H912/G912,2)</x:f>
        <x:v>0</x:v>
      </x:c>
      <x:c r="N912" s="10" t="n">
        <x:f>L912-J912-M912</x:f>
        <x:v>125.91000000000001</x:v>
      </x:c>
      <x:c r="O912" s="10" t="n">
        <x:f>(G912-H912)*K912</x:f>
        <x:v>56</x:v>
      </x:c>
      <x:c r="P912" s="10" t="n">
        <x:f>N912-O912</x:f>
        <x:v>69.91000000000001</x:v>
      </x:c>
      <x:c r="Q912" s="9" t="n">
        <x:f>A912-WEEKDAY(A912,2)+1</x:f>
        <x:v>46293</x:v>
      </x:c>
      <x:c r="R912" s="2" t="str">
        <x:f>IF(AND(A912&gt;='Review'!$B$4,A912&lt;='Review'!$D$4),"Selected","Outside")</x:f>
        <x:v>Selected</x:v>
      </x:c>
    </x:row>
    <x:row r="913" ht="20" customHeight="1">
      <x:c r="A913" s="9" t="n">
        <x:v>46298</x:v>
      </x:c>
      <x:c r="B913" s="2" t="str">
        <x:v>MM-1657</x:v>
      </x:c>
      <x:c r="C913" s="2" t="str">
        <x:v>Direct</x:v>
      </x:c>
      <x:c r="D913" s="2" t="str">
        <x:v>TUM-002</x:v>
      </x:c>
      <x:c r="E913" s="2" t="str">
        <x:f>_xlfn.IFNA(VLOOKUP(D913,'Products'!$A$7:$I$22,2,FALSE),"Unmapped")</x:f>
        <x:v>Cold brew glass cup</x:v>
      </x:c>
      <x:c r="F913" s="2" t="str">
        <x:f>_xlfn.IFNA(VLOOKUP(D913,'Products'!$A$7:$I$22,3,FALSE),"Unmapped")</x:f>
        <x:v>Drinkware</x:v>
      </x:c>
      <x:c r="G913" s="2" t="n">
        <x:v>1</x:v>
      </x:c>
      <x:c r="H913" s="2" t="n">
        <x:v>0</x:v>
      </x:c>
      <x:c r="I913" s="10" t="n">
        <x:v>24.95</x:v>
      </x:c>
      <x:c r="J913" s="10" t="n">
        <x:v>0</x:v>
      </x:c>
      <x:c r="K913" s="10" t="n">
        <x:v>9</x:v>
      </x:c>
      <x:c r="L913" s="10" t="n">
        <x:f>G913*I913</x:f>
        <x:v>24.95</x:v>
      </x:c>
      <x:c r="M913" s="10" t="n">
        <x:f>ROUND((L913-J913)*H913/G913,2)</x:f>
        <x:v>0</x:v>
      </x:c>
      <x:c r="N913" s="10" t="n">
        <x:f>L913-J913-M913</x:f>
        <x:v>24.95</x:v>
      </x:c>
      <x:c r="O913" s="10" t="n">
        <x:f>(G913-H913)*K913</x:f>
        <x:v>9</x:v>
      </x:c>
      <x:c r="P913" s="10" t="n">
        <x:f>N913-O913</x:f>
        <x:v>15.95</x:v>
      </x:c>
      <x:c r="Q913" s="9" t="n">
        <x:f>A913-WEEKDAY(A913,2)+1</x:f>
        <x:v>46293</x:v>
      </x:c>
      <x:c r="R913" s="2" t="str">
        <x:f>IF(AND(A913&gt;='Review'!$B$4,A913&lt;='Review'!$D$4),"Selected","Outside")</x:f>
        <x:v>Selected</x:v>
      </x:c>
    </x:row>
    <x:row r="914" ht="20" customHeight="1">
      <x:c r="A914" s="9" t="n">
        <x:v>46298</x:v>
      </x:c>
      <x:c r="B914" s="2" t="str">
        <x:v>MM-1659</x:v>
      </x:c>
      <x:c r="C914" s="2" t="str">
        <x:v>Direct</x:v>
      </x:c>
      <x:c r="D914" s="2" t="str">
        <x:v>APP-001</x:v>
      </x:c>
      <x:c r="E914" s="2" t="str">
        <x:f>_xlfn.IFNA(VLOOKUP(D914,'Products'!$A$7:$I$22,2,FALSE),"Unmapped")</x:f>
        <x:v>Everyday crewneck</x:v>
      </x:c>
      <x:c r="F914" s="2" t="str">
        <x:f>_xlfn.IFNA(VLOOKUP(D914,'Products'!$A$7:$I$22,3,FALSE),"Unmapped")</x:f>
        <x:v>Apparel</x:v>
      </x:c>
      <x:c r="G914" s="2" t="n">
        <x:v>2</x:v>
      </x:c>
      <x:c r="H914" s="2" t="n">
        <x:v>0</x:v>
      </x:c>
      <x:c r="I914" s="10" t="n">
        <x:v>54.95</x:v>
      </x:c>
      <x:c r="J914" s="10" t="n">
        <x:v>0</x:v>
      </x:c>
      <x:c r="K914" s="10" t="n">
        <x:v>22</x:v>
      </x:c>
      <x:c r="L914" s="10" t="n">
        <x:f>G914*I914</x:f>
        <x:v>109.9</x:v>
      </x:c>
      <x:c r="M914" s="10" t="n">
        <x:f>ROUND((L914-J914)*H914/G914,2)</x:f>
        <x:v>0</x:v>
      </x:c>
      <x:c r="N914" s="10" t="n">
        <x:f>L914-J914-M914</x:f>
        <x:v>109.9</x:v>
      </x:c>
      <x:c r="O914" s="10" t="n">
        <x:f>(G914-H914)*K914</x:f>
        <x:v>44</x:v>
      </x:c>
      <x:c r="P914" s="10" t="n">
        <x:f>N914-O914</x:f>
        <x:v>65.9</x:v>
      </x:c>
      <x:c r="Q914" s="9" t="n">
        <x:f>A914-WEEKDAY(A914,2)+1</x:f>
        <x:v>46293</x:v>
      </x:c>
      <x:c r="R914" s="2" t="str">
        <x:f>IF(AND(A914&gt;='Review'!$B$4,A914&lt;='Review'!$D$4),"Selected","Outside")</x:f>
        <x:v>Selected</x:v>
      </x:c>
    </x:row>
    <x:row r="915" ht="20" customHeight="1">
      <x:c r="A915" s="9" t="n">
        <x:v>46298</x:v>
      </x:c>
      <x:c r="B915" s="2" t="str">
        <x:v>MM-1646</x:v>
      </x:c>
      <x:c r="C915" s="2" t="str">
        <x:v>Paid Social</x:v>
      </x:c>
      <x:c r="D915" s="2" t="str">
        <x:v>TOTE-001</x:v>
      </x:c>
      <x:c r="E915" s="2" t="str">
        <x:f>_xlfn.IFNA(VLOOKUP(D915,'Products'!$A$7:$I$22,2,FALSE),"Unmapped")</x:f>
        <x:v>Market canvas tote</x:v>
      </x:c>
      <x:c r="F915" s="2" t="str">
        <x:f>_xlfn.IFNA(VLOOKUP(D915,'Products'!$A$7:$I$22,3,FALSE),"Unmapped")</x:f>
        <x:v>Accessories</x:v>
      </x:c>
      <x:c r="G915" s="2" t="n">
        <x:v>1</x:v>
      </x:c>
      <x:c r="H915" s="2" t="n">
        <x:v>0</x:v>
      </x:c>
      <x:c r="I915" s="10" t="n">
        <x:v>19.95</x:v>
      </x:c>
      <x:c r="J915" s="10" t="n">
        <x:v>1.99</x:v>
      </x:c>
      <x:c r="K915" s="10" t="n">
        <x:v>6</x:v>
      </x:c>
      <x:c r="L915" s="10" t="n">
        <x:f>G915*I915</x:f>
        <x:v>19.95</x:v>
      </x:c>
      <x:c r="M915" s="10" t="n">
        <x:f>ROUND((L915-J915)*H915/G915,2)</x:f>
        <x:v>0</x:v>
      </x:c>
      <x:c r="N915" s="10" t="n">
        <x:f>L915-J915-M915</x:f>
        <x:v>17.96</x:v>
      </x:c>
      <x:c r="O915" s="10" t="n">
        <x:f>(G915-H915)*K915</x:f>
        <x:v>6</x:v>
      </x:c>
      <x:c r="P915" s="10" t="n">
        <x:f>N915-O915</x:f>
        <x:v>11.96</x:v>
      </x:c>
      <x:c r="Q915" s="9" t="n">
        <x:f>A915-WEEKDAY(A915,2)+1</x:f>
        <x:v>46293</x:v>
      </x:c>
      <x:c r="R915" s="2" t="str">
        <x:f>IF(AND(A915&gt;='Review'!$B$4,A915&lt;='Review'!$D$4),"Selected","Outside")</x:f>
        <x:v>Selected</x:v>
      </x:c>
    </x:row>
    <x:row r="916" ht="20" customHeight="1">
      <x:c r="A916" s="9" t="n">
        <x:v>46298</x:v>
      </x:c>
      <x:c r="B916" s="2" t="str">
        <x:v>MM-1648</x:v>
      </x:c>
      <x:c r="C916" s="2" t="str">
        <x:v>Email</x:v>
      </x:c>
      <x:c r="D916" s="2" t="str">
        <x:v>MUG-001</x:v>
      </x:c>
      <x:c r="E916" s="2" t="str">
        <x:f>_xlfn.IFNA(VLOOKUP(D916,'Products'!$A$7:$I$22,2,FALSE),"Unmapped")</x:f>
        <x:v>Everyday ceramic mug</x:v>
      </x:c>
      <x:c r="F916" s="2" t="str">
        <x:f>_xlfn.IFNA(VLOOKUP(D916,'Products'!$A$7:$I$22,3,FALSE),"Unmapped")</x:f>
        <x:v>Drinkware</x:v>
      </x:c>
      <x:c r="G916" s="2" t="n">
        <x:v>1</x:v>
      </x:c>
      <x:c r="H916" s="2" t="n">
        <x:v>0</x:v>
      </x:c>
      <x:c r="I916" s="10" t="n">
        <x:v>18.95</x:v>
      </x:c>
      <x:c r="J916" s="10" t="n">
        <x:v>1.89</x:v>
      </x:c>
      <x:c r="K916" s="10" t="n">
        <x:v>6.5</x:v>
      </x:c>
      <x:c r="L916" s="10" t="n">
        <x:f>G916*I916</x:f>
        <x:v>18.95</x:v>
      </x:c>
      <x:c r="M916" s="10" t="n">
        <x:f>ROUND((L916-J916)*H916/G916,2)</x:f>
        <x:v>0</x:v>
      </x:c>
      <x:c r="N916" s="10" t="n">
        <x:f>L916-J916-M916</x:f>
        <x:v>17.06</x:v>
      </x:c>
      <x:c r="O916" s="10" t="n">
        <x:f>(G916-H916)*K916</x:f>
        <x:v>6.5</x:v>
      </x:c>
      <x:c r="P916" s="10" t="n">
        <x:f>N916-O916</x:f>
        <x:v>10.559999999999999</x:v>
      </x:c>
      <x:c r="Q916" s="9" t="n">
        <x:f>A916-WEEKDAY(A916,2)+1</x:f>
        <x:v>46293</x:v>
      </x:c>
      <x:c r="R916" s="2" t="str">
        <x:f>IF(AND(A916&gt;='Review'!$B$4,A916&lt;='Review'!$D$4),"Selected","Outside")</x:f>
        <x:v>Selected</x:v>
      </x:c>
    </x:row>
    <x:row r="917" ht="20" customHeight="1">
      <x:c r="A917" s="9" t="n">
        <x:v>46298</x:v>
      </x:c>
      <x:c r="B917" s="2" t="str">
        <x:v>MM-1648</x:v>
      </x:c>
      <x:c r="C917" s="2" t="str">
        <x:v>Email</x:v>
      </x:c>
      <x:c r="D917" s="2" t="str">
        <x:v>APP-003</x:v>
      </x:c>
      <x:c r="E917" s="2" t="str">
        <x:f>_xlfn.IFNA(VLOOKUP(D917,'Products'!$A$7:$I$22,2,FALSE),"Unmapped")</x:f>
        <x:v>Coffee club tee</x:v>
      </x:c>
      <x:c r="F917" s="2" t="str">
        <x:f>_xlfn.IFNA(VLOOKUP(D917,'Products'!$A$7:$I$22,3,FALSE),"Unmapped")</x:f>
        <x:v>Apparel</x:v>
      </x:c>
      <x:c r="G917" s="2" t="n">
        <x:v>2</x:v>
      </x:c>
      <x:c r="H917" s="2" t="n">
        <x:v>0</x:v>
      </x:c>
      <x:c r="I917" s="10" t="n">
        <x:v>29.95</x:v>
      </x:c>
      <x:c r="J917" s="10" t="n">
        <x:v>5.99</x:v>
      </x:c>
      <x:c r="K917" s="10" t="n">
        <x:v>10</x:v>
      </x:c>
      <x:c r="L917" s="10" t="n">
        <x:f>G917*I917</x:f>
        <x:v>59.9</x:v>
      </x:c>
      <x:c r="M917" s="10" t="n">
        <x:f>ROUND((L917-J917)*H917/G917,2)</x:f>
        <x:v>0</x:v>
      </x:c>
      <x:c r="N917" s="10" t="n">
        <x:f>L917-J917-M917</x:f>
        <x:v>53.91</x:v>
      </x:c>
      <x:c r="O917" s="10" t="n">
        <x:f>(G917-H917)*K917</x:f>
        <x:v>20</x:v>
      </x:c>
      <x:c r="P917" s="10" t="n">
        <x:f>N917-O917</x:f>
        <x:v>33.91</x:v>
      </x:c>
      <x:c r="Q917" s="9" t="n">
        <x:f>A917-WEEKDAY(A917,2)+1</x:f>
        <x:v>46293</x:v>
      </x:c>
      <x:c r="R917" s="2" t="str">
        <x:f>IF(AND(A917&gt;='Review'!$B$4,A917&lt;='Review'!$D$4),"Selected","Outside")</x:f>
        <x:v>Selected</x:v>
      </x:c>
    </x:row>
    <x:row r="918" ht="20" customHeight="1">
      <x:c r="A918" s="9" t="n">
        <x:v>46298</x:v>
      </x:c>
      <x:c r="B918" s="2" t="str">
        <x:v>MM-1660</x:v>
      </x:c>
      <x:c r="C918" s="2" t="str">
        <x:v>Email</x:v>
      </x:c>
      <x:c r="D918" s="2" t="str">
        <x:v>MUG-001</x:v>
      </x:c>
      <x:c r="E918" s="2" t="str">
        <x:f>_xlfn.IFNA(VLOOKUP(D918,'Products'!$A$7:$I$22,2,FALSE),"Unmapped")</x:f>
        <x:v>Everyday ceramic mug</x:v>
      </x:c>
      <x:c r="F918" s="2" t="str">
        <x:f>_xlfn.IFNA(VLOOKUP(D918,'Products'!$A$7:$I$22,3,FALSE),"Unmapped")</x:f>
        <x:v>Drinkware</x:v>
      </x:c>
      <x:c r="G918" s="2" t="n">
        <x:v>2</x:v>
      </x:c>
      <x:c r="H918" s="2" t="n">
        <x:v>0</x:v>
      </x:c>
      <x:c r="I918" s="10" t="n">
        <x:v>18.95</x:v>
      </x:c>
      <x:c r="J918" s="10" t="n">
        <x:v>3.79</x:v>
      </x:c>
      <x:c r="K918" s="10" t="n">
        <x:v>6.5</x:v>
      </x:c>
      <x:c r="L918" s="10" t="n">
        <x:f>G918*I918</x:f>
        <x:v>37.9</x:v>
      </x:c>
      <x:c r="M918" s="10" t="n">
        <x:f>ROUND((L918-J918)*H918/G918,2)</x:f>
        <x:v>0</x:v>
      </x:c>
      <x:c r="N918" s="10" t="n">
        <x:f>L918-J918-M918</x:f>
        <x:v>34.11</x:v>
      </x:c>
      <x:c r="O918" s="10" t="n">
        <x:f>(G918-H918)*K918</x:f>
        <x:v>13</x:v>
      </x:c>
      <x:c r="P918" s="10" t="n">
        <x:f>N918-O918</x:f>
        <x:v>21.11</x:v>
      </x:c>
      <x:c r="Q918" s="9" t="n">
        <x:f>A918-WEEKDAY(A918,2)+1</x:f>
        <x:v>46293</x:v>
      </x:c>
      <x:c r="R918" s="2" t="str">
        <x:f>IF(AND(A918&gt;='Review'!$B$4,A918&lt;='Review'!$D$4),"Selected","Outside")</x:f>
        <x:v>Selected</x:v>
      </x:c>
    </x:row>
    <x:row r="919" ht="20" customHeight="1">
      <x:c r="A919" s="9" t="n">
        <x:v>46298</x:v>
      </x:c>
      <x:c r="B919" s="2" t="str">
        <x:v>MM-1649</x:v>
      </x:c>
      <x:c r="C919" s="2" t="str">
        <x:v>Direct</x:v>
      </x:c>
      <x:c r="D919" s="2" t="str">
        <x:v>TOTE-001</x:v>
      </x:c>
      <x:c r="E919" s="2" t="str">
        <x:f>_xlfn.IFNA(VLOOKUP(D919,'Products'!$A$7:$I$22,2,FALSE),"Unmapped")</x:f>
        <x:v>Market canvas tote</x:v>
      </x:c>
      <x:c r="F919" s="2" t="str">
        <x:f>_xlfn.IFNA(VLOOKUP(D919,'Products'!$A$7:$I$22,3,FALSE),"Unmapped")</x:f>
        <x:v>Accessories</x:v>
      </x:c>
      <x:c r="G919" s="2" t="n">
        <x:v>1</x:v>
      </x:c>
      <x:c r="H919" s="2" t="n">
        <x:v>0</x:v>
      </x:c>
      <x:c r="I919" s="10" t="n">
        <x:v>19.95</x:v>
      </x:c>
      <x:c r="J919" s="10" t="n">
        <x:v>0</x:v>
      </x:c>
      <x:c r="K919" s="10" t="n">
        <x:v>6</x:v>
      </x:c>
      <x:c r="L919" s="10" t="n">
        <x:f>G919*I919</x:f>
        <x:v>19.95</x:v>
      </x:c>
      <x:c r="M919" s="10" t="n">
        <x:f>ROUND((L919-J919)*H919/G919,2)</x:f>
        <x:v>0</x:v>
      </x:c>
      <x:c r="N919" s="10" t="n">
        <x:f>L919-J919-M919</x:f>
        <x:v>19.95</x:v>
      </x:c>
      <x:c r="O919" s="10" t="n">
        <x:f>(G919-H919)*K919</x:f>
        <x:v>6</x:v>
      </x:c>
      <x:c r="P919" s="10" t="n">
        <x:f>N919-O919</x:f>
        <x:v>13.95</x:v>
      </x:c>
      <x:c r="Q919" s="9" t="n">
        <x:f>A919-WEEKDAY(A919,2)+1</x:f>
        <x:v>46293</x:v>
      </x:c>
      <x:c r="R919" s="2" t="str">
        <x:f>IF(AND(A919&gt;='Review'!$B$4,A919&lt;='Review'!$D$4),"Selected","Outside")</x:f>
        <x:v>Selected</x:v>
      </x:c>
    </x:row>
    <x:row r="920" ht="20" customHeight="1">
      <x:c r="A920" s="9" t="n">
        <x:v>46298</x:v>
      </x:c>
      <x:c r="B920" s="2" t="str">
        <x:v>MM-1664</x:v>
      </x:c>
      <x:c r="C920" s="2" t="str">
        <x:v>Email</x:v>
      </x:c>
      <x:c r="D920" s="2" t="str">
        <x:v>TUM-001</x:v>
      </x:c>
      <x:c r="E920" s="2" t="str">
        <x:f>_xlfn.IFNA(VLOOKUP(D920,'Products'!$A$7:$I$22,2,FALSE),"Unmapped")</x:f>
        <x:v>Maple travel tumbler</x:v>
      </x:c>
      <x:c r="F920" s="2" t="str">
        <x:f>_xlfn.IFNA(VLOOKUP(D920,'Products'!$A$7:$I$22,3,FALSE),"Unmapped")</x:f>
        <x:v>Drinkware</x:v>
      </x:c>
      <x:c r="G920" s="2" t="n">
        <x:v>1</x:v>
      </x:c>
      <x:c r="H920" s="2" t="n">
        <x:v>0</x:v>
      </x:c>
      <x:c r="I920" s="10" t="n">
        <x:v>32.95</x:v>
      </x:c>
      <x:c r="J920" s="10" t="n">
        <x:v>3.29</x:v>
      </x:c>
      <x:c r="K920" s="10" t="n">
        <x:v>12</x:v>
      </x:c>
      <x:c r="L920" s="10" t="n">
        <x:f>G920*I920</x:f>
        <x:v>32.95</x:v>
      </x:c>
      <x:c r="M920" s="10" t="n">
        <x:f>ROUND((L920-J920)*H920/G920,2)</x:f>
        <x:v>0</x:v>
      </x:c>
      <x:c r="N920" s="10" t="n">
        <x:f>L920-J920-M920</x:f>
        <x:v>29.660000000000004</x:v>
      </x:c>
      <x:c r="O920" s="10" t="n">
        <x:f>(G920-H920)*K920</x:f>
        <x:v>12</x:v>
      </x:c>
      <x:c r="P920" s="10" t="n">
        <x:f>N920-O920</x:f>
        <x:v>17.660000000000004</x:v>
      </x:c>
      <x:c r="Q920" s="9" t="n">
        <x:f>A920-WEEKDAY(A920,2)+1</x:f>
        <x:v>46293</x:v>
      </x:c>
      <x:c r="R920" s="2" t="str">
        <x:f>IF(AND(A920&gt;='Review'!$B$4,A920&lt;='Review'!$D$4),"Selected","Outside")</x:f>
        <x:v>Selected</x:v>
      </x:c>
    </x:row>
    <x:row r="921" ht="20" customHeight="1">
      <x:c r="A921" s="9" t="n">
        <x:v>46298</x:v>
      </x:c>
      <x:c r="B921" s="2" t="str">
        <x:v>MM-1645</x:v>
      </x:c>
      <x:c r="C921" s="2" t="str">
        <x:v>Organic Search</x:v>
      </x:c>
      <x:c r="D921" s="2" t="str">
        <x:v>GFT-002</x:v>
      </x:c>
      <x:c r="E921" s="2" t="str">
        <x:f>_xlfn.IFNA(VLOOKUP(D921,'Products'!$A$7:$I$22,2,FALSE),"Unmapped")</x:f>
        <x:v>Cozy weekend gift box</x:v>
      </x:c>
      <x:c r="F921" s="2" t="str">
        <x:f>_xlfn.IFNA(VLOOKUP(D921,'Products'!$A$7:$I$22,3,FALSE),"Unmapped")</x:f>
        <x:v>Gifts</x:v>
      </x:c>
      <x:c r="G921" s="2" t="n">
        <x:v>1</x:v>
      </x:c>
      <x:c r="H921" s="2" t="n">
        <x:v>0</x:v>
      </x:c>
      <x:c r="I921" s="10" t="n">
        <x:v>79.95</x:v>
      </x:c>
      <x:c r="J921" s="10" t="n">
        <x:v>0</x:v>
      </x:c>
      <x:c r="K921" s="10" t="n">
        <x:v>32</x:v>
      </x:c>
      <x:c r="L921" s="10" t="n">
        <x:f>G921*I921</x:f>
        <x:v>79.95</x:v>
      </x:c>
      <x:c r="M921" s="10" t="n">
        <x:f>ROUND((L921-J921)*H921/G921,2)</x:f>
        <x:v>0</x:v>
      </x:c>
      <x:c r="N921" s="10" t="n">
        <x:f>L921-J921-M921</x:f>
        <x:v>79.95</x:v>
      </x:c>
      <x:c r="O921" s="10" t="n">
        <x:f>(G921-H921)*K921</x:f>
        <x:v>32</x:v>
      </x:c>
      <x:c r="P921" s="10" t="n">
        <x:f>N921-O921</x:f>
        <x:v>47.95</x:v>
      </x:c>
      <x:c r="Q921" s="9" t="n">
        <x:f>A921-WEEKDAY(A921,2)+1</x:f>
        <x:v>46293</x:v>
      </x:c>
      <x:c r="R921" s="2" t="str">
        <x:f>IF(AND(A921&gt;='Review'!$B$4,A921&lt;='Review'!$D$4),"Selected","Outside")</x:f>
        <x:v>Selected</x:v>
      </x:c>
    </x:row>
    <x:row r="922" ht="20" customHeight="1">
      <x:c r="A922" s="9" t="n">
        <x:v>46298</x:v>
      </x:c>
      <x:c r="B922" s="2" t="str">
        <x:v>MM-1653</x:v>
      </x:c>
      <x:c r="C922" s="2" t="str">
        <x:v>Email</x:v>
      </x:c>
      <x:c r="D922" s="2" t="str">
        <x:v>TUM-001</x:v>
      </x:c>
      <x:c r="E922" s="2" t="str">
        <x:f>_xlfn.IFNA(VLOOKUP(D922,'Products'!$A$7:$I$22,2,FALSE),"Unmapped")</x:f>
        <x:v>Maple travel tumbler</x:v>
      </x:c>
      <x:c r="F922" s="2" t="str">
        <x:f>_xlfn.IFNA(VLOOKUP(D922,'Products'!$A$7:$I$22,3,FALSE),"Unmapped")</x:f>
        <x:v>Drinkware</x:v>
      </x:c>
      <x:c r="G922" s="2" t="n">
        <x:v>2</x:v>
      </x:c>
      <x:c r="H922" s="2" t="n">
        <x:v>0</x:v>
      </x:c>
      <x:c r="I922" s="10" t="n">
        <x:v>32.95</x:v>
      </x:c>
      <x:c r="J922" s="10" t="n">
        <x:v>6.59</x:v>
      </x:c>
      <x:c r="K922" s="10" t="n">
        <x:v>12</x:v>
      </x:c>
      <x:c r="L922" s="10" t="n">
        <x:f>G922*I922</x:f>
        <x:v>65.9</x:v>
      </x:c>
      <x:c r="M922" s="10" t="n">
        <x:f>ROUND((L922-J922)*H922/G922,2)</x:f>
        <x:v>0</x:v>
      </x:c>
      <x:c r="N922" s="10" t="n">
        <x:f>L922-J922-M922</x:f>
        <x:v>59.31</x:v>
      </x:c>
      <x:c r="O922" s="10" t="n">
        <x:f>(G922-H922)*K922</x:f>
        <x:v>24</x:v>
      </x:c>
      <x:c r="P922" s="10" t="n">
        <x:f>N922-O922</x:f>
        <x:v>35.31</x:v>
      </x:c>
      <x:c r="Q922" s="9" t="n">
        <x:f>A922-WEEKDAY(A922,2)+1</x:f>
        <x:v>46293</x:v>
      </x:c>
      <x:c r="R922" s="2" t="str">
        <x:f>IF(AND(A922&gt;='Review'!$B$4,A922&lt;='Review'!$D$4),"Selected","Outside")</x:f>
        <x:v>Selected</x:v>
      </x:c>
    </x:row>
    <x:row r="923" ht="20" customHeight="1">
      <x:c r="A923" s="9" t="n">
        <x:v>46298</x:v>
      </x:c>
      <x:c r="B923" s="2" t="str">
        <x:v>MM-1653</x:v>
      </x:c>
      <x:c r="C923" s="2" t="str">
        <x:v>Email</x:v>
      </x:c>
      <x:c r="D923" s="2" t="str">
        <x:v>APP-002</x:v>
      </x:c>
      <x:c r="E923" s="2" t="str">
        <x:f>_xlfn.IFNA(VLOOKUP(D923,'Products'!$A$7:$I$22,2,FALSE),"Unmapped")</x:f>
        <x:v>Weekend hoodie</x:v>
      </x:c>
      <x:c r="F923" s="2" t="str">
        <x:f>_xlfn.IFNA(VLOOKUP(D923,'Products'!$A$7:$I$22,3,FALSE),"Unmapped")</x:f>
        <x:v>Apparel</x:v>
      </x:c>
      <x:c r="G923" s="2" t="n">
        <x:v>3</x:v>
      </x:c>
      <x:c r="H923" s="2" t="n">
        <x:v>0</x:v>
      </x:c>
      <x:c r="I923" s="10" t="n">
        <x:v>69.95</x:v>
      </x:c>
      <x:c r="J923" s="10" t="n">
        <x:v>20.98</x:v>
      </x:c>
      <x:c r="K923" s="10" t="n">
        <x:v>28</x:v>
      </x:c>
      <x:c r="L923" s="10" t="n">
        <x:f>G923*I923</x:f>
        <x:v>209.85000000000002</x:v>
      </x:c>
      <x:c r="M923" s="10" t="n">
        <x:f>ROUND((L923-J923)*H923/G923,2)</x:f>
        <x:v>0</x:v>
      </x:c>
      <x:c r="N923" s="10" t="n">
        <x:f>L923-J923-M923</x:f>
        <x:v>188.87000000000003</x:v>
      </x:c>
      <x:c r="O923" s="10" t="n">
        <x:f>(G923-H923)*K923</x:f>
        <x:v>84</x:v>
      </x:c>
      <x:c r="P923" s="10" t="n">
        <x:f>N923-O923</x:f>
        <x:v>104.87000000000003</x:v>
      </x:c>
      <x:c r="Q923" s="9" t="n">
        <x:f>A923-WEEKDAY(A923,2)+1</x:f>
        <x:v>46293</x:v>
      </x:c>
      <x:c r="R923" s="2" t="str">
        <x:f>IF(AND(A923&gt;='Review'!$B$4,A923&lt;='Review'!$D$4),"Selected","Outside")</x:f>
        <x:v>Selected</x:v>
      </x:c>
    </x:row>
    <x:row r="924" ht="20" customHeight="1">
      <x:c r="A924" s="9" t="n">
        <x:v>46298</x:v>
      </x:c>
      <x:c r="B924" s="2" t="str">
        <x:v>MM-1655</x:v>
      </x:c>
      <x:c r="C924" s="2" t="str">
        <x:v>Organic Search</x:v>
      </x:c>
      <x:c r="D924" s="2" t="str">
        <x:v>BOT-001</x:v>
      </x:c>
      <x:c r="E924" s="2" t="str">
        <x:f>_xlfn.IFNA(VLOOKUP(D924,'Products'!$A$7:$I$22,2,FALSE),"Unmapped")</x:f>
        <x:v>Trail water bottle</x:v>
      </x:c>
      <x:c r="F924" s="2" t="str">
        <x:f>_xlfn.IFNA(VLOOKUP(D924,'Products'!$A$7:$I$22,3,FALSE),"Unmapped")</x:f>
        <x:v>Drinkware</x:v>
      </x:c>
      <x:c r="G924" s="2" t="n">
        <x:v>1</x:v>
      </x:c>
      <x:c r="H924" s="2" t="n">
        <x:v>0</x:v>
      </x:c>
      <x:c r="I924" s="10" t="n">
        <x:v>34.95</x:v>
      </x:c>
      <x:c r="J924" s="10" t="n">
        <x:v>0</x:v>
      </x:c>
      <x:c r="K924" s="10" t="n">
        <x:v>13.5</x:v>
      </x:c>
      <x:c r="L924" s="10" t="n">
        <x:f>G924*I924</x:f>
        <x:v>34.95</x:v>
      </x:c>
      <x:c r="M924" s="10" t="n">
        <x:f>ROUND((L924-J924)*H924/G924,2)</x:f>
        <x:v>0</x:v>
      </x:c>
      <x:c r="N924" s="10" t="n">
        <x:f>L924-J924-M924</x:f>
        <x:v>34.95</x:v>
      </x:c>
      <x:c r="O924" s="10" t="n">
        <x:f>(G924-H924)*K924</x:f>
        <x:v>13.5</x:v>
      </x:c>
      <x:c r="P924" s="10" t="n">
        <x:f>N924-O924</x:f>
        <x:v>21.450000000000003</x:v>
      </x:c>
      <x:c r="Q924" s="9" t="n">
        <x:f>A924-WEEKDAY(A924,2)+1</x:f>
        <x:v>46293</x:v>
      </x:c>
      <x:c r="R924" s="2" t="str">
        <x:f>IF(AND(A924&gt;='Review'!$B$4,A924&lt;='Review'!$D$4),"Selected","Outside")</x:f>
        <x:v>Selected</x:v>
      </x:c>
    </x:row>
    <x:row r="925" ht="20" customHeight="1">
      <x:c r="A925" s="9" t="n">
        <x:v>46298</x:v>
      </x:c>
      <x:c r="B925" s="2" t="str">
        <x:v>MM-1656</x:v>
      </x:c>
      <x:c r="C925" s="2" t="str">
        <x:v>Paid Social</x:v>
      </x:c>
      <x:c r="D925" s="2" t="str">
        <x:v>TUM-001</x:v>
      </x:c>
      <x:c r="E925" s="2" t="str">
        <x:f>_xlfn.IFNA(VLOOKUP(D925,'Products'!$A$7:$I$22,2,FALSE),"Unmapped")</x:f>
        <x:v>Maple travel tumbler</x:v>
      </x:c>
      <x:c r="F925" s="2" t="str">
        <x:f>_xlfn.IFNA(VLOOKUP(D925,'Products'!$A$7:$I$22,3,FALSE),"Unmapped")</x:f>
        <x:v>Drinkware</x:v>
      </x:c>
      <x:c r="G925" s="2" t="n">
        <x:v>1</x:v>
      </x:c>
      <x:c r="H925" s="2" t="n">
        <x:v>0</x:v>
      </x:c>
      <x:c r="I925" s="10" t="n">
        <x:v>32.95</x:v>
      </x:c>
      <x:c r="J925" s="10" t="n">
        <x:v>0</x:v>
      </x:c>
      <x:c r="K925" s="10" t="n">
        <x:v>12</x:v>
      </x:c>
      <x:c r="L925" s="10" t="n">
        <x:f>G925*I925</x:f>
        <x:v>32.95</x:v>
      </x:c>
      <x:c r="M925" s="10" t="n">
        <x:f>ROUND((L925-J925)*H925/G925,2)</x:f>
        <x:v>0</x:v>
      </x:c>
      <x:c r="N925" s="10" t="n">
        <x:f>L925-J925-M925</x:f>
        <x:v>32.95</x:v>
      </x:c>
      <x:c r="O925" s="10" t="n">
        <x:f>(G925-H925)*K925</x:f>
        <x:v>12</x:v>
      </x:c>
      <x:c r="P925" s="10" t="n">
        <x:f>N925-O925</x:f>
        <x:v>20.950000000000003</x:v>
      </x:c>
      <x:c r="Q925" s="9" t="n">
        <x:f>A925-WEEKDAY(A925,2)+1</x:f>
        <x:v>46293</x:v>
      </x:c>
      <x:c r="R925" s="2" t="str">
        <x:f>IF(AND(A925&gt;='Review'!$B$4,A925&lt;='Review'!$D$4),"Selected","Outside")</x:f>
        <x:v>Selected</x:v>
      </x:c>
    </x:row>
    <x:row r="926" ht="20" customHeight="1">
      <x:c r="A926" s="9" t="n">
        <x:v>46298</x:v>
      </x:c>
      <x:c r="B926" s="2" t="str">
        <x:v>MM-1656</x:v>
      </x:c>
      <x:c r="C926" s="2" t="str">
        <x:v>Paid Social</x:v>
      </x:c>
      <x:c r="D926" s="2" t="str">
        <x:v>APP-003</x:v>
      </x:c>
      <x:c r="E926" s="2" t="str">
        <x:f>_xlfn.IFNA(VLOOKUP(D926,'Products'!$A$7:$I$22,2,FALSE),"Unmapped")</x:f>
        <x:v>Coffee club tee</x:v>
      </x:c>
      <x:c r="F926" s="2" t="str">
        <x:f>_xlfn.IFNA(VLOOKUP(D926,'Products'!$A$7:$I$22,3,FALSE),"Unmapped")</x:f>
        <x:v>Apparel</x:v>
      </x:c>
      <x:c r="G926" s="2" t="n">
        <x:v>2</x:v>
      </x:c>
      <x:c r="H926" s="2" t="n">
        <x:v>0</x:v>
      </x:c>
      <x:c r="I926" s="10" t="n">
        <x:v>29.95</x:v>
      </x:c>
      <x:c r="J926" s="10" t="n">
        <x:v>0</x:v>
      </x:c>
      <x:c r="K926" s="10" t="n">
        <x:v>10</x:v>
      </x:c>
      <x:c r="L926" s="10" t="n">
        <x:f>G926*I926</x:f>
        <x:v>59.9</x:v>
      </x:c>
      <x:c r="M926" s="10" t="n">
        <x:f>ROUND((L926-J926)*H926/G926,2)</x:f>
        <x:v>0</x:v>
      </x:c>
      <x:c r="N926" s="10" t="n">
        <x:f>L926-J926-M926</x:f>
        <x:v>59.9</x:v>
      </x:c>
      <x:c r="O926" s="10" t="n">
        <x:f>(G926-H926)*K926</x:f>
        <x:v>20</x:v>
      </x:c>
      <x:c r="P926" s="10" t="n">
        <x:f>N926-O926</x:f>
        <x:v>39.9</x:v>
      </x:c>
      <x:c r="Q926" s="9" t="n">
        <x:f>A926-WEEKDAY(A926,2)+1</x:f>
        <x:v>46293</x:v>
      </x:c>
      <x:c r="R926" s="2" t="str">
        <x:f>IF(AND(A926&gt;='Review'!$B$4,A926&lt;='Review'!$D$4),"Selected","Outside")</x:f>
        <x:v>Selected</x:v>
      </x:c>
    </x:row>
    <x:row r="927" ht="20" customHeight="1">
      <x:c r="A927" s="9" t="n">
        <x:v>46298</x:v>
      </x:c>
      <x:c r="B927" s="2" t="str">
        <x:v>MM-1662</x:v>
      </x:c>
      <x:c r="C927" s="2" t="str">
        <x:v>Organic Search</x:v>
      </x:c>
      <x:c r="D927" s="2" t="str">
        <x:v>TUM-001</x:v>
      </x:c>
      <x:c r="E927" s="2" t="str">
        <x:f>_xlfn.IFNA(VLOOKUP(D927,'Products'!$A$7:$I$22,2,FALSE),"Unmapped")</x:f>
        <x:v>Maple travel tumbler</x:v>
      </x:c>
      <x:c r="F927" s="2" t="str">
        <x:f>_xlfn.IFNA(VLOOKUP(D927,'Products'!$A$7:$I$22,3,FALSE),"Unmapped")</x:f>
        <x:v>Drinkware</x:v>
      </x:c>
      <x:c r="G927" s="2" t="n">
        <x:v>3</x:v>
      </x:c>
      <x:c r="H927" s="2" t="n">
        <x:v>0</x:v>
      </x:c>
      <x:c r="I927" s="10" t="n">
        <x:v>32.95</x:v>
      </x:c>
      <x:c r="J927" s="10" t="n">
        <x:v>0</x:v>
      </x:c>
      <x:c r="K927" s="10" t="n">
        <x:v>12</x:v>
      </x:c>
      <x:c r="L927" s="10" t="n">
        <x:f>G927*I927</x:f>
        <x:v>98.85000000000001</x:v>
      </x:c>
      <x:c r="M927" s="10" t="n">
        <x:f>ROUND((L927-J927)*H927/G927,2)</x:f>
        <x:v>0</x:v>
      </x:c>
      <x:c r="N927" s="10" t="n">
        <x:f>L927-J927-M927</x:f>
        <x:v>98.85000000000001</x:v>
      </x:c>
      <x:c r="O927" s="10" t="n">
        <x:f>(G927-H927)*K927</x:f>
        <x:v>36</x:v>
      </x:c>
      <x:c r="P927" s="10" t="n">
        <x:f>N927-O927</x:f>
        <x:v>62.85000000000001</x:v>
      </x:c>
      <x:c r="Q927" s="9" t="n">
        <x:f>A927-WEEKDAY(A927,2)+1</x:f>
        <x:v>46293</x:v>
      </x:c>
      <x:c r="R927" s="2" t="str">
        <x:f>IF(AND(A927&gt;='Review'!$B$4,A927&lt;='Review'!$D$4),"Selected","Outside")</x:f>
        <x:v>Selected</x:v>
      </x:c>
    </x:row>
    <x:row r="928" ht="20" customHeight="1">
      <x:c r="A928" s="9" t="n">
        <x:v>46298</x:v>
      </x:c>
      <x:c r="B928" s="2" t="str">
        <x:v>MM-1643</x:v>
      </x:c>
      <x:c r="C928" s="2" t="str">
        <x:v>Paid Social</x:v>
      </x:c>
      <x:c r="D928" s="2" t="str">
        <x:v>GFT-001</x:v>
      </x:c>
      <x:c r="E928" s="2" t="str">
        <x:f>_xlfn.IFNA(VLOOKUP(D928,'Products'!$A$7:$I$22,2,FALSE),"Unmapped")</x:f>
        <x:v>Morning ritual gift set</x:v>
      </x:c>
      <x:c r="F928" s="2" t="str">
        <x:f>_xlfn.IFNA(VLOOKUP(D928,'Products'!$A$7:$I$22,3,FALSE),"Unmapped")</x:f>
        <x:v>Gifts</x:v>
      </x:c>
      <x:c r="G928" s="2" t="n">
        <x:v>1</x:v>
      </x:c>
      <x:c r="H928" s="2" t="n">
        <x:v>0</x:v>
      </x:c>
      <x:c r="I928" s="10" t="n">
        <x:v>59.95</x:v>
      </x:c>
      <x:c r="J928" s="10" t="n">
        <x:v>0</x:v>
      </x:c>
      <x:c r="K928" s="10" t="n">
        <x:v>24</x:v>
      </x:c>
      <x:c r="L928" s="10" t="n">
        <x:f>G928*I928</x:f>
        <x:v>59.95</x:v>
      </x:c>
      <x:c r="M928" s="10" t="n">
        <x:f>ROUND((L928-J928)*H928/G928,2)</x:f>
        <x:v>0</x:v>
      </x:c>
      <x:c r="N928" s="10" t="n">
        <x:f>L928-J928-M928</x:f>
        <x:v>59.95</x:v>
      </x:c>
      <x:c r="O928" s="10" t="n">
        <x:f>(G928-H928)*K928</x:f>
        <x:v>24</x:v>
      </x:c>
      <x:c r="P928" s="10" t="n">
        <x:f>N928-O928</x:f>
        <x:v>35.95</x:v>
      </x:c>
      <x:c r="Q928" s="9" t="n">
        <x:f>A928-WEEKDAY(A928,2)+1</x:f>
        <x:v>46293</x:v>
      </x:c>
      <x:c r="R928" s="2" t="str">
        <x:f>IF(AND(A928&gt;='Review'!$B$4,A928&lt;='Review'!$D$4),"Selected","Outside")</x:f>
        <x:v>Selected</x:v>
      </x:c>
    </x:row>
    <x:row r="929" ht="20" customHeight="1">
      <x:c r="A929" s="9" t="n">
        <x:v>46298</x:v>
      </x:c>
      <x:c r="B929" s="2" t="str">
        <x:v>MM-1663</x:v>
      </x:c>
      <x:c r="C929" s="2" t="str">
        <x:v>Direct</x:v>
      </x:c>
      <x:c r="D929" s="2" t="str">
        <x:v>PIN-001</x:v>
      </x:c>
      <x:c r="E929" s="2" t="str">
        <x:f>_xlfn.IFNA(VLOOKUP(D929,'Products'!$A$7:$I$22,2,FALSE),"Unmapped")</x:f>
        <x:v>Coffee enamel pin</x:v>
      </x:c>
      <x:c r="F929" s="2" t="str">
        <x:f>_xlfn.IFNA(VLOOKUP(D929,'Products'!$A$7:$I$22,3,FALSE),"Unmapped")</x:f>
        <x:v>Accessories</x:v>
      </x:c>
      <x:c r="G929" s="2" t="n">
        <x:v>3</x:v>
      </x:c>
      <x:c r="H929" s="2" t="n">
        <x:v>0</x:v>
      </x:c>
      <x:c r="I929" s="10" t="n">
        <x:v>9.95</x:v>
      </x:c>
      <x:c r="J929" s="10" t="n">
        <x:v>0</x:v>
      </x:c>
      <x:c r="K929" s="10" t="n">
        <x:v>2.5</x:v>
      </x:c>
      <x:c r="L929" s="10" t="n">
        <x:f>G929*I929</x:f>
        <x:v>29.849999999999998</x:v>
      </x:c>
      <x:c r="M929" s="10" t="n">
        <x:f>ROUND((L929-J929)*H929/G929,2)</x:f>
        <x:v>0</x:v>
      </x:c>
      <x:c r="N929" s="10" t="n">
        <x:f>L929-J929-M929</x:f>
        <x:v>29.849999999999998</x:v>
      </x:c>
      <x:c r="O929" s="10" t="n">
        <x:f>(G929-H929)*K929</x:f>
        <x:v>7.5</x:v>
      </x:c>
      <x:c r="P929" s="10" t="n">
        <x:f>N929-O929</x:f>
        <x:v>22.349999999999998</x:v>
      </x:c>
      <x:c r="Q929" s="9" t="n">
        <x:f>A929-WEEKDAY(A929,2)+1</x:f>
        <x:v>46293</x:v>
      </x:c>
      <x:c r="R929" s="2" t="str">
        <x:f>IF(AND(A929&gt;='Review'!$B$4,A929&lt;='Review'!$D$4),"Selected","Outside")</x:f>
        <x:v>Selected</x:v>
      </x:c>
    </x:row>
    <x:row r="930" ht="20" customHeight="1">
      <x:c r="A930" s="9" t="n">
        <x:v>46298</x:v>
      </x:c>
      <x:c r="B930" s="2" t="str">
        <x:v>MM-1650</x:v>
      </x:c>
      <x:c r="C930" s="2" t="str">
        <x:v>Direct</x:v>
      </x:c>
      <x:c r="D930" s="2" t="str">
        <x:v>TUM-001</x:v>
      </x:c>
      <x:c r="E930" s="2" t="str">
        <x:f>_xlfn.IFNA(VLOOKUP(D930,'Products'!$A$7:$I$22,2,FALSE),"Unmapped")</x:f>
        <x:v>Maple travel tumbler</x:v>
      </x:c>
      <x:c r="F930" s="2" t="str">
        <x:f>_xlfn.IFNA(VLOOKUP(D930,'Products'!$A$7:$I$22,3,FALSE),"Unmapped")</x:f>
        <x:v>Drinkware</x:v>
      </x:c>
      <x:c r="G930" s="2" t="n">
        <x:v>1</x:v>
      </x:c>
      <x:c r="H930" s="2" t="n">
        <x:v>0</x:v>
      </x:c>
      <x:c r="I930" s="10" t="n">
        <x:v>32.95</x:v>
      </x:c>
      <x:c r="J930" s="10" t="n">
        <x:v>0</x:v>
      </x:c>
      <x:c r="K930" s="10" t="n">
        <x:v>12</x:v>
      </x:c>
      <x:c r="L930" s="10" t="n">
        <x:f>G930*I930</x:f>
        <x:v>32.95</x:v>
      </x:c>
      <x:c r="M930" s="10" t="n">
        <x:f>ROUND((L930-J930)*H930/G930,2)</x:f>
        <x:v>0</x:v>
      </x:c>
      <x:c r="N930" s="10" t="n">
        <x:f>L930-J930-M930</x:f>
        <x:v>32.95</x:v>
      </x:c>
      <x:c r="O930" s="10" t="n">
        <x:f>(G930-H930)*K930</x:f>
        <x:v>12</x:v>
      </x:c>
      <x:c r="P930" s="10" t="n">
        <x:f>N930-O930</x:f>
        <x:v>20.950000000000003</x:v>
      </x:c>
      <x:c r="Q930" s="9" t="n">
        <x:f>A930-WEEKDAY(A930,2)+1</x:f>
        <x:v>46293</x:v>
      </x:c>
      <x:c r="R930" s="2" t="str">
        <x:f>IF(AND(A930&gt;='Review'!$B$4,A930&lt;='Review'!$D$4),"Selected","Outside")</x:f>
        <x:v>Selected</x:v>
      </x:c>
    </x:row>
    <x:row r="931" ht="20" customHeight="1">
      <x:c r="A931" s="9" t="n">
        <x:v>46298</x:v>
      </x:c>
      <x:c r="B931" s="2" t="str">
        <x:v>MM-1654</x:v>
      </x:c>
      <x:c r="C931" s="2" t="str">
        <x:v>Organic Search</x:v>
      </x:c>
      <x:c r="D931" s="2" t="str">
        <x:v>APP-002</x:v>
      </x:c>
      <x:c r="E931" s="2" t="str">
        <x:f>_xlfn.IFNA(VLOOKUP(D931,'Products'!$A$7:$I$22,2,FALSE),"Unmapped")</x:f>
        <x:v>Weekend hoodie</x:v>
      </x:c>
      <x:c r="F931" s="2" t="str">
        <x:f>_xlfn.IFNA(VLOOKUP(D931,'Products'!$A$7:$I$22,3,FALSE),"Unmapped")</x:f>
        <x:v>Apparel</x:v>
      </x:c>
      <x:c r="G931" s="2" t="n">
        <x:v>2</x:v>
      </x:c>
      <x:c r="H931" s="2" t="n">
        <x:v>0</x:v>
      </x:c>
      <x:c r="I931" s="10" t="n">
        <x:v>69.95</x:v>
      </x:c>
      <x:c r="J931" s="10" t="n">
        <x:v>13.99</x:v>
      </x:c>
      <x:c r="K931" s="10" t="n">
        <x:v>28</x:v>
      </x:c>
      <x:c r="L931" s="10" t="n">
        <x:f>G931*I931</x:f>
        <x:v>139.9</x:v>
      </x:c>
      <x:c r="M931" s="10" t="n">
        <x:f>ROUND((L931-J931)*H931/G931,2)</x:f>
        <x:v>0</x:v>
      </x:c>
      <x:c r="N931" s="10" t="n">
        <x:f>L931-J931-M931</x:f>
        <x:v>125.91000000000001</x:v>
      </x:c>
      <x:c r="O931" s="10" t="n">
        <x:f>(G931-H931)*K931</x:f>
        <x:v>56</x:v>
      </x:c>
      <x:c r="P931" s="10" t="n">
        <x:f>N931-O931</x:f>
        <x:v>69.91000000000001</x:v>
      </x:c>
      <x:c r="Q931" s="9" t="n">
        <x:f>A931-WEEKDAY(A931,2)+1</x:f>
        <x:v>46293</x:v>
      </x:c>
      <x:c r="R931" s="2" t="str">
        <x:f>IF(AND(A931&gt;='Review'!$B$4,A931&lt;='Review'!$D$4),"Selected","Outside")</x:f>
        <x:v>Selected</x:v>
      </x:c>
    </x:row>
    <x:row r="932" ht="20" customHeight="1">
      <x:c r="A932" s="9" t="n">
        <x:v>46298</x:v>
      </x:c>
      <x:c r="B932" s="2" t="str">
        <x:v>MM-1654</x:v>
      </x:c>
      <x:c r="C932" s="2" t="str">
        <x:v>Organic Search</x:v>
      </x:c>
      <x:c r="D932" s="2" t="str">
        <x:v>HAT-001</x:v>
      </x:c>
      <x:c r="E932" s="2" t="str">
        <x:f>_xlfn.IFNA(VLOOKUP(D932,'Products'!$A$7:$I$22,2,FALSE),"Unmapped")</x:f>
        <x:v>Classic canvas cap</x:v>
      </x:c>
      <x:c r="F932" s="2" t="str">
        <x:f>_xlfn.IFNA(VLOOKUP(D932,'Products'!$A$7:$I$22,3,FALSE),"Unmapped")</x:f>
        <x:v>Accessories</x:v>
      </x:c>
      <x:c r="G932" s="2" t="n">
        <x:v>2</x:v>
      </x:c>
      <x:c r="H932" s="2" t="n">
        <x:v>0</x:v>
      </x:c>
      <x:c r="I932" s="10" t="n">
        <x:v>24.95</x:v>
      </x:c>
      <x:c r="J932" s="10" t="n">
        <x:v>0</x:v>
      </x:c>
      <x:c r="K932" s="10" t="n">
        <x:v>8.5</x:v>
      </x:c>
      <x:c r="L932" s="10" t="n">
        <x:f>G932*I932</x:f>
        <x:v>49.9</x:v>
      </x:c>
      <x:c r="M932" s="10" t="n">
        <x:f>ROUND((L932-J932)*H932/G932,2)</x:f>
        <x:v>0</x:v>
      </x:c>
      <x:c r="N932" s="10" t="n">
        <x:f>L932-J932-M932</x:f>
        <x:v>49.9</x:v>
      </x:c>
      <x:c r="O932" s="10" t="n">
        <x:f>(G932-H932)*K932</x:f>
        <x:v>17</x:v>
      </x:c>
      <x:c r="P932" s="10" t="n">
        <x:f>N932-O932</x:f>
        <x:v>32.9</x:v>
      </x:c>
      <x:c r="Q932" s="9" t="n">
        <x:f>A932-WEEKDAY(A932,2)+1</x:f>
        <x:v>46293</x:v>
      </x:c>
      <x:c r="R932" s="2" t="str">
        <x:f>IF(AND(A932&gt;='Review'!$B$4,A932&lt;='Review'!$D$4),"Selected","Outside")</x:f>
        <x:v>Selected</x:v>
      </x:c>
    </x:row>
    <x:row r="933" ht="20" customHeight="1">
      <x:c r="A933" s="9" t="n">
        <x:v>46298</x:v>
      </x:c>
      <x:c r="B933" s="2" t="str">
        <x:v>MM-1654</x:v>
      </x:c>
      <x:c r="C933" s="2" t="str">
        <x:v>Organic Search</x:v>
      </x:c>
      <x:c r="D933" s="2" t="str">
        <x:v>TUM-002</x:v>
      </x:c>
      <x:c r="E933" s="2" t="str">
        <x:f>_xlfn.IFNA(VLOOKUP(D933,'Products'!$A$7:$I$22,2,FALSE),"Unmapped")</x:f>
        <x:v>Cold brew glass cup</x:v>
      </x:c>
      <x:c r="F933" s="2" t="str">
        <x:f>_xlfn.IFNA(VLOOKUP(D933,'Products'!$A$7:$I$22,3,FALSE),"Unmapped")</x:f>
        <x:v>Drinkware</x:v>
      </x:c>
      <x:c r="G933" s="2" t="n">
        <x:v>1</x:v>
      </x:c>
      <x:c r="H933" s="2" t="n">
        <x:v>0</x:v>
      </x:c>
      <x:c r="I933" s="10" t="n">
        <x:v>24.95</x:v>
      </x:c>
      <x:c r="J933" s="10" t="n">
        <x:v>0</x:v>
      </x:c>
      <x:c r="K933" s="10" t="n">
        <x:v>9</x:v>
      </x:c>
      <x:c r="L933" s="10" t="n">
        <x:f>G933*I933</x:f>
        <x:v>24.95</x:v>
      </x:c>
      <x:c r="M933" s="10" t="n">
        <x:f>ROUND((L933-J933)*H933/G933,2)</x:f>
        <x:v>0</x:v>
      </x:c>
      <x:c r="N933" s="10" t="n">
        <x:f>L933-J933-M933</x:f>
        <x:v>24.95</x:v>
      </x:c>
      <x:c r="O933" s="10" t="n">
        <x:f>(G933-H933)*K933</x:f>
        <x:v>9</x:v>
      </x:c>
      <x:c r="P933" s="10" t="n">
        <x:f>N933-O933</x:f>
        <x:v>15.95</x:v>
      </x:c>
      <x:c r="Q933" s="9" t="n">
        <x:f>A933-WEEKDAY(A933,2)+1</x:f>
        <x:v>46293</x:v>
      </x:c>
      <x:c r="R933" s="2" t="str">
        <x:f>IF(AND(A933&gt;='Review'!$B$4,A933&lt;='Review'!$D$4),"Selected","Outside")</x:f>
        <x:v>Selected</x:v>
      </x:c>
    </x:row>
    <x:row r="934" ht="20" customHeight="1">
      <x:c r="A934" s="9" t="n">
        <x:v>46299</x:v>
      </x:c>
      <x:c r="B934" s="2" t="str">
        <x:v>MM-1669</x:v>
      </x:c>
      <x:c r="C934" s="2" t="str">
        <x:v>Paid Social</x:v>
      </x:c>
      <x:c r="D934" s="2" t="str">
        <x:v>BOT-001</x:v>
      </x:c>
      <x:c r="E934" s="2" t="str">
        <x:f>_xlfn.IFNA(VLOOKUP(D934,'Products'!$A$7:$I$22,2,FALSE),"Unmapped")</x:f>
        <x:v>Trail water bottle</x:v>
      </x:c>
      <x:c r="F934" s="2" t="str">
        <x:f>_xlfn.IFNA(VLOOKUP(D934,'Products'!$A$7:$I$22,3,FALSE),"Unmapped")</x:f>
        <x:v>Drinkware</x:v>
      </x:c>
      <x:c r="G934" s="2" t="n">
        <x:v>1</x:v>
      </x:c>
      <x:c r="H934" s="2" t="n">
        <x:v>0</x:v>
      </x:c>
      <x:c r="I934" s="10" t="n">
        <x:v>34.95</x:v>
      </x:c>
      <x:c r="J934" s="10" t="n">
        <x:v>0</x:v>
      </x:c>
      <x:c r="K934" s="10" t="n">
        <x:v>13.5</x:v>
      </x:c>
      <x:c r="L934" s="10" t="n">
        <x:f>G934*I934</x:f>
        <x:v>34.95</x:v>
      </x:c>
      <x:c r="M934" s="10" t="n">
        <x:f>ROUND((L934-J934)*H934/G934,2)</x:f>
        <x:v>0</x:v>
      </x:c>
      <x:c r="N934" s="10" t="n">
        <x:f>L934-J934-M934</x:f>
        <x:v>34.95</x:v>
      </x:c>
      <x:c r="O934" s="10" t="n">
        <x:f>(G934-H934)*K934</x:f>
        <x:v>13.5</x:v>
      </x:c>
      <x:c r="P934" s="10" t="n">
        <x:f>N934-O934</x:f>
        <x:v>21.450000000000003</x:v>
      </x:c>
      <x:c r="Q934" s="9" t="n">
        <x:f>A934-WEEKDAY(A934,2)+1</x:f>
        <x:v>46293</x:v>
      </x:c>
      <x:c r="R934" s="2" t="str">
        <x:f>IF(AND(A934&gt;='Review'!$B$4,A934&lt;='Review'!$D$4),"Selected","Outside")</x:f>
        <x:v>Selected</x:v>
      </x:c>
    </x:row>
    <x:row r="935" ht="20" customHeight="1">
      <x:c r="A935" s="9" t="n">
        <x:v>46299</x:v>
      </x:c>
      <x:c r="B935" s="2" t="str">
        <x:v>MM-1665</x:v>
      </x:c>
      <x:c r="C935" s="2" t="str">
        <x:v>Organic Search</x:v>
      </x:c>
      <x:c r="D935" s="2" t="str">
        <x:v>GFT-001</x:v>
      </x:c>
      <x:c r="E935" s="2" t="str">
        <x:f>_xlfn.IFNA(VLOOKUP(D935,'Products'!$A$7:$I$22,2,FALSE),"Unmapped")</x:f>
        <x:v>Morning ritual gift set</x:v>
      </x:c>
      <x:c r="F935" s="2" t="str">
        <x:f>_xlfn.IFNA(VLOOKUP(D935,'Products'!$A$7:$I$22,3,FALSE),"Unmapped")</x:f>
        <x:v>Gifts</x:v>
      </x:c>
      <x:c r="G935" s="2" t="n">
        <x:v>1</x:v>
      </x:c>
      <x:c r="H935" s="2" t="n">
        <x:v>0</x:v>
      </x:c>
      <x:c r="I935" s="10" t="n">
        <x:v>59.95</x:v>
      </x:c>
      <x:c r="J935" s="10" t="n">
        <x:v>0</x:v>
      </x:c>
      <x:c r="K935" s="10" t="n">
        <x:v>24</x:v>
      </x:c>
      <x:c r="L935" s="10" t="n">
        <x:f>G935*I935</x:f>
        <x:v>59.95</x:v>
      </x:c>
      <x:c r="M935" s="10" t="n">
        <x:f>ROUND((L935-J935)*H935/G935,2)</x:f>
        <x:v>0</x:v>
      </x:c>
      <x:c r="N935" s="10" t="n">
        <x:f>L935-J935-M935</x:f>
        <x:v>59.95</x:v>
      </x:c>
      <x:c r="O935" s="10" t="n">
        <x:f>(G935-H935)*K935</x:f>
        <x:v>24</x:v>
      </x:c>
      <x:c r="P935" s="10" t="n">
        <x:f>N935-O935</x:f>
        <x:v>35.95</x:v>
      </x:c>
      <x:c r="Q935" s="9" t="n">
        <x:f>A935-WEEKDAY(A935,2)+1</x:f>
        <x:v>46293</x:v>
      </x:c>
      <x:c r="R935" s="2" t="str">
        <x:f>IF(AND(A935&gt;='Review'!$B$4,A935&lt;='Review'!$D$4),"Selected","Outside")</x:f>
        <x:v>Selected</x:v>
      </x:c>
    </x:row>
    <x:row r="936" ht="20" customHeight="1">
      <x:c r="A936" s="9" t="n">
        <x:v>46299</x:v>
      </x:c>
      <x:c r="B936" s="2" t="str">
        <x:v>MM-1666</x:v>
      </x:c>
      <x:c r="C936" s="2" t="str">
        <x:v>Email</x:v>
      </x:c>
      <x:c r="D936" s="2" t="str">
        <x:v>TUM-002</x:v>
      </x:c>
      <x:c r="E936" s="2" t="str">
        <x:f>_xlfn.IFNA(VLOOKUP(D936,'Products'!$A$7:$I$22,2,FALSE),"Unmapped")</x:f>
        <x:v>Cold brew glass cup</x:v>
      </x:c>
      <x:c r="F936" s="2" t="str">
        <x:f>_xlfn.IFNA(VLOOKUP(D936,'Products'!$A$7:$I$22,3,FALSE),"Unmapped")</x:f>
        <x:v>Drinkware</x:v>
      </x:c>
      <x:c r="G936" s="2" t="n">
        <x:v>1</x:v>
      </x:c>
      <x:c r="H936" s="2" t="n">
        <x:v>0</x:v>
      </x:c>
      <x:c r="I936" s="10" t="n">
        <x:v>24.95</x:v>
      </x:c>
      <x:c r="J936" s="10" t="n">
        <x:v>2.49</x:v>
      </x:c>
      <x:c r="K936" s="10" t="n">
        <x:v>9</x:v>
      </x:c>
      <x:c r="L936" s="10" t="n">
        <x:f>G936*I936</x:f>
        <x:v>24.95</x:v>
      </x:c>
      <x:c r="M936" s="10" t="n">
        <x:f>ROUND((L936-J936)*H936/G936,2)</x:f>
        <x:v>0</x:v>
      </x:c>
      <x:c r="N936" s="10" t="n">
        <x:f>L936-J936-M936</x:f>
        <x:v>22.46</x:v>
      </x:c>
      <x:c r="O936" s="10" t="n">
        <x:f>(G936-H936)*K936</x:f>
        <x:v>9</x:v>
      </x:c>
      <x:c r="P936" s="10" t="n">
        <x:f>N936-O936</x:f>
        <x:v>13.46</x:v>
      </x:c>
      <x:c r="Q936" s="9" t="n">
        <x:f>A936-WEEKDAY(A936,2)+1</x:f>
        <x:v>46293</x:v>
      </x:c>
      <x:c r="R936" s="2" t="str">
        <x:f>IF(AND(A936&gt;='Review'!$B$4,A936&lt;='Review'!$D$4),"Selected","Outside")</x:f>
        <x:v>Selected</x:v>
      </x:c>
    </x:row>
    <x:row r="937" ht="20" customHeight="1">
      <x:c r="A937" s="9" t="n">
        <x:v>46299</x:v>
      </x:c>
      <x:c r="B937" s="2" t="str">
        <x:v>MM-1671</x:v>
      </x:c>
      <x:c r="C937" s="2" t="str">
        <x:v>Email</x:v>
      </x:c>
      <x:c r="D937" s="2" t="str">
        <x:v>APP-001</x:v>
      </x:c>
      <x:c r="E937" s="2" t="str">
        <x:f>_xlfn.IFNA(VLOOKUP(D937,'Products'!$A$7:$I$22,2,FALSE),"Unmapped")</x:f>
        <x:v>Everyday crewneck</x:v>
      </x:c>
      <x:c r="F937" s="2" t="str">
        <x:f>_xlfn.IFNA(VLOOKUP(D937,'Products'!$A$7:$I$22,3,FALSE),"Unmapped")</x:f>
        <x:v>Apparel</x:v>
      </x:c>
      <x:c r="G937" s="2" t="n">
        <x:v>1</x:v>
      </x:c>
      <x:c r="H937" s="2" t="n">
        <x:v>0</x:v>
      </x:c>
      <x:c r="I937" s="10" t="n">
        <x:v>54.95</x:v>
      </x:c>
      <x:c r="J937" s="10" t="n">
        <x:v>5.49</x:v>
      </x:c>
      <x:c r="K937" s="10" t="n">
        <x:v>22</x:v>
      </x:c>
      <x:c r="L937" s="10" t="n">
        <x:f>G937*I937</x:f>
        <x:v>54.95</x:v>
      </x:c>
      <x:c r="M937" s="10" t="n">
        <x:f>ROUND((L937-J937)*H937/G937,2)</x:f>
        <x:v>0</x:v>
      </x:c>
      <x:c r="N937" s="10" t="n">
        <x:f>L937-J937-M937</x:f>
        <x:v>49.46</x:v>
      </x:c>
      <x:c r="O937" s="10" t="n">
        <x:f>(G937-H937)*K937</x:f>
        <x:v>22</x:v>
      </x:c>
      <x:c r="P937" s="10" t="n">
        <x:f>N937-O937</x:f>
        <x:v>27.46</x:v>
      </x:c>
      <x:c r="Q937" s="9" t="n">
        <x:f>A937-WEEKDAY(A937,2)+1</x:f>
        <x:v>46293</x:v>
      </x:c>
      <x:c r="R937" s="2" t="str">
        <x:f>IF(AND(A937&gt;='Review'!$B$4,A937&lt;='Review'!$D$4),"Selected","Outside")</x:f>
        <x:v>Selected</x:v>
      </x:c>
    </x:row>
    <x:row r="938" ht="20" customHeight="1">
      <x:c r="A938" s="9" t="n">
        <x:v>46299</x:v>
      </x:c>
      <x:c r="B938" s="2" t="str">
        <x:v>MM-1671</x:v>
      </x:c>
      <x:c r="C938" s="2" t="str">
        <x:v>Email</x:v>
      </x:c>
      <x:c r="D938" s="2" t="str">
        <x:v>KEY-001</x:v>
      </x:c>
      <x:c r="E938" s="2" t="str">
        <x:f>_xlfn.IFNA(VLOOKUP(D938,'Products'!$A$7:$I$22,2,FALSE),"Unmapped")</x:f>
        <x:v>Maple keyring</x:v>
      </x:c>
      <x:c r="F938" s="2" t="str">
        <x:f>_xlfn.IFNA(VLOOKUP(D938,'Products'!$A$7:$I$22,3,FALSE),"Unmapped")</x:f>
        <x:v>Accessories</x:v>
      </x:c>
      <x:c r="G938" s="2" t="n">
        <x:v>1</x:v>
      </x:c>
      <x:c r="H938" s="2" t="n">
        <x:v>0</x:v>
      </x:c>
      <x:c r="I938" s="10" t="n">
        <x:v>12.95</x:v>
      </x:c>
      <x:c r="J938" s="10" t="n">
        <x:v>1.29</x:v>
      </x:c>
      <x:c r="K938" s="10" t="n">
        <x:v>3.5</x:v>
      </x:c>
      <x:c r="L938" s="10" t="n">
        <x:f>G938*I938</x:f>
        <x:v>12.95</x:v>
      </x:c>
      <x:c r="M938" s="10" t="n">
        <x:f>ROUND((L938-J938)*H938/G938,2)</x:f>
        <x:v>0</x:v>
      </x:c>
      <x:c r="N938" s="10" t="n">
        <x:f>L938-J938-M938</x:f>
        <x:v>11.66</x:v>
      </x:c>
      <x:c r="O938" s="10" t="n">
        <x:f>(G938-H938)*K938</x:f>
        <x:v>3.5</x:v>
      </x:c>
      <x:c r="P938" s="10" t="n">
        <x:f>N938-O938</x:f>
        <x:v>8.16</x:v>
      </x:c>
      <x:c r="Q938" s="9" t="n">
        <x:f>A938-WEEKDAY(A938,2)+1</x:f>
        <x:v>46293</x:v>
      </x:c>
      <x:c r="R938" s="2" t="str">
        <x:f>IF(AND(A938&gt;='Review'!$B$4,A938&lt;='Review'!$D$4),"Selected","Outside")</x:f>
        <x:v>Selected</x:v>
      </x:c>
    </x:row>
    <x:row r="939" ht="20" customHeight="1">
      <x:c r="A939" s="9" t="n">
        <x:v>46299</x:v>
      </x:c>
      <x:c r="B939" s="2" t="str">
        <x:v>MM-1667</x:v>
      </x:c>
      <x:c r="C939" s="2" t="str">
        <x:v>Organic Search</x:v>
      </x:c>
      <x:c r="D939" s="2" t="str">
        <x:v>APP-003</x:v>
      </x:c>
      <x:c r="E939" s="2" t="str">
        <x:f>_xlfn.IFNA(VLOOKUP(D939,'Products'!$A$7:$I$22,2,FALSE),"Unmapped")</x:f>
        <x:v>Coffee club tee</x:v>
      </x:c>
      <x:c r="F939" s="2" t="str">
        <x:f>_xlfn.IFNA(VLOOKUP(D939,'Products'!$A$7:$I$22,3,FALSE),"Unmapped")</x:f>
        <x:v>Apparel</x:v>
      </x:c>
      <x:c r="G939" s="2" t="n">
        <x:v>1</x:v>
      </x:c>
      <x:c r="H939" s="2" t="n">
        <x:v>0</x:v>
      </x:c>
      <x:c r="I939" s="10" t="n">
        <x:v>29.95</x:v>
      </x:c>
      <x:c r="J939" s="10" t="n">
        <x:v>0</x:v>
      </x:c>
      <x:c r="K939" s="10" t="n">
        <x:v>10</x:v>
      </x:c>
      <x:c r="L939" s="10" t="n">
        <x:f>G939*I939</x:f>
        <x:v>29.95</x:v>
      </x:c>
      <x:c r="M939" s="10" t="n">
        <x:f>ROUND((L939-J939)*H939/G939,2)</x:f>
        <x:v>0</x:v>
      </x:c>
      <x:c r="N939" s="10" t="n">
        <x:f>L939-J939-M939</x:f>
        <x:v>29.95</x:v>
      </x:c>
      <x:c r="O939" s="10" t="n">
        <x:f>(G939-H939)*K939</x:f>
        <x:v>10</x:v>
      </x:c>
      <x:c r="P939" s="10" t="n">
        <x:f>N939-O939</x:f>
        <x:v>19.95</x:v>
      </x:c>
      <x:c r="Q939" s="9" t="n">
        <x:f>A939-WEEKDAY(A939,2)+1</x:f>
        <x:v>46293</x:v>
      </x:c>
      <x:c r="R939" s="2" t="str">
        <x:f>IF(AND(A939&gt;='Review'!$B$4,A939&lt;='Review'!$D$4),"Selected","Outside")</x:f>
        <x:v>Selected</x:v>
      </x:c>
    </x:row>
    <x:row r="940" ht="20" customHeight="1">
      <x:c r="A940" s="9" t="n">
        <x:v>46299</x:v>
      </x:c>
      <x:c r="B940" s="2" t="str">
        <x:v>MM-1672</x:v>
      </x:c>
      <x:c r="C940" s="2" t="str">
        <x:v>Paid Social</x:v>
      </x:c>
      <x:c r="D940" s="2" t="str">
        <x:v>TOTE-001</x:v>
      </x:c>
      <x:c r="E940" s="2" t="str">
        <x:f>_xlfn.IFNA(VLOOKUP(D940,'Products'!$A$7:$I$22,2,FALSE),"Unmapped")</x:f>
        <x:v>Market canvas tote</x:v>
      </x:c>
      <x:c r="F940" s="2" t="str">
        <x:f>_xlfn.IFNA(VLOOKUP(D940,'Products'!$A$7:$I$22,3,FALSE),"Unmapped")</x:f>
        <x:v>Accessories</x:v>
      </x:c>
      <x:c r="G940" s="2" t="n">
        <x:v>2</x:v>
      </x:c>
      <x:c r="H940" s="2" t="n">
        <x:v>0</x:v>
      </x:c>
      <x:c r="I940" s="10" t="n">
        <x:v>19.95</x:v>
      </x:c>
      <x:c r="J940" s="10" t="n">
        <x:v>3.99</x:v>
      </x:c>
      <x:c r="K940" s="10" t="n">
        <x:v>6</x:v>
      </x:c>
      <x:c r="L940" s="10" t="n">
        <x:f>G940*I940</x:f>
        <x:v>39.9</x:v>
      </x:c>
      <x:c r="M940" s="10" t="n">
        <x:f>ROUND((L940-J940)*H940/G940,2)</x:f>
        <x:v>0</x:v>
      </x:c>
      <x:c r="N940" s="10" t="n">
        <x:f>L940-J940-M940</x:f>
        <x:v>35.91</x:v>
      </x:c>
      <x:c r="O940" s="10" t="n">
        <x:f>(G940-H940)*K940</x:f>
        <x:v>12</x:v>
      </x:c>
      <x:c r="P940" s="10" t="n">
        <x:f>N940-O940</x:f>
        <x:v>23.909999999999997</x:v>
      </x:c>
      <x:c r="Q940" s="9" t="n">
        <x:f>A940-WEEKDAY(A940,2)+1</x:f>
        <x:v>46293</x:v>
      </x:c>
      <x:c r="R940" s="2" t="str">
        <x:f>IF(AND(A940&gt;='Review'!$B$4,A940&lt;='Review'!$D$4),"Selected","Outside")</x:f>
        <x:v>Selected</x:v>
      </x:c>
    </x:row>
    <x:row r="941" ht="20" customHeight="1">
      <x:c r="A941" s="9" t="n">
        <x:v>46299</x:v>
      </x:c>
      <x:c r="B941" s="2" t="str">
        <x:v>MM-1670</x:v>
      </x:c>
      <x:c r="C941" s="2" t="str">
        <x:v>Paid Social</x:v>
      </x:c>
      <x:c r="D941" s="2" t="str">
        <x:v>TUM-002</x:v>
      </x:c>
      <x:c r="E941" s="2" t="str">
        <x:f>_xlfn.IFNA(VLOOKUP(D941,'Products'!$A$7:$I$22,2,FALSE),"Unmapped")</x:f>
        <x:v>Cold brew glass cup</x:v>
      </x:c>
      <x:c r="F941" s="2" t="str">
        <x:f>_xlfn.IFNA(VLOOKUP(D941,'Products'!$A$7:$I$22,3,FALSE),"Unmapped")</x:f>
        <x:v>Drinkware</x:v>
      </x:c>
      <x:c r="G941" s="2" t="n">
        <x:v>1</x:v>
      </x:c>
      <x:c r="H941" s="2" t="n">
        <x:v>0</x:v>
      </x:c>
      <x:c r="I941" s="10" t="n">
        <x:v>24.95</x:v>
      </x:c>
      <x:c r="J941" s="10" t="n">
        <x:v>0</x:v>
      </x:c>
      <x:c r="K941" s="10" t="n">
        <x:v>9</x:v>
      </x:c>
      <x:c r="L941" s="10" t="n">
        <x:f>G941*I941</x:f>
        <x:v>24.95</x:v>
      </x:c>
      <x:c r="M941" s="10" t="n">
        <x:f>ROUND((L941-J941)*H941/G941,2)</x:f>
        <x:v>0</x:v>
      </x:c>
      <x:c r="N941" s="10" t="n">
        <x:f>L941-J941-M941</x:f>
        <x:v>24.95</x:v>
      </x:c>
      <x:c r="O941" s="10" t="n">
        <x:f>(G941-H941)*K941</x:f>
        <x:v>9</x:v>
      </x:c>
      <x:c r="P941" s="10" t="n">
        <x:f>N941-O941</x:f>
        <x:v>15.95</x:v>
      </x:c>
      <x:c r="Q941" s="9" t="n">
        <x:f>A941-WEEKDAY(A941,2)+1</x:f>
        <x:v>46293</x:v>
      </x:c>
      <x:c r="R941" s="2" t="str">
        <x:f>IF(AND(A941&gt;='Review'!$B$4,A941&lt;='Review'!$D$4),"Selected","Outside")</x:f>
        <x:v>Selected</x:v>
      </x:c>
    </x:row>
    <x:row r="942" ht="20" customHeight="1">
      <x:c r="A942" s="9" t="n">
        <x:v>46299</x:v>
      </x:c>
      <x:c r="B942" s="2" t="str">
        <x:v>MM-1674</x:v>
      </x:c>
      <x:c r="C942" s="2" t="str">
        <x:v>Organic Search</x:v>
      </x:c>
      <x:c r="D942" s="2" t="str">
        <x:v>HAT-001</x:v>
      </x:c>
      <x:c r="E942" s="2" t="str">
        <x:f>_xlfn.IFNA(VLOOKUP(D942,'Products'!$A$7:$I$22,2,FALSE),"Unmapped")</x:f>
        <x:v>Classic canvas cap</x:v>
      </x:c>
      <x:c r="F942" s="2" t="str">
        <x:f>_xlfn.IFNA(VLOOKUP(D942,'Products'!$A$7:$I$22,3,FALSE),"Unmapped")</x:f>
        <x:v>Accessories</x:v>
      </x:c>
      <x:c r="G942" s="2" t="n">
        <x:v>1</x:v>
      </x:c>
      <x:c r="H942" s="2" t="n">
        <x:v>0</x:v>
      </x:c>
      <x:c r="I942" s="10" t="n">
        <x:v>24.95</x:v>
      </x:c>
      <x:c r="J942" s="10" t="n">
        <x:v>0</x:v>
      </x:c>
      <x:c r="K942" s="10" t="n">
        <x:v>8.5</x:v>
      </x:c>
      <x:c r="L942" s="10" t="n">
        <x:f>G942*I942</x:f>
        <x:v>24.95</x:v>
      </x:c>
      <x:c r="M942" s="10" t="n">
        <x:f>ROUND((L942-J942)*H942/G942,2)</x:f>
        <x:v>0</x:v>
      </x:c>
      <x:c r="N942" s="10" t="n">
        <x:f>L942-J942-M942</x:f>
        <x:v>24.95</x:v>
      </x:c>
      <x:c r="O942" s="10" t="n">
        <x:f>(G942-H942)*K942</x:f>
        <x:v>8.5</x:v>
      </x:c>
      <x:c r="P942" s="10" t="n">
        <x:f>N942-O942</x:f>
        <x:v>16.45</x:v>
      </x:c>
      <x:c r="Q942" s="9" t="n">
        <x:f>A942-WEEKDAY(A942,2)+1</x:f>
        <x:v>46293</x:v>
      </x:c>
      <x:c r="R942" s="2" t="str">
        <x:f>IF(AND(A942&gt;='Review'!$B$4,A942&lt;='Review'!$D$4),"Selected","Outside")</x:f>
        <x:v>Selected</x:v>
      </x:c>
    </x:row>
    <x:row r="943" ht="20" customHeight="1">
      <x:c r="A943" s="9" t="n">
        <x:v>46299</x:v>
      </x:c>
      <x:c r="B943" s="2" t="str">
        <x:v>MM-1668</x:v>
      </x:c>
      <x:c r="C943" s="2" t="str">
        <x:v>Organic Search</x:v>
      </x:c>
      <x:c r="D943" s="2" t="str">
        <x:v>GFT-002</x:v>
      </x:c>
      <x:c r="E943" s="2" t="str">
        <x:f>_xlfn.IFNA(VLOOKUP(D943,'Products'!$A$7:$I$22,2,FALSE),"Unmapped")</x:f>
        <x:v>Cozy weekend gift box</x:v>
      </x:c>
      <x:c r="F943" s="2" t="str">
        <x:f>_xlfn.IFNA(VLOOKUP(D943,'Products'!$A$7:$I$22,3,FALSE),"Unmapped")</x:f>
        <x:v>Gifts</x:v>
      </x:c>
      <x:c r="G943" s="2" t="n">
        <x:v>1</x:v>
      </x:c>
      <x:c r="H943" s="2" t="n">
        <x:v>0</x:v>
      </x:c>
      <x:c r="I943" s="10" t="n">
        <x:v>79.95</x:v>
      </x:c>
      <x:c r="J943" s="10" t="n">
        <x:v>0</x:v>
      </x:c>
      <x:c r="K943" s="10" t="n">
        <x:v>32</x:v>
      </x:c>
      <x:c r="L943" s="10" t="n">
        <x:f>G943*I943</x:f>
        <x:v>79.95</x:v>
      </x:c>
      <x:c r="M943" s="10" t="n">
        <x:f>ROUND((L943-J943)*H943/G943,2)</x:f>
        <x:v>0</x:v>
      </x:c>
      <x:c r="N943" s="10" t="n">
        <x:f>L943-J943-M943</x:f>
        <x:v>79.95</x:v>
      </x:c>
      <x:c r="O943" s="10" t="n">
        <x:f>(G943-H943)*K943</x:f>
        <x:v>32</x:v>
      </x:c>
      <x:c r="P943" s="10" t="n">
        <x:f>N943-O943</x:f>
        <x:v>47.95</x:v>
      </x:c>
      <x:c r="Q943" s="9" t="n">
        <x:f>A943-WEEKDAY(A943,2)+1</x:f>
        <x:v>46293</x:v>
      </x:c>
      <x:c r="R943" s="2" t="str">
        <x:f>IF(AND(A943&gt;='Review'!$B$4,A943&lt;='Review'!$D$4),"Selected","Outside")</x:f>
        <x:v>Selected</x:v>
      </x:c>
    </x:row>
    <x:row r="944" ht="20" customHeight="1">
      <x:c r="A944" s="9" t="n">
        <x:v>46300</x:v>
      </x:c>
      <x:c r="B944" s="2" t="str">
        <x:v>MM-1675</x:v>
      </x:c>
      <x:c r="C944" s="2" t="str">
        <x:v>Direct</x:v>
      </x:c>
      <x:c r="D944" s="2" t="str">
        <x:v>TOTE-001</x:v>
      </x:c>
      <x:c r="E944" s="2" t="str">
        <x:f>_xlfn.IFNA(VLOOKUP(D944,'Products'!$A$7:$I$22,2,FALSE),"Unmapped")</x:f>
        <x:v>Market canvas tote</x:v>
      </x:c>
      <x:c r="F944" s="2" t="str">
        <x:f>_xlfn.IFNA(VLOOKUP(D944,'Products'!$A$7:$I$22,3,FALSE),"Unmapped")</x:f>
        <x:v>Accessories</x:v>
      </x:c>
      <x:c r="G944" s="2" t="n">
        <x:v>1</x:v>
      </x:c>
      <x:c r="H944" s="2" t="n">
        <x:v>0</x:v>
      </x:c>
      <x:c r="I944" s="10" t="n">
        <x:v>19.95</x:v>
      </x:c>
      <x:c r="J944" s="10" t="n">
        <x:v>1.99</x:v>
      </x:c>
      <x:c r="K944" s="10" t="n">
        <x:v>6</x:v>
      </x:c>
      <x:c r="L944" s="10" t="n">
        <x:f>G944*I944</x:f>
        <x:v>19.95</x:v>
      </x:c>
      <x:c r="M944" s="10" t="n">
        <x:f>ROUND((L944-J944)*H944/G944,2)</x:f>
        <x:v>0</x:v>
      </x:c>
      <x:c r="N944" s="10" t="n">
        <x:f>L944-J944-M944</x:f>
        <x:v>17.96</x:v>
      </x:c>
      <x:c r="O944" s="10" t="n">
        <x:f>(G944-H944)*K944</x:f>
        <x:v>6</x:v>
      </x:c>
      <x:c r="P944" s="10" t="n">
        <x:f>N944-O944</x:f>
        <x:v>11.96</x:v>
      </x:c>
      <x:c r="Q944" s="9" t="n">
        <x:f>A944-WEEKDAY(A944,2)+1</x:f>
        <x:v>46300</x:v>
      </x:c>
      <x:c r="R944" s="2" t="str">
        <x:f>IF(AND(A944&gt;='Review'!$B$4,A944&lt;='Review'!$D$4),"Selected","Outside")</x:f>
        <x:v>Selected</x:v>
      </x:c>
    </x:row>
    <x:row r="945" ht="20" customHeight="1">
      <x:c r="A945" s="9" t="n">
        <x:v>46300</x:v>
      </x:c>
      <x:c r="B945" s="2" t="str">
        <x:v>MM-1676</x:v>
      </x:c>
      <x:c r="C945" s="2" t="str">
        <x:v>Organic Search</x:v>
      </x:c>
      <x:c r="D945" s="2" t="str">
        <x:v>GFT-002</x:v>
      </x:c>
      <x:c r="E945" s="2" t="str">
        <x:f>_xlfn.IFNA(VLOOKUP(D945,'Products'!$A$7:$I$22,2,FALSE),"Unmapped")</x:f>
        <x:v>Cozy weekend gift box</x:v>
      </x:c>
      <x:c r="F945" s="2" t="str">
        <x:f>_xlfn.IFNA(VLOOKUP(D945,'Products'!$A$7:$I$22,3,FALSE),"Unmapped")</x:f>
        <x:v>Gifts</x:v>
      </x:c>
      <x:c r="G945" s="2" t="n">
        <x:v>1</x:v>
      </x:c>
      <x:c r="H945" s="2" t="n">
        <x:v>0</x:v>
      </x:c>
      <x:c r="I945" s="10" t="n">
        <x:v>79.95</x:v>
      </x:c>
      <x:c r="J945" s="10" t="n">
        <x:v>7.99</x:v>
      </x:c>
      <x:c r="K945" s="10" t="n">
        <x:v>32</x:v>
      </x:c>
      <x:c r="L945" s="10" t="n">
        <x:f>G945*I945</x:f>
        <x:v>79.95</x:v>
      </x:c>
      <x:c r="M945" s="10" t="n">
        <x:f>ROUND((L945-J945)*H945/G945,2)</x:f>
        <x:v>0</x:v>
      </x:c>
      <x:c r="N945" s="10" t="n">
        <x:f>L945-J945-M945</x:f>
        <x:v>71.96000000000001</x:v>
      </x:c>
      <x:c r="O945" s="10" t="n">
        <x:f>(G945-H945)*K945</x:f>
        <x:v>32</x:v>
      </x:c>
      <x:c r="P945" s="10" t="n">
        <x:f>N945-O945</x:f>
        <x:v>39.96000000000001</x:v>
      </x:c>
      <x:c r="Q945" s="9" t="n">
        <x:f>A945-WEEKDAY(A945,2)+1</x:f>
        <x:v>46300</x:v>
      </x:c>
      <x:c r="R945" s="2" t="str">
        <x:f>IF(AND(A945&gt;='Review'!$B$4,A945&lt;='Review'!$D$4),"Selected","Outside")</x:f>
        <x:v>Selected</x:v>
      </x:c>
    </x:row>
    <x:row r="946" ht="20" customHeight="1">
      <x:c r="A946" s="9" t="n">
        <x:v>46300</x:v>
      </x:c>
      <x:c r="B946" s="2" t="str">
        <x:v>MM-1681</x:v>
      </x:c>
      <x:c r="C946" s="2" t="str">
        <x:v>Direct</x:v>
      </x:c>
      <x:c r="D946" s="2" t="str">
        <x:v>PIN-001</x:v>
      </x:c>
      <x:c r="E946" s="2" t="str">
        <x:f>_xlfn.IFNA(VLOOKUP(D946,'Products'!$A$7:$I$22,2,FALSE),"Unmapped")</x:f>
        <x:v>Coffee enamel pin</x:v>
      </x:c>
      <x:c r="F946" s="2" t="str">
        <x:f>_xlfn.IFNA(VLOOKUP(D946,'Products'!$A$7:$I$22,3,FALSE),"Unmapped")</x:f>
        <x:v>Accessories</x:v>
      </x:c>
      <x:c r="G946" s="2" t="n">
        <x:v>1</x:v>
      </x:c>
      <x:c r="H946" s="2" t="n">
        <x:v>0</x:v>
      </x:c>
      <x:c r="I946" s="10" t="n">
        <x:v>9.95</x:v>
      </x:c>
      <x:c r="J946" s="10" t="n">
        <x:v>0</x:v>
      </x:c>
      <x:c r="K946" s="10" t="n">
        <x:v>2.5</x:v>
      </x:c>
      <x:c r="L946" s="10" t="n">
        <x:f>G946*I946</x:f>
        <x:v>9.95</x:v>
      </x:c>
      <x:c r="M946" s="10" t="n">
        <x:f>ROUND((L946-J946)*H946/G946,2)</x:f>
        <x:v>0</x:v>
      </x:c>
      <x:c r="N946" s="10" t="n">
        <x:f>L946-J946-M946</x:f>
        <x:v>9.95</x:v>
      </x:c>
      <x:c r="O946" s="10" t="n">
        <x:f>(G946-H946)*K946</x:f>
        <x:v>2.5</x:v>
      </x:c>
      <x:c r="P946" s="10" t="n">
        <x:f>N946-O946</x:f>
        <x:v>7.449999999999999</x:v>
      </x:c>
      <x:c r="Q946" s="9" t="n">
        <x:f>A946-WEEKDAY(A946,2)+1</x:f>
        <x:v>46300</x:v>
      </x:c>
      <x:c r="R946" s="2" t="str">
        <x:f>IF(AND(A946&gt;='Review'!$B$4,A946&lt;='Review'!$D$4),"Selected","Outside")</x:f>
        <x:v>Selected</x:v>
      </x:c>
    </x:row>
    <x:row r="947" ht="20" customHeight="1">
      <x:c r="A947" s="9" t="n">
        <x:v>46300</x:v>
      </x:c>
      <x:c r="B947" s="2" t="str">
        <x:v>MM-1685</x:v>
      </x:c>
      <x:c r="C947" s="2" t="str">
        <x:v>Paid Social</x:v>
      </x:c>
      <x:c r="D947" s="2" t="str">
        <x:v>GFT-002</x:v>
      </x:c>
      <x:c r="E947" s="2" t="str">
        <x:f>_xlfn.IFNA(VLOOKUP(D947,'Products'!$A$7:$I$22,2,FALSE),"Unmapped")</x:f>
        <x:v>Cozy weekend gift box</x:v>
      </x:c>
      <x:c r="F947" s="2" t="str">
        <x:f>_xlfn.IFNA(VLOOKUP(D947,'Products'!$A$7:$I$22,3,FALSE),"Unmapped")</x:f>
        <x:v>Gifts</x:v>
      </x:c>
      <x:c r="G947" s="2" t="n">
        <x:v>1</x:v>
      </x:c>
      <x:c r="H947" s="2" t="n">
        <x:v>0</x:v>
      </x:c>
      <x:c r="I947" s="10" t="n">
        <x:v>79.95</x:v>
      </x:c>
      <x:c r="J947" s="10" t="n">
        <x:v>0</x:v>
      </x:c>
      <x:c r="K947" s="10" t="n">
        <x:v>32</x:v>
      </x:c>
      <x:c r="L947" s="10" t="n">
        <x:f>G947*I947</x:f>
        <x:v>79.95</x:v>
      </x:c>
      <x:c r="M947" s="10" t="n">
        <x:f>ROUND((L947-J947)*H947/G947,2)</x:f>
        <x:v>0</x:v>
      </x:c>
      <x:c r="N947" s="10" t="n">
        <x:f>L947-J947-M947</x:f>
        <x:v>79.95</x:v>
      </x:c>
      <x:c r="O947" s="10" t="n">
        <x:f>(G947-H947)*K947</x:f>
        <x:v>32</x:v>
      </x:c>
      <x:c r="P947" s="10" t="n">
        <x:f>N947-O947</x:f>
        <x:v>47.95</x:v>
      </x:c>
      <x:c r="Q947" s="9" t="n">
        <x:f>A947-WEEKDAY(A947,2)+1</x:f>
        <x:v>46300</x:v>
      </x:c>
      <x:c r="R947" s="2" t="str">
        <x:f>IF(AND(A947&gt;='Review'!$B$4,A947&lt;='Review'!$D$4),"Selected","Outside")</x:f>
        <x:v>Selected</x:v>
      </x:c>
    </x:row>
    <x:row r="948" ht="20" customHeight="1">
      <x:c r="A948" s="9" t="n">
        <x:v>46300</x:v>
      </x:c>
      <x:c r="B948" s="2" t="str">
        <x:v>MM-1690</x:v>
      </x:c>
      <x:c r="C948" s="2" t="str">
        <x:v>Email</x:v>
      </x:c>
      <x:c r="D948" s="2" t="str">
        <x:v>KEY-001</x:v>
      </x:c>
      <x:c r="E948" s="2" t="str">
        <x:f>_xlfn.IFNA(VLOOKUP(D948,'Products'!$A$7:$I$22,2,FALSE),"Unmapped")</x:f>
        <x:v>Maple keyring</x:v>
      </x:c>
      <x:c r="F948" s="2" t="str">
        <x:f>_xlfn.IFNA(VLOOKUP(D948,'Products'!$A$7:$I$22,3,FALSE),"Unmapped")</x:f>
        <x:v>Accessories</x:v>
      </x:c>
      <x:c r="G948" s="2" t="n">
        <x:v>2</x:v>
      </x:c>
      <x:c r="H948" s="2" t="n">
        <x:v>0</x:v>
      </x:c>
      <x:c r="I948" s="10" t="n">
        <x:v>12.95</x:v>
      </x:c>
      <x:c r="J948" s="10" t="n">
        <x:v>2.59</x:v>
      </x:c>
      <x:c r="K948" s="10" t="n">
        <x:v>3.5</x:v>
      </x:c>
      <x:c r="L948" s="10" t="n">
        <x:f>G948*I948</x:f>
        <x:v>25.9</x:v>
      </x:c>
      <x:c r="M948" s="10" t="n">
        <x:f>ROUND((L948-J948)*H948/G948,2)</x:f>
        <x:v>0</x:v>
      </x:c>
      <x:c r="N948" s="10" t="n">
        <x:f>L948-J948-M948</x:f>
        <x:v>23.31</x:v>
      </x:c>
      <x:c r="O948" s="10" t="n">
        <x:f>(G948-H948)*K948</x:f>
        <x:v>7</x:v>
      </x:c>
      <x:c r="P948" s="10" t="n">
        <x:f>N948-O948</x:f>
        <x:v>16.31</x:v>
      </x:c>
      <x:c r="Q948" s="9" t="n">
        <x:f>A948-WEEKDAY(A948,2)+1</x:f>
        <x:v>46300</x:v>
      </x:c>
      <x:c r="R948" s="2" t="str">
        <x:f>IF(AND(A948&gt;='Review'!$B$4,A948&lt;='Review'!$D$4),"Selected","Outside")</x:f>
        <x:v>Selected</x:v>
      </x:c>
    </x:row>
    <x:row r="949" ht="20" customHeight="1">
      <x:c r="A949" s="9" t="n">
        <x:v>46300</x:v>
      </x:c>
      <x:c r="B949" s="2" t="str">
        <x:v>MM-1690</x:v>
      </x:c>
      <x:c r="C949" s="2" t="str">
        <x:v>Email</x:v>
      </x:c>
      <x:c r="D949" s="2" t="str">
        <x:v>TUM-001</x:v>
      </x:c>
      <x:c r="E949" s="2" t="str">
        <x:f>_xlfn.IFNA(VLOOKUP(D949,'Products'!$A$7:$I$22,2,FALSE),"Unmapped")</x:f>
        <x:v>Maple travel tumbler</x:v>
      </x:c>
      <x:c r="F949" s="2" t="str">
        <x:f>_xlfn.IFNA(VLOOKUP(D949,'Products'!$A$7:$I$22,3,FALSE),"Unmapped")</x:f>
        <x:v>Drinkware</x:v>
      </x:c>
      <x:c r="G949" s="2" t="n">
        <x:v>1</x:v>
      </x:c>
      <x:c r="H949" s="2" t="n">
        <x:v>0</x:v>
      </x:c>
      <x:c r="I949" s="10" t="n">
        <x:v>32.95</x:v>
      </x:c>
      <x:c r="J949" s="10" t="n">
        <x:v>3.29</x:v>
      </x:c>
      <x:c r="K949" s="10" t="n">
        <x:v>12</x:v>
      </x:c>
      <x:c r="L949" s="10" t="n">
        <x:f>G949*I949</x:f>
        <x:v>32.95</x:v>
      </x:c>
      <x:c r="M949" s="10" t="n">
        <x:f>ROUND((L949-J949)*H949/G949,2)</x:f>
        <x:v>0</x:v>
      </x:c>
      <x:c r="N949" s="10" t="n">
        <x:f>L949-J949-M949</x:f>
        <x:v>29.660000000000004</x:v>
      </x:c>
      <x:c r="O949" s="10" t="n">
        <x:f>(G949-H949)*K949</x:f>
        <x:v>12</x:v>
      </x:c>
      <x:c r="P949" s="10" t="n">
        <x:f>N949-O949</x:f>
        <x:v>17.660000000000004</x:v>
      </x:c>
      <x:c r="Q949" s="9" t="n">
        <x:f>A949-WEEKDAY(A949,2)+1</x:f>
        <x:v>46300</x:v>
      </x:c>
      <x:c r="R949" s="2" t="str">
        <x:f>IF(AND(A949&gt;='Review'!$B$4,A949&lt;='Review'!$D$4),"Selected","Outside")</x:f>
        <x:v>Selected</x:v>
      </x:c>
    </x:row>
    <x:row r="950" ht="20" customHeight="1">
      <x:c r="A950" s="9" t="n">
        <x:v>46300</x:v>
      </x:c>
      <x:c r="B950" s="2" t="str">
        <x:v>MM-1690</x:v>
      </x:c>
      <x:c r="C950" s="2" t="str">
        <x:v>Email</x:v>
      </x:c>
      <x:c r="D950" s="2" t="str">
        <x:v>HAT-001</x:v>
      </x:c>
      <x:c r="E950" s="2" t="str">
        <x:f>_xlfn.IFNA(VLOOKUP(D950,'Products'!$A$7:$I$22,2,FALSE),"Unmapped")</x:f>
        <x:v>Classic canvas cap</x:v>
      </x:c>
      <x:c r="F950" s="2" t="str">
        <x:f>_xlfn.IFNA(VLOOKUP(D950,'Products'!$A$7:$I$22,3,FALSE),"Unmapped")</x:f>
        <x:v>Accessories</x:v>
      </x:c>
      <x:c r="G950" s="2" t="n">
        <x:v>2</x:v>
      </x:c>
      <x:c r="H950" s="2" t="n">
        <x:v>0</x:v>
      </x:c>
      <x:c r="I950" s="10" t="n">
        <x:v>24.95</x:v>
      </x:c>
      <x:c r="J950" s="10" t="n">
        <x:v>4.99</x:v>
      </x:c>
      <x:c r="K950" s="10" t="n">
        <x:v>8.5</x:v>
      </x:c>
      <x:c r="L950" s="10" t="n">
        <x:f>G950*I950</x:f>
        <x:v>49.9</x:v>
      </x:c>
      <x:c r="M950" s="10" t="n">
        <x:f>ROUND((L950-J950)*H950/G950,2)</x:f>
        <x:v>0</x:v>
      </x:c>
      <x:c r="N950" s="10" t="n">
        <x:f>L950-J950-M950</x:f>
        <x:v>44.91</x:v>
      </x:c>
      <x:c r="O950" s="10" t="n">
        <x:f>(G950-H950)*K950</x:f>
        <x:v>17</x:v>
      </x:c>
      <x:c r="P950" s="10" t="n">
        <x:f>N950-O950</x:f>
        <x:v>27.909999999999997</x:v>
      </x:c>
      <x:c r="Q950" s="9" t="n">
        <x:f>A950-WEEKDAY(A950,2)+1</x:f>
        <x:v>46300</x:v>
      </x:c>
      <x:c r="R950" s="2" t="str">
        <x:f>IF(AND(A950&gt;='Review'!$B$4,A950&lt;='Review'!$D$4),"Selected","Outside")</x:f>
        <x:v>Selected</x:v>
      </x:c>
    </x:row>
    <x:row r="951" ht="20" customHeight="1">
      <x:c r="A951" s="9" t="n">
        <x:v>46300</x:v>
      </x:c>
      <x:c r="B951" s="2" t="str">
        <x:v>MM-1677</x:v>
      </x:c>
      <x:c r="C951" s="2" t="str">
        <x:v>Organic Search</x:v>
      </x:c>
      <x:c r="D951" s="2" t="str">
        <x:v>GFT-002</x:v>
      </x:c>
      <x:c r="E951" s="2" t="str">
        <x:f>_xlfn.IFNA(VLOOKUP(D951,'Products'!$A$7:$I$22,2,FALSE),"Unmapped")</x:f>
        <x:v>Cozy weekend gift box</x:v>
      </x:c>
      <x:c r="F951" s="2" t="str">
        <x:f>_xlfn.IFNA(VLOOKUP(D951,'Products'!$A$7:$I$22,3,FALSE),"Unmapped")</x:f>
        <x:v>Gifts</x:v>
      </x:c>
      <x:c r="G951" s="2" t="n">
        <x:v>1</x:v>
      </x:c>
      <x:c r="H951" s="2" t="n">
        <x:v>0</x:v>
      </x:c>
      <x:c r="I951" s="10" t="n">
        <x:v>79.95</x:v>
      </x:c>
      <x:c r="J951" s="10" t="n">
        <x:v>0</x:v>
      </x:c>
      <x:c r="K951" s="10" t="n">
        <x:v>32</x:v>
      </x:c>
      <x:c r="L951" s="10" t="n">
        <x:f>G951*I951</x:f>
        <x:v>79.95</x:v>
      </x:c>
      <x:c r="M951" s="10" t="n">
        <x:f>ROUND((L951-J951)*H951/G951,2)</x:f>
        <x:v>0</x:v>
      </x:c>
      <x:c r="N951" s="10" t="n">
        <x:f>L951-J951-M951</x:f>
        <x:v>79.95</x:v>
      </x:c>
      <x:c r="O951" s="10" t="n">
        <x:f>(G951-H951)*K951</x:f>
        <x:v>32</x:v>
      </x:c>
      <x:c r="P951" s="10" t="n">
        <x:f>N951-O951</x:f>
        <x:v>47.95</x:v>
      </x:c>
      <x:c r="Q951" s="9" t="n">
        <x:f>A951-WEEKDAY(A951,2)+1</x:f>
        <x:v>46300</x:v>
      </x:c>
      <x:c r="R951" s="2" t="str">
        <x:f>IF(AND(A951&gt;='Review'!$B$4,A951&lt;='Review'!$D$4),"Selected","Outside")</x:f>
        <x:v>Selected</x:v>
      </x:c>
    </x:row>
    <x:row r="952" ht="20" customHeight="1">
      <x:c r="A952" s="9" t="n">
        <x:v>46300</x:v>
      </x:c>
      <x:c r="B952" s="2" t="str">
        <x:v>MM-1677</x:v>
      </x:c>
      <x:c r="C952" s="2" t="str">
        <x:v>Organic Search</x:v>
      </x:c>
      <x:c r="D952" s="2" t="str">
        <x:v>TOTE-001</x:v>
      </x:c>
      <x:c r="E952" s="2" t="str">
        <x:f>_xlfn.IFNA(VLOOKUP(D952,'Products'!$A$7:$I$22,2,FALSE),"Unmapped")</x:f>
        <x:v>Market canvas tote</x:v>
      </x:c>
      <x:c r="F952" s="2" t="str">
        <x:f>_xlfn.IFNA(VLOOKUP(D952,'Products'!$A$7:$I$22,3,FALSE),"Unmapped")</x:f>
        <x:v>Accessories</x:v>
      </x:c>
      <x:c r="G952" s="2" t="n">
        <x:v>1</x:v>
      </x:c>
      <x:c r="H952" s="2" t="n">
        <x:v>0</x:v>
      </x:c>
      <x:c r="I952" s="10" t="n">
        <x:v>19.95</x:v>
      </x:c>
      <x:c r="J952" s="10" t="n">
        <x:v>0</x:v>
      </x:c>
      <x:c r="K952" s="10" t="n">
        <x:v>6</x:v>
      </x:c>
      <x:c r="L952" s="10" t="n">
        <x:f>G952*I952</x:f>
        <x:v>19.95</x:v>
      </x:c>
      <x:c r="M952" s="10" t="n">
        <x:f>ROUND((L952-J952)*H952/G952,2)</x:f>
        <x:v>0</x:v>
      </x:c>
      <x:c r="N952" s="10" t="n">
        <x:f>L952-J952-M952</x:f>
        <x:v>19.95</x:v>
      </x:c>
      <x:c r="O952" s="10" t="n">
        <x:f>(G952-H952)*K952</x:f>
        <x:v>6</x:v>
      </x:c>
      <x:c r="P952" s="10" t="n">
        <x:f>N952-O952</x:f>
        <x:v>13.95</x:v>
      </x:c>
      <x:c r="Q952" s="9" t="n">
        <x:f>A952-WEEKDAY(A952,2)+1</x:f>
        <x:v>46300</x:v>
      </x:c>
      <x:c r="R952" s="2" t="str">
        <x:f>IF(AND(A952&gt;='Review'!$B$4,A952&lt;='Review'!$D$4),"Selected","Outside")</x:f>
        <x:v>Selected</x:v>
      </x:c>
    </x:row>
    <x:row r="953" ht="20" customHeight="1">
      <x:c r="A953" s="9" t="n">
        <x:v>46300</x:v>
      </x:c>
      <x:c r="B953" s="2" t="str">
        <x:v>MM-1687</x:v>
      </x:c>
      <x:c r="C953" s="2" t="str">
        <x:v>Organic Search</x:v>
      </x:c>
      <x:c r="D953" s="2" t="str">
        <x:v>APP-003</x:v>
      </x:c>
      <x:c r="E953" s="2" t="str">
        <x:f>_xlfn.IFNA(VLOOKUP(D953,'Products'!$A$7:$I$22,2,FALSE),"Unmapped")</x:f>
        <x:v>Coffee club tee</x:v>
      </x:c>
      <x:c r="F953" s="2" t="str">
        <x:f>_xlfn.IFNA(VLOOKUP(D953,'Products'!$A$7:$I$22,3,FALSE),"Unmapped")</x:f>
        <x:v>Apparel</x:v>
      </x:c>
      <x:c r="G953" s="2" t="n">
        <x:v>1</x:v>
      </x:c>
      <x:c r="H953" s="2" t="n">
        <x:v>0</x:v>
      </x:c>
      <x:c r="I953" s="10" t="n">
        <x:v>29.95</x:v>
      </x:c>
      <x:c r="J953" s="10" t="n">
        <x:v>0</x:v>
      </x:c>
      <x:c r="K953" s="10" t="n">
        <x:v>10</x:v>
      </x:c>
      <x:c r="L953" s="10" t="n">
        <x:f>G953*I953</x:f>
        <x:v>29.95</x:v>
      </x:c>
      <x:c r="M953" s="10" t="n">
        <x:f>ROUND((L953-J953)*H953/G953,2)</x:f>
        <x:v>0</x:v>
      </x:c>
      <x:c r="N953" s="10" t="n">
        <x:f>L953-J953-M953</x:f>
        <x:v>29.95</x:v>
      </x:c>
      <x:c r="O953" s="10" t="n">
        <x:f>(G953-H953)*K953</x:f>
        <x:v>10</x:v>
      </x:c>
      <x:c r="P953" s="10" t="n">
        <x:f>N953-O953</x:f>
        <x:v>19.95</x:v>
      </x:c>
      <x:c r="Q953" s="9" t="n">
        <x:f>A953-WEEKDAY(A953,2)+1</x:f>
        <x:v>46300</x:v>
      </x:c>
      <x:c r="R953" s="2" t="str">
        <x:f>IF(AND(A953&gt;='Review'!$B$4,A953&lt;='Review'!$D$4),"Selected","Outside")</x:f>
        <x:v>Selected</x:v>
      </x:c>
    </x:row>
    <x:row r="954" ht="20" customHeight="1">
      <x:c r="A954" s="9" t="n">
        <x:v>46300</x:v>
      </x:c>
      <x:c r="B954" s="2" t="str">
        <x:v>MM-1691</x:v>
      </x:c>
      <x:c r="C954" s="2" t="str">
        <x:v>Organic Search</x:v>
      </x:c>
      <x:c r="D954" s="2" t="str">
        <x:v>BOT-001</x:v>
      </x:c>
      <x:c r="E954" s="2" t="str">
        <x:f>_xlfn.IFNA(VLOOKUP(D954,'Products'!$A$7:$I$22,2,FALSE),"Unmapped")</x:f>
        <x:v>Trail water bottle</x:v>
      </x:c>
      <x:c r="F954" s="2" t="str">
        <x:f>_xlfn.IFNA(VLOOKUP(D954,'Products'!$A$7:$I$22,3,FALSE),"Unmapped")</x:f>
        <x:v>Drinkware</x:v>
      </x:c>
      <x:c r="G954" s="2" t="n">
        <x:v>1</x:v>
      </x:c>
      <x:c r="H954" s="2" t="n">
        <x:v>0</x:v>
      </x:c>
      <x:c r="I954" s="10" t="n">
        <x:v>34.95</x:v>
      </x:c>
      <x:c r="J954" s="10" t="n">
        <x:v>3.49</x:v>
      </x:c>
      <x:c r="K954" s="10" t="n">
        <x:v>13.5</x:v>
      </x:c>
      <x:c r="L954" s="10" t="n">
        <x:f>G954*I954</x:f>
        <x:v>34.95</x:v>
      </x:c>
      <x:c r="M954" s="10" t="n">
        <x:f>ROUND((L954-J954)*H954/G954,2)</x:f>
        <x:v>0</x:v>
      </x:c>
      <x:c r="N954" s="10" t="n">
        <x:f>L954-J954-M954</x:f>
        <x:v>31.46</x:v>
      </x:c>
      <x:c r="O954" s="10" t="n">
        <x:f>(G954-H954)*K954</x:f>
        <x:v>13.5</x:v>
      </x:c>
      <x:c r="P954" s="10" t="n">
        <x:f>N954-O954</x:f>
        <x:v>17.96</x:v>
      </x:c>
      <x:c r="Q954" s="9" t="n">
        <x:f>A954-WEEKDAY(A954,2)+1</x:f>
        <x:v>46300</x:v>
      </x:c>
      <x:c r="R954" s="2" t="str">
        <x:f>IF(AND(A954&gt;='Review'!$B$4,A954&lt;='Review'!$D$4),"Selected","Outside")</x:f>
        <x:v>Selected</x:v>
      </x:c>
    </x:row>
    <x:row r="955" ht="20" customHeight="1">
      <x:c r="A955" s="9" t="n">
        <x:v>46300</x:v>
      </x:c>
      <x:c r="B955" s="2" t="str">
        <x:v>MM-1691</x:v>
      </x:c>
      <x:c r="C955" s="2" t="str">
        <x:v>Organic Search</x:v>
      </x:c>
      <x:c r="D955" s="2" t="str">
        <x:v>TUM-001</x:v>
      </x:c>
      <x:c r="E955" s="2" t="str">
        <x:f>_xlfn.IFNA(VLOOKUP(D955,'Products'!$A$7:$I$22,2,FALSE),"Unmapped")</x:f>
        <x:v>Maple travel tumbler</x:v>
      </x:c>
      <x:c r="F955" s="2" t="str">
        <x:f>_xlfn.IFNA(VLOOKUP(D955,'Products'!$A$7:$I$22,3,FALSE),"Unmapped")</x:f>
        <x:v>Drinkware</x:v>
      </x:c>
      <x:c r="G955" s="2" t="n">
        <x:v>2</x:v>
      </x:c>
      <x:c r="H955" s="2" t="n">
        <x:v>0</x:v>
      </x:c>
      <x:c r="I955" s="10" t="n">
        <x:v>32.95</x:v>
      </x:c>
      <x:c r="J955" s="10" t="n">
        <x:v>0</x:v>
      </x:c>
      <x:c r="K955" s="10" t="n">
        <x:v>12</x:v>
      </x:c>
      <x:c r="L955" s="10" t="n">
        <x:f>G955*I955</x:f>
        <x:v>65.9</x:v>
      </x:c>
      <x:c r="M955" s="10" t="n">
        <x:f>ROUND((L955-J955)*H955/G955,2)</x:f>
        <x:v>0</x:v>
      </x:c>
      <x:c r="N955" s="10" t="n">
        <x:f>L955-J955-M955</x:f>
        <x:v>65.9</x:v>
      </x:c>
      <x:c r="O955" s="10" t="n">
        <x:f>(G955-H955)*K955</x:f>
        <x:v>24</x:v>
      </x:c>
      <x:c r="P955" s="10" t="n">
        <x:f>N955-O955</x:f>
        <x:v>41.900000000000006</x:v>
      </x:c>
      <x:c r="Q955" s="9" t="n">
        <x:f>A955-WEEKDAY(A955,2)+1</x:f>
        <x:v>46300</x:v>
      </x:c>
      <x:c r="R955" s="2" t="str">
        <x:f>IF(AND(A955&gt;='Review'!$B$4,A955&lt;='Review'!$D$4),"Selected","Outside")</x:f>
        <x:v>Selected</x:v>
      </x:c>
    </x:row>
    <x:row r="956" ht="20" customHeight="1">
      <x:c r="A956" s="9" t="n">
        <x:v>46300</x:v>
      </x:c>
      <x:c r="B956" s="2" t="str">
        <x:v>MM-1683</x:v>
      </x:c>
      <x:c r="C956" s="2" t="str">
        <x:v>Direct</x:v>
      </x:c>
      <x:c r="D956" s="2" t="str">
        <x:v>TUM-002</x:v>
      </x:c>
      <x:c r="E956" s="2" t="str">
        <x:f>_xlfn.IFNA(VLOOKUP(D956,'Products'!$A$7:$I$22,2,FALSE),"Unmapped")</x:f>
        <x:v>Cold brew glass cup</x:v>
      </x:c>
      <x:c r="F956" s="2" t="str">
        <x:f>_xlfn.IFNA(VLOOKUP(D956,'Products'!$A$7:$I$22,3,FALSE),"Unmapped")</x:f>
        <x:v>Drinkware</x:v>
      </x:c>
      <x:c r="G956" s="2" t="n">
        <x:v>2</x:v>
      </x:c>
      <x:c r="H956" s="2" t="n">
        <x:v>0</x:v>
      </x:c>
      <x:c r="I956" s="10" t="n">
        <x:v>24.95</x:v>
      </x:c>
      <x:c r="J956" s="10" t="n">
        <x:v>0</x:v>
      </x:c>
      <x:c r="K956" s="10" t="n">
        <x:v>9</x:v>
      </x:c>
      <x:c r="L956" s="10" t="n">
        <x:f>G956*I956</x:f>
        <x:v>49.9</x:v>
      </x:c>
      <x:c r="M956" s="10" t="n">
        <x:f>ROUND((L956-J956)*H956/G956,2)</x:f>
        <x:v>0</x:v>
      </x:c>
      <x:c r="N956" s="10" t="n">
        <x:f>L956-J956-M956</x:f>
        <x:v>49.9</x:v>
      </x:c>
      <x:c r="O956" s="10" t="n">
        <x:f>(G956-H956)*K956</x:f>
        <x:v>18</x:v>
      </x:c>
      <x:c r="P956" s="10" t="n">
        <x:f>N956-O956</x:f>
        <x:v>31.9</x:v>
      </x:c>
      <x:c r="Q956" s="9" t="n">
        <x:f>A956-WEEKDAY(A956,2)+1</x:f>
        <x:v>46300</x:v>
      </x:c>
      <x:c r="R956" s="2" t="str">
        <x:f>IF(AND(A956&gt;='Review'!$B$4,A956&lt;='Review'!$D$4),"Selected","Outside")</x:f>
        <x:v>Selected</x:v>
      </x:c>
    </x:row>
    <x:row r="957" ht="20" customHeight="1">
      <x:c r="A957" s="9" t="n">
        <x:v>46300</x:v>
      </x:c>
      <x:c r="B957" s="2" t="str">
        <x:v>MM-1683</x:v>
      </x:c>
      <x:c r="C957" s="2" t="str">
        <x:v>Direct</x:v>
      </x:c>
      <x:c r="D957" s="2" t="str">
        <x:v>GFT-001</x:v>
      </x:c>
      <x:c r="E957" s="2" t="str">
        <x:f>_xlfn.IFNA(VLOOKUP(D957,'Products'!$A$7:$I$22,2,FALSE),"Unmapped")</x:f>
        <x:v>Morning ritual gift set</x:v>
      </x:c>
      <x:c r="F957" s="2" t="str">
        <x:f>_xlfn.IFNA(VLOOKUP(D957,'Products'!$A$7:$I$22,3,FALSE),"Unmapped")</x:f>
        <x:v>Gifts</x:v>
      </x:c>
      <x:c r="G957" s="2" t="n">
        <x:v>1</x:v>
      </x:c>
      <x:c r="H957" s="2" t="n">
        <x:v>1</x:v>
      </x:c>
      <x:c r="I957" s="10" t="n">
        <x:v>59.95</x:v>
      </x:c>
      <x:c r="J957" s="10" t="n">
        <x:v>0</x:v>
      </x:c>
      <x:c r="K957" s="10" t="n">
        <x:v>24</x:v>
      </x:c>
      <x:c r="L957" s="10" t="n">
        <x:f>G957*I957</x:f>
        <x:v>59.95</x:v>
      </x:c>
      <x:c r="M957" s="10" t="n">
        <x:f>ROUND((L957-J957)*H957/G957,2)</x:f>
        <x:v>59.95</x:v>
      </x:c>
      <x:c r="N957" s="10" t="n">
        <x:f>L957-J957-M957</x:f>
        <x:v>0</x:v>
      </x:c>
      <x:c r="O957" s="10" t="n">
        <x:f>(G957-H957)*K957</x:f>
        <x:v>0</x:v>
      </x:c>
      <x:c r="P957" s="10" t="n">
        <x:f>N957-O957</x:f>
        <x:v>0</x:v>
      </x:c>
      <x:c r="Q957" s="9" t="n">
        <x:f>A957-WEEKDAY(A957,2)+1</x:f>
        <x:v>46300</x:v>
      </x:c>
      <x:c r="R957" s="2" t="str">
        <x:f>IF(AND(A957&gt;='Review'!$B$4,A957&lt;='Review'!$D$4),"Selected","Outside")</x:f>
        <x:v>Selected</x:v>
      </x:c>
    </x:row>
    <x:row r="958" ht="20" customHeight="1">
      <x:c r="A958" s="9" t="n">
        <x:v>46300</x:v>
      </x:c>
      <x:c r="B958" s="2" t="str">
        <x:v>MM-1683</x:v>
      </x:c>
      <x:c r="C958" s="2" t="str">
        <x:v>Direct</x:v>
      </x:c>
      <x:c r="D958" s="2" t="str">
        <x:v>BOT-001</x:v>
      </x:c>
      <x:c r="E958" s="2" t="str">
        <x:f>_xlfn.IFNA(VLOOKUP(D958,'Products'!$A$7:$I$22,2,FALSE),"Unmapped")</x:f>
        <x:v>Trail water bottle</x:v>
      </x:c>
      <x:c r="F958" s="2" t="str">
        <x:f>_xlfn.IFNA(VLOOKUP(D958,'Products'!$A$7:$I$22,3,FALSE),"Unmapped")</x:f>
        <x:v>Drinkware</x:v>
      </x:c>
      <x:c r="G958" s="2" t="n">
        <x:v>1</x:v>
      </x:c>
      <x:c r="H958" s="2" t="n">
        <x:v>0</x:v>
      </x:c>
      <x:c r="I958" s="10" t="n">
        <x:v>34.95</x:v>
      </x:c>
      <x:c r="J958" s="10" t="n">
        <x:v>3.49</x:v>
      </x:c>
      <x:c r="K958" s="10" t="n">
        <x:v>13.5</x:v>
      </x:c>
      <x:c r="L958" s="10" t="n">
        <x:f>G958*I958</x:f>
        <x:v>34.95</x:v>
      </x:c>
      <x:c r="M958" s="10" t="n">
        <x:f>ROUND((L958-J958)*H958/G958,2)</x:f>
        <x:v>0</x:v>
      </x:c>
      <x:c r="N958" s="10" t="n">
        <x:f>L958-J958-M958</x:f>
        <x:v>31.46</x:v>
      </x:c>
      <x:c r="O958" s="10" t="n">
        <x:f>(G958-H958)*K958</x:f>
        <x:v>13.5</x:v>
      </x:c>
      <x:c r="P958" s="10" t="n">
        <x:f>N958-O958</x:f>
        <x:v>17.96</x:v>
      </x:c>
      <x:c r="Q958" s="9" t="n">
        <x:f>A958-WEEKDAY(A958,2)+1</x:f>
        <x:v>46300</x:v>
      </x:c>
      <x:c r="R958" s="2" t="str">
        <x:f>IF(AND(A958&gt;='Review'!$B$4,A958&lt;='Review'!$D$4),"Selected","Outside")</x:f>
        <x:v>Selected</x:v>
      </x:c>
    </x:row>
    <x:row r="959" ht="20" customHeight="1">
      <x:c r="A959" s="9" t="n">
        <x:v>46300</x:v>
      </x:c>
      <x:c r="B959" s="2" t="str">
        <x:v>MM-1692</x:v>
      </x:c>
      <x:c r="C959" s="2" t="str">
        <x:v>Organic Search</x:v>
      </x:c>
      <x:c r="D959" s="2" t="str">
        <x:v>PIN-001</x:v>
      </x:c>
      <x:c r="E959" s="2" t="str">
        <x:f>_xlfn.IFNA(VLOOKUP(D959,'Products'!$A$7:$I$22,2,FALSE),"Unmapped")</x:f>
        <x:v>Coffee enamel pin</x:v>
      </x:c>
      <x:c r="F959" s="2" t="str">
        <x:f>_xlfn.IFNA(VLOOKUP(D959,'Products'!$A$7:$I$22,3,FALSE),"Unmapped")</x:f>
        <x:v>Accessories</x:v>
      </x:c>
      <x:c r="G959" s="2" t="n">
        <x:v>1</x:v>
      </x:c>
      <x:c r="H959" s="2" t="n">
        <x:v>0</x:v>
      </x:c>
      <x:c r="I959" s="10" t="n">
        <x:v>9.95</x:v>
      </x:c>
      <x:c r="J959" s="10" t="n">
        <x:v>0</x:v>
      </x:c>
      <x:c r="K959" s="10" t="n">
        <x:v>2.5</x:v>
      </x:c>
      <x:c r="L959" s="10" t="n">
        <x:f>G959*I959</x:f>
        <x:v>9.95</x:v>
      </x:c>
      <x:c r="M959" s="10" t="n">
        <x:f>ROUND((L959-J959)*H959/G959,2)</x:f>
        <x:v>0</x:v>
      </x:c>
      <x:c r="N959" s="10" t="n">
        <x:f>L959-J959-M959</x:f>
        <x:v>9.95</x:v>
      </x:c>
      <x:c r="O959" s="10" t="n">
        <x:f>(G959-H959)*K959</x:f>
        <x:v>2.5</x:v>
      </x:c>
      <x:c r="P959" s="10" t="n">
        <x:f>N959-O959</x:f>
        <x:v>7.449999999999999</x:v>
      </x:c>
      <x:c r="Q959" s="9" t="n">
        <x:f>A959-WEEKDAY(A959,2)+1</x:f>
        <x:v>46300</x:v>
      </x:c>
      <x:c r="R959" s="2" t="str">
        <x:f>IF(AND(A959&gt;='Review'!$B$4,A959&lt;='Review'!$D$4),"Selected","Outside")</x:f>
        <x:v>Selected</x:v>
      </x:c>
    </x:row>
    <x:row r="960" ht="20" customHeight="1">
      <x:c r="A960" s="9" t="n">
        <x:v>46300</x:v>
      </x:c>
      <x:c r="B960" s="2" t="str">
        <x:v>MM-1686</x:v>
      </x:c>
      <x:c r="C960" s="2" t="str">
        <x:v>Organic Search</x:v>
      </x:c>
      <x:c r="D960" s="2" t="str">
        <x:v>MUG-001</x:v>
      </x:c>
      <x:c r="E960" s="2" t="str">
        <x:f>_xlfn.IFNA(VLOOKUP(D960,'Products'!$A$7:$I$22,2,FALSE),"Unmapped")</x:f>
        <x:v>Everyday ceramic mug</x:v>
      </x:c>
      <x:c r="F960" s="2" t="str">
        <x:f>_xlfn.IFNA(VLOOKUP(D960,'Products'!$A$7:$I$22,3,FALSE),"Unmapped")</x:f>
        <x:v>Drinkware</x:v>
      </x:c>
      <x:c r="G960" s="2" t="n">
        <x:v>2</x:v>
      </x:c>
      <x:c r="H960" s="2" t="n">
        <x:v>0</x:v>
      </x:c>
      <x:c r="I960" s="10" t="n">
        <x:v>18.95</x:v>
      </x:c>
      <x:c r="J960" s="10" t="n">
        <x:v>3.79</x:v>
      </x:c>
      <x:c r="K960" s="10" t="n">
        <x:v>6.5</x:v>
      </x:c>
      <x:c r="L960" s="10" t="n">
        <x:f>G960*I960</x:f>
        <x:v>37.9</x:v>
      </x:c>
      <x:c r="M960" s="10" t="n">
        <x:f>ROUND((L960-J960)*H960/G960,2)</x:f>
        <x:v>0</x:v>
      </x:c>
      <x:c r="N960" s="10" t="n">
        <x:f>L960-J960-M960</x:f>
        <x:v>34.11</x:v>
      </x:c>
      <x:c r="O960" s="10" t="n">
        <x:f>(G960-H960)*K960</x:f>
        <x:v>13</x:v>
      </x:c>
      <x:c r="P960" s="10" t="n">
        <x:f>N960-O960</x:f>
        <x:v>21.11</x:v>
      </x:c>
      <x:c r="Q960" s="9" t="n">
        <x:f>A960-WEEKDAY(A960,2)+1</x:f>
        <x:v>46300</x:v>
      </x:c>
      <x:c r="R960" s="2" t="str">
        <x:f>IF(AND(A960&gt;='Review'!$B$4,A960&lt;='Review'!$D$4),"Selected","Outside")</x:f>
        <x:v>Selected</x:v>
      </x:c>
    </x:row>
    <x:row r="961" ht="20" customHeight="1">
      <x:c r="A961" s="9" t="n">
        <x:v>46300</x:v>
      </x:c>
      <x:c r="B961" s="2" t="str">
        <x:v>MM-1679</x:v>
      </x:c>
      <x:c r="C961" s="2" t="str">
        <x:v>Paid Social</x:v>
      </x:c>
      <x:c r="D961" s="2" t="str">
        <x:v>GFT-002</x:v>
      </x:c>
      <x:c r="E961" s="2" t="str">
        <x:f>_xlfn.IFNA(VLOOKUP(D961,'Products'!$A$7:$I$22,2,FALSE),"Unmapped")</x:f>
        <x:v>Cozy weekend gift box</x:v>
      </x:c>
      <x:c r="F961" s="2" t="str">
        <x:f>_xlfn.IFNA(VLOOKUP(D961,'Products'!$A$7:$I$22,3,FALSE),"Unmapped")</x:f>
        <x:v>Gifts</x:v>
      </x:c>
      <x:c r="G961" s="2" t="n">
        <x:v>1</x:v>
      </x:c>
      <x:c r="H961" s="2" t="n">
        <x:v>0</x:v>
      </x:c>
      <x:c r="I961" s="10" t="n">
        <x:v>79.95</x:v>
      </x:c>
      <x:c r="J961" s="10" t="n">
        <x:v>0</x:v>
      </x:c>
      <x:c r="K961" s="10" t="n">
        <x:v>32</x:v>
      </x:c>
      <x:c r="L961" s="10" t="n">
        <x:f>G961*I961</x:f>
        <x:v>79.95</x:v>
      </x:c>
      <x:c r="M961" s="10" t="n">
        <x:f>ROUND((L961-J961)*H961/G961,2)</x:f>
        <x:v>0</x:v>
      </x:c>
      <x:c r="N961" s="10" t="n">
        <x:f>L961-J961-M961</x:f>
        <x:v>79.95</x:v>
      </x:c>
      <x:c r="O961" s="10" t="n">
        <x:f>(G961-H961)*K961</x:f>
        <x:v>32</x:v>
      </x:c>
      <x:c r="P961" s="10" t="n">
        <x:f>N961-O961</x:f>
        <x:v>47.95</x:v>
      </x:c>
      <x:c r="Q961" s="9" t="n">
        <x:f>A961-WEEKDAY(A961,2)+1</x:f>
        <x:v>46300</x:v>
      </x:c>
      <x:c r="R961" s="2" t="str">
        <x:f>IF(AND(A961&gt;='Review'!$B$4,A961&lt;='Review'!$D$4),"Selected","Outside")</x:f>
        <x:v>Selected</x:v>
      </x:c>
    </x:row>
    <x:row r="962" ht="20" customHeight="1">
      <x:c r="A962" s="9" t="n">
        <x:v>46300</x:v>
      </x:c>
      <x:c r="B962" s="2" t="str">
        <x:v>MM-1679</x:v>
      </x:c>
      <x:c r="C962" s="2" t="str">
        <x:v>Paid Social</x:v>
      </x:c>
      <x:c r="D962" s="2" t="str">
        <x:v>MUG-001</x:v>
      </x:c>
      <x:c r="E962" s="2" t="str">
        <x:f>_xlfn.IFNA(VLOOKUP(D962,'Products'!$A$7:$I$22,2,FALSE),"Unmapped")</x:f>
        <x:v>Everyday ceramic mug</x:v>
      </x:c>
      <x:c r="F962" s="2" t="str">
        <x:f>_xlfn.IFNA(VLOOKUP(D962,'Products'!$A$7:$I$22,3,FALSE),"Unmapped")</x:f>
        <x:v>Drinkware</x:v>
      </x:c>
      <x:c r="G962" s="2" t="n">
        <x:v>1</x:v>
      </x:c>
      <x:c r="H962" s="2" t="n">
        <x:v>0</x:v>
      </x:c>
      <x:c r="I962" s="10" t="n">
        <x:v>18.95</x:v>
      </x:c>
      <x:c r="J962" s="10" t="n">
        <x:v>0</x:v>
      </x:c>
      <x:c r="K962" s="10" t="n">
        <x:v>6.5</x:v>
      </x:c>
      <x:c r="L962" s="10" t="n">
        <x:f>G962*I962</x:f>
        <x:v>18.95</x:v>
      </x:c>
      <x:c r="M962" s="10" t="n">
        <x:f>ROUND((L962-J962)*H962/G962,2)</x:f>
        <x:v>0</x:v>
      </x:c>
      <x:c r="N962" s="10" t="n">
        <x:f>L962-J962-M962</x:f>
        <x:v>18.95</x:v>
      </x:c>
      <x:c r="O962" s="10" t="n">
        <x:f>(G962-H962)*K962</x:f>
        <x:v>6.5</x:v>
      </x:c>
      <x:c r="P962" s="10" t="n">
        <x:f>N962-O962</x:f>
        <x:v>12.45</x:v>
      </x:c>
      <x:c r="Q962" s="9" t="n">
        <x:f>A962-WEEKDAY(A962,2)+1</x:f>
        <x:v>46300</x:v>
      </x:c>
      <x:c r="R962" s="2" t="str">
        <x:f>IF(AND(A962&gt;='Review'!$B$4,A962&lt;='Review'!$D$4),"Selected","Outside")</x:f>
        <x:v>Selected</x:v>
      </x:c>
    </x:row>
    <x:row r="963" ht="20" customHeight="1">
      <x:c r="A963" s="9" t="n">
        <x:v>46300</x:v>
      </x:c>
      <x:c r="B963" s="2" t="str">
        <x:v>MM-1680</x:v>
      </x:c>
      <x:c r="C963" s="2" t="str">
        <x:v>Email</x:v>
      </x:c>
      <x:c r="D963" s="2" t="str">
        <x:v>KEY-001</x:v>
      </x:c>
      <x:c r="E963" s="2" t="str">
        <x:f>_xlfn.IFNA(VLOOKUP(D963,'Products'!$A$7:$I$22,2,FALSE),"Unmapped")</x:f>
        <x:v>Maple keyring</x:v>
      </x:c>
      <x:c r="F963" s="2" t="str">
        <x:f>_xlfn.IFNA(VLOOKUP(D963,'Products'!$A$7:$I$22,3,FALSE),"Unmapped")</x:f>
        <x:v>Accessories</x:v>
      </x:c>
      <x:c r="G963" s="2" t="n">
        <x:v>2</x:v>
      </x:c>
      <x:c r="H963" s="2" t="n">
        <x:v>0</x:v>
      </x:c>
      <x:c r="I963" s="10" t="n">
        <x:v>12.95</x:v>
      </x:c>
      <x:c r="J963" s="10" t="n">
        <x:v>2.59</x:v>
      </x:c>
      <x:c r="K963" s="10" t="n">
        <x:v>3.5</x:v>
      </x:c>
      <x:c r="L963" s="10" t="n">
        <x:f>G963*I963</x:f>
        <x:v>25.9</x:v>
      </x:c>
      <x:c r="M963" s="10" t="n">
        <x:f>ROUND((L963-J963)*H963/G963,2)</x:f>
        <x:v>0</x:v>
      </x:c>
      <x:c r="N963" s="10" t="n">
        <x:f>L963-J963-M963</x:f>
        <x:v>23.31</x:v>
      </x:c>
      <x:c r="O963" s="10" t="n">
        <x:f>(G963-H963)*K963</x:f>
        <x:v>7</x:v>
      </x:c>
      <x:c r="P963" s="10" t="n">
        <x:f>N963-O963</x:f>
        <x:v>16.31</x:v>
      </x:c>
      <x:c r="Q963" s="9" t="n">
        <x:f>A963-WEEKDAY(A963,2)+1</x:f>
        <x:v>46300</x:v>
      </x:c>
      <x:c r="R963" s="2" t="str">
        <x:f>IF(AND(A963&gt;='Review'!$B$4,A963&lt;='Review'!$D$4),"Selected","Outside")</x:f>
        <x:v>Selected</x:v>
      </x:c>
    </x:row>
    <x:row r="964" ht="20" customHeight="1">
      <x:c r="A964" s="9" t="n">
        <x:v>46300</x:v>
      </x:c>
      <x:c r="B964" s="2" t="str">
        <x:v>MM-1684</x:v>
      </x:c>
      <x:c r="C964" s="2" t="str">
        <x:v>Email</x:v>
      </x:c>
      <x:c r="D964" s="2" t="str">
        <x:v>MUG-001</x:v>
      </x:c>
      <x:c r="E964" s="2" t="str">
        <x:f>_xlfn.IFNA(VLOOKUP(D964,'Products'!$A$7:$I$22,2,FALSE),"Unmapped")</x:f>
        <x:v>Everyday ceramic mug</x:v>
      </x:c>
      <x:c r="F964" s="2" t="str">
        <x:f>_xlfn.IFNA(VLOOKUP(D964,'Products'!$A$7:$I$22,3,FALSE),"Unmapped")</x:f>
        <x:v>Drinkware</x:v>
      </x:c>
      <x:c r="G964" s="2" t="n">
        <x:v>1</x:v>
      </x:c>
      <x:c r="H964" s="2" t="n">
        <x:v>0</x:v>
      </x:c>
      <x:c r="I964" s="10" t="n">
        <x:v>18.95</x:v>
      </x:c>
      <x:c r="J964" s="10" t="n">
        <x:v>1.89</x:v>
      </x:c>
      <x:c r="K964" s="10" t="n">
        <x:v>6.5</x:v>
      </x:c>
      <x:c r="L964" s="10" t="n">
        <x:f>G964*I964</x:f>
        <x:v>18.95</x:v>
      </x:c>
      <x:c r="M964" s="10" t="n">
        <x:f>ROUND((L964-J964)*H964/G964,2)</x:f>
        <x:v>0</x:v>
      </x:c>
      <x:c r="N964" s="10" t="n">
        <x:f>L964-J964-M964</x:f>
        <x:v>17.06</x:v>
      </x:c>
      <x:c r="O964" s="10" t="n">
        <x:f>(G964-H964)*K964</x:f>
        <x:v>6.5</x:v>
      </x:c>
      <x:c r="P964" s="10" t="n">
        <x:f>N964-O964</x:f>
        <x:v>10.559999999999999</x:v>
      </x:c>
      <x:c r="Q964" s="9" t="n">
        <x:f>A964-WEEKDAY(A964,2)+1</x:f>
        <x:v>46300</x:v>
      </x:c>
      <x:c r="R964" s="2" t="str">
        <x:f>IF(AND(A964&gt;='Review'!$B$4,A964&lt;='Review'!$D$4),"Selected","Outside")</x:f>
        <x:v>Selected</x:v>
      </x:c>
    </x:row>
    <x:row r="965" ht="20" customHeight="1">
      <x:c r="A965" s="9" t="n">
        <x:v>46300</x:v>
      </x:c>
      <x:c r="B965" s="2" t="str">
        <x:v>MM-1689</x:v>
      </x:c>
      <x:c r="C965" s="2" t="str">
        <x:v>Organic Search</x:v>
      </x:c>
      <x:c r="D965" s="2" t="str">
        <x:v>TUM-002</x:v>
      </x:c>
      <x:c r="E965" s="2" t="str">
        <x:f>_xlfn.IFNA(VLOOKUP(D965,'Products'!$A$7:$I$22,2,FALSE),"Unmapped")</x:f>
        <x:v>Cold brew glass cup</x:v>
      </x:c>
      <x:c r="F965" s="2" t="str">
        <x:f>_xlfn.IFNA(VLOOKUP(D965,'Products'!$A$7:$I$22,3,FALSE),"Unmapped")</x:f>
        <x:v>Drinkware</x:v>
      </x:c>
      <x:c r="G965" s="2" t="n">
        <x:v>3</x:v>
      </x:c>
      <x:c r="H965" s="2" t="n">
        <x:v>0</x:v>
      </x:c>
      <x:c r="I965" s="10" t="n">
        <x:v>24.95</x:v>
      </x:c>
      <x:c r="J965" s="10" t="n">
        <x:v>0</x:v>
      </x:c>
      <x:c r="K965" s="10" t="n">
        <x:v>9</x:v>
      </x:c>
      <x:c r="L965" s="10" t="n">
        <x:f>G965*I965</x:f>
        <x:v>74.85</x:v>
      </x:c>
      <x:c r="M965" s="10" t="n">
        <x:f>ROUND((L965-J965)*H965/G965,2)</x:f>
        <x:v>0</x:v>
      </x:c>
      <x:c r="N965" s="10" t="n">
        <x:f>L965-J965-M965</x:f>
        <x:v>74.85</x:v>
      </x:c>
      <x:c r="O965" s="10" t="n">
        <x:f>(G965-H965)*K965</x:f>
        <x:v>27</x:v>
      </x:c>
      <x:c r="P965" s="10" t="n">
        <x:f>N965-O965</x:f>
        <x:v>47.849999999999994</x:v>
      </x:c>
      <x:c r="Q965" s="9" t="n">
        <x:f>A965-WEEKDAY(A965,2)+1</x:f>
        <x:v>46300</x:v>
      </x:c>
      <x:c r="R965" s="2" t="str">
        <x:f>IF(AND(A965&gt;='Review'!$B$4,A965&lt;='Review'!$D$4),"Selected","Outside")</x:f>
        <x:v>Selected</x:v>
      </x:c>
    </x:row>
    <x:row r="966" ht="20" customHeight="1">
      <x:c r="A966" s="9" t="n">
        <x:v>46300</x:v>
      </x:c>
      <x:c r="B966" s="2" t="str">
        <x:v>MM-1678</x:v>
      </x:c>
      <x:c r="C966" s="2" t="str">
        <x:v>Direct</x:v>
      </x:c>
      <x:c r="D966" s="2" t="str">
        <x:v>BOT-001</x:v>
      </x:c>
      <x:c r="E966" s="2" t="str">
        <x:f>_xlfn.IFNA(VLOOKUP(D966,'Products'!$A$7:$I$22,2,FALSE),"Unmapped")</x:f>
        <x:v>Trail water bottle</x:v>
      </x:c>
      <x:c r="F966" s="2" t="str">
        <x:f>_xlfn.IFNA(VLOOKUP(D966,'Products'!$A$7:$I$22,3,FALSE),"Unmapped")</x:f>
        <x:v>Drinkware</x:v>
      </x:c>
      <x:c r="G966" s="2" t="n">
        <x:v>1</x:v>
      </x:c>
      <x:c r="H966" s="2" t="n">
        <x:v>0</x:v>
      </x:c>
      <x:c r="I966" s="10" t="n">
        <x:v>34.95</x:v>
      </x:c>
      <x:c r="J966" s="10" t="n">
        <x:v>0</x:v>
      </x:c>
      <x:c r="K966" s="10" t="n">
        <x:v>13.5</x:v>
      </x:c>
      <x:c r="L966" s="10" t="n">
        <x:f>G966*I966</x:f>
        <x:v>34.95</x:v>
      </x:c>
      <x:c r="M966" s="10" t="n">
        <x:f>ROUND((L966-J966)*H966/G966,2)</x:f>
        <x:v>0</x:v>
      </x:c>
      <x:c r="N966" s="10" t="n">
        <x:f>L966-J966-M966</x:f>
        <x:v>34.95</x:v>
      </x:c>
      <x:c r="O966" s="10" t="n">
        <x:f>(G966-H966)*K966</x:f>
        <x:v>13.5</x:v>
      </x:c>
      <x:c r="P966" s="10" t="n">
        <x:f>N966-O966</x:f>
        <x:v>21.450000000000003</x:v>
      </x:c>
      <x:c r="Q966" s="9" t="n">
        <x:f>A966-WEEKDAY(A966,2)+1</x:f>
        <x:v>46300</x:v>
      </x:c>
      <x:c r="R966" s="2" t="str">
        <x:f>IF(AND(A966&gt;='Review'!$B$4,A966&lt;='Review'!$D$4),"Selected","Outside")</x:f>
        <x:v>Selected</x:v>
      </x:c>
    </x:row>
    <x:row r="967" ht="20" customHeight="1">
      <x:c r="A967" s="9" t="n">
        <x:v>46300</x:v>
      </x:c>
      <x:c r="B967" s="2" t="str">
        <x:v>MM-1678</x:v>
      </x:c>
      <x:c r="C967" s="2" t="str">
        <x:v>Direct</x:v>
      </x:c>
      <x:c r="D967" s="2" t="str">
        <x:v>TOTE-001</x:v>
      </x:c>
      <x:c r="E967" s="2" t="str">
        <x:f>_xlfn.IFNA(VLOOKUP(D967,'Products'!$A$7:$I$22,2,FALSE),"Unmapped")</x:f>
        <x:v>Market canvas tote</x:v>
      </x:c>
      <x:c r="F967" s="2" t="str">
        <x:f>_xlfn.IFNA(VLOOKUP(D967,'Products'!$A$7:$I$22,3,FALSE),"Unmapped")</x:f>
        <x:v>Accessories</x:v>
      </x:c>
      <x:c r="G967" s="2" t="n">
        <x:v>2</x:v>
      </x:c>
      <x:c r="H967" s="2" t="n">
        <x:v>0</x:v>
      </x:c>
      <x:c r="I967" s="10" t="n">
        <x:v>19.95</x:v>
      </x:c>
      <x:c r="J967" s="10" t="n">
        <x:v>0</x:v>
      </x:c>
      <x:c r="K967" s="10" t="n">
        <x:v>6</x:v>
      </x:c>
      <x:c r="L967" s="10" t="n">
        <x:f>G967*I967</x:f>
        <x:v>39.9</x:v>
      </x:c>
      <x:c r="M967" s="10" t="n">
        <x:f>ROUND((L967-J967)*H967/G967,2)</x:f>
        <x:v>0</x:v>
      </x:c>
      <x:c r="N967" s="10" t="n">
        <x:f>L967-J967-M967</x:f>
        <x:v>39.9</x:v>
      </x:c>
      <x:c r="O967" s="10" t="n">
        <x:f>(G967-H967)*K967</x:f>
        <x:v>12</x:v>
      </x:c>
      <x:c r="P967" s="10" t="n">
        <x:f>N967-O967</x:f>
        <x:v>27.9</x:v>
      </x:c>
      <x:c r="Q967" s="9" t="n">
        <x:f>A967-WEEKDAY(A967,2)+1</x:f>
        <x:v>46300</x:v>
      </x:c>
      <x:c r="R967" s="2" t="str">
        <x:f>IF(AND(A967&gt;='Review'!$B$4,A967&lt;='Review'!$D$4),"Selected","Outside")</x:f>
        <x:v>Selected</x:v>
      </x:c>
    </x:row>
    <x:row r="968" ht="20" customHeight="1">
      <x:c r="A968" s="9" t="n">
        <x:v>46300</x:v>
      </x:c>
      <x:c r="B968" s="2" t="str">
        <x:v>MM-1682</x:v>
      </x:c>
      <x:c r="C968" s="2" t="str">
        <x:v>Email</x:v>
      </x:c>
      <x:c r="D968" s="2" t="str">
        <x:v>APP-002</x:v>
      </x:c>
      <x:c r="E968" s="2" t="str">
        <x:f>_xlfn.IFNA(VLOOKUP(D968,'Products'!$A$7:$I$22,2,FALSE),"Unmapped")</x:f>
        <x:v>Weekend hoodie</x:v>
      </x:c>
      <x:c r="F968" s="2" t="str">
        <x:f>_xlfn.IFNA(VLOOKUP(D968,'Products'!$A$7:$I$22,3,FALSE),"Unmapped")</x:f>
        <x:v>Apparel</x:v>
      </x:c>
      <x:c r="G968" s="2" t="n">
        <x:v>1</x:v>
      </x:c>
      <x:c r="H968" s="2" t="n">
        <x:v>0</x:v>
      </x:c>
      <x:c r="I968" s="10" t="n">
        <x:v>69.95</x:v>
      </x:c>
      <x:c r="J968" s="10" t="n">
        <x:v>6.99</x:v>
      </x:c>
      <x:c r="K968" s="10" t="n">
        <x:v>28</x:v>
      </x:c>
      <x:c r="L968" s="10" t="n">
        <x:f>G968*I968</x:f>
        <x:v>69.95</x:v>
      </x:c>
      <x:c r="M968" s="10" t="n">
        <x:f>ROUND((L968-J968)*H968/G968,2)</x:f>
        <x:v>0</x:v>
      </x:c>
      <x:c r="N968" s="10" t="n">
        <x:f>L968-J968-M968</x:f>
        <x:v>62.96</x:v>
      </x:c>
      <x:c r="O968" s="10" t="n">
        <x:f>(G968-H968)*K968</x:f>
        <x:v>28</x:v>
      </x:c>
      <x:c r="P968" s="10" t="n">
        <x:f>N968-O968</x:f>
        <x:v>34.96</x:v>
      </x:c>
      <x:c r="Q968" s="9" t="n">
        <x:f>A968-WEEKDAY(A968,2)+1</x:f>
        <x:v>46300</x:v>
      </x:c>
      <x:c r="R968" s="2" t="str">
        <x:f>IF(AND(A968&gt;='Review'!$B$4,A968&lt;='Review'!$D$4),"Selected","Outside")</x:f>
        <x:v>Selected</x:v>
      </x:c>
    </x:row>
    <x:row r="969" ht="20" customHeight="1">
      <x:c r="A969" s="9" t="n">
        <x:v>46300</x:v>
      </x:c>
      <x:c r="B969" s="2" t="str">
        <x:v>MM-1682</x:v>
      </x:c>
      <x:c r="C969" s="2" t="str">
        <x:v>Email</x:v>
      </x:c>
      <x:c r="D969" s="2" t="str">
        <x:v>TOTE-001</x:v>
      </x:c>
      <x:c r="E969" s="2" t="str">
        <x:f>_xlfn.IFNA(VLOOKUP(D969,'Products'!$A$7:$I$22,2,FALSE),"Unmapped")</x:f>
        <x:v>Market canvas tote</x:v>
      </x:c>
      <x:c r="F969" s="2" t="str">
        <x:f>_xlfn.IFNA(VLOOKUP(D969,'Products'!$A$7:$I$22,3,FALSE),"Unmapped")</x:f>
        <x:v>Accessories</x:v>
      </x:c>
      <x:c r="G969" s="2" t="n">
        <x:v>3</x:v>
      </x:c>
      <x:c r="H969" s="2" t="n">
        <x:v>0</x:v>
      </x:c>
      <x:c r="I969" s="10" t="n">
        <x:v>19.95</x:v>
      </x:c>
      <x:c r="J969" s="10" t="n">
        <x:v>5.98</x:v>
      </x:c>
      <x:c r="K969" s="10" t="n">
        <x:v>6</x:v>
      </x:c>
      <x:c r="L969" s="10" t="n">
        <x:f>G969*I969</x:f>
        <x:v>59.849999999999994</x:v>
      </x:c>
      <x:c r="M969" s="10" t="n">
        <x:f>ROUND((L969-J969)*H969/G969,2)</x:f>
        <x:v>0</x:v>
      </x:c>
      <x:c r="N969" s="10" t="n">
        <x:f>L969-J969-M969</x:f>
        <x:v>53.86999999999999</x:v>
      </x:c>
      <x:c r="O969" s="10" t="n">
        <x:f>(G969-H969)*K969</x:f>
        <x:v>18</x:v>
      </x:c>
      <x:c r="P969" s="10" t="n">
        <x:f>N969-O969</x:f>
        <x:v>35.86999999999999</x:v>
      </x:c>
      <x:c r="Q969" s="9" t="n">
        <x:f>A969-WEEKDAY(A969,2)+1</x:f>
        <x:v>46300</x:v>
      </x:c>
      <x:c r="R969" s="2" t="str">
        <x:f>IF(AND(A969&gt;='Review'!$B$4,A969&lt;='Review'!$D$4),"Selected","Outside")</x:f>
        <x:v>Selected</x:v>
      </x:c>
    </x:row>
    <x:row r="970" ht="20" customHeight="1">
      <x:c r="A970" s="9" t="n">
        <x:v>46300</x:v>
      </x:c>
      <x:c r="B970" s="2" t="str">
        <x:v>MM-1693</x:v>
      </x:c>
      <x:c r="C970" s="2" t="str">
        <x:v>Paid Social</x:v>
      </x:c>
      <x:c r="D970" s="2" t="str">
        <x:v>APP-002</x:v>
      </x:c>
      <x:c r="E970" s="2" t="str">
        <x:f>_xlfn.IFNA(VLOOKUP(D970,'Products'!$A$7:$I$22,2,FALSE),"Unmapped")</x:f>
        <x:v>Weekend hoodie</x:v>
      </x:c>
      <x:c r="F970" s="2" t="str">
        <x:f>_xlfn.IFNA(VLOOKUP(D970,'Products'!$A$7:$I$22,3,FALSE),"Unmapped")</x:f>
        <x:v>Apparel</x:v>
      </x:c>
      <x:c r="G970" s="2" t="n">
        <x:v>1</x:v>
      </x:c>
      <x:c r="H970" s="2" t="n">
        <x:v>0</x:v>
      </x:c>
      <x:c r="I970" s="10" t="n">
        <x:v>69.95</x:v>
      </x:c>
      <x:c r="J970" s="10" t="n">
        <x:v>0</x:v>
      </x:c>
      <x:c r="K970" s="10" t="n">
        <x:v>28</x:v>
      </x:c>
      <x:c r="L970" s="10" t="n">
        <x:f>G970*I970</x:f>
        <x:v>69.95</x:v>
      </x:c>
      <x:c r="M970" s="10" t="n">
        <x:f>ROUND((L970-J970)*H970/G970,2)</x:f>
        <x:v>0</x:v>
      </x:c>
      <x:c r="N970" s="10" t="n">
        <x:f>L970-J970-M970</x:f>
        <x:v>69.95</x:v>
      </x:c>
      <x:c r="O970" s="10" t="n">
        <x:f>(G970-H970)*K970</x:f>
        <x:v>28</x:v>
      </x:c>
      <x:c r="P970" s="10" t="n">
        <x:f>N970-O970</x:f>
        <x:v>41.95</x:v>
      </x:c>
      <x:c r="Q970" s="9" t="n">
        <x:f>A970-WEEKDAY(A970,2)+1</x:f>
        <x:v>46300</x:v>
      </x:c>
      <x:c r="R970" s="2" t="str">
        <x:f>IF(AND(A970&gt;='Review'!$B$4,A970&lt;='Review'!$D$4),"Selected","Outside")</x:f>
        <x:v>Selected</x:v>
      </x:c>
    </x:row>
    <x:row r="971" ht="20" customHeight="1">
      <x:c r="A971" s="9" t="n">
        <x:v>46300</x:v>
      </x:c>
      <x:c r="B971" s="2" t="str">
        <x:v>MM-1688</x:v>
      </x:c>
      <x:c r="C971" s="2" t="str">
        <x:v>Organic Search</x:v>
      </x:c>
      <x:c r="D971" s="2" t="str">
        <x:v>GFT-002</x:v>
      </x:c>
      <x:c r="E971" s="2" t="str">
        <x:f>_xlfn.IFNA(VLOOKUP(D971,'Products'!$A$7:$I$22,2,FALSE),"Unmapped")</x:f>
        <x:v>Cozy weekend gift box</x:v>
      </x:c>
      <x:c r="F971" s="2" t="str">
        <x:f>_xlfn.IFNA(VLOOKUP(D971,'Products'!$A$7:$I$22,3,FALSE),"Unmapped")</x:f>
        <x:v>Gifts</x:v>
      </x:c>
      <x:c r="G971" s="2" t="n">
        <x:v>1</x:v>
      </x:c>
      <x:c r="H971" s="2" t="n">
        <x:v>0</x:v>
      </x:c>
      <x:c r="I971" s="10" t="n">
        <x:v>79.95</x:v>
      </x:c>
      <x:c r="J971" s="10" t="n">
        <x:v>0</x:v>
      </x:c>
      <x:c r="K971" s="10" t="n">
        <x:v>32</x:v>
      </x:c>
      <x:c r="L971" s="10" t="n">
        <x:f>G971*I971</x:f>
        <x:v>79.95</x:v>
      </x:c>
      <x:c r="M971" s="10" t="n">
        <x:f>ROUND((L971-J971)*H971/G971,2)</x:f>
        <x:v>0</x:v>
      </x:c>
      <x:c r="N971" s="10" t="n">
        <x:f>L971-J971-M971</x:f>
        <x:v>79.95</x:v>
      </x:c>
      <x:c r="O971" s="10" t="n">
        <x:f>(G971-H971)*K971</x:f>
        <x:v>32</x:v>
      </x:c>
      <x:c r="P971" s="10" t="n">
        <x:f>N971-O971</x:f>
        <x:v>47.95</x:v>
      </x:c>
      <x:c r="Q971" s="9" t="n">
        <x:f>A971-WEEKDAY(A971,2)+1</x:f>
        <x:v>46300</x:v>
      </x:c>
      <x:c r="R971" s="2" t="str">
        <x:f>IF(AND(A971&gt;='Review'!$B$4,A971&lt;='Review'!$D$4),"Selected","Outside")</x:f>
        <x:v>Selected</x:v>
      </x:c>
    </x:row>
    <x:row r="972" ht="20" customHeight="1">
      <x:c r="A972" s="9" t="n">
        <x:v>46301</x:v>
      </x:c>
      <x:c r="B972" s="2" t="str">
        <x:v>MM-1700</x:v>
      </x:c>
      <x:c r="C972" s="2" t="str">
        <x:v>Email</x:v>
      </x:c>
      <x:c r="D972" s="2" t="str">
        <x:v>MUG-001</x:v>
      </x:c>
      <x:c r="E972" s="2" t="str">
        <x:f>_xlfn.IFNA(VLOOKUP(D972,'Products'!$A$7:$I$22,2,FALSE),"Unmapped")</x:f>
        <x:v>Everyday ceramic mug</x:v>
      </x:c>
      <x:c r="F972" s="2" t="str">
        <x:f>_xlfn.IFNA(VLOOKUP(D972,'Products'!$A$7:$I$22,3,FALSE),"Unmapped")</x:f>
        <x:v>Drinkware</x:v>
      </x:c>
      <x:c r="G972" s="2" t="n">
        <x:v>1</x:v>
      </x:c>
      <x:c r="H972" s="2" t="n">
        <x:v>0</x:v>
      </x:c>
      <x:c r="I972" s="10" t="n">
        <x:v>18.95</x:v>
      </x:c>
      <x:c r="J972" s="10" t="n">
        <x:v>1.89</x:v>
      </x:c>
      <x:c r="K972" s="10" t="n">
        <x:v>6.5</x:v>
      </x:c>
      <x:c r="L972" s="10" t="n">
        <x:f>G972*I972</x:f>
        <x:v>18.95</x:v>
      </x:c>
      <x:c r="M972" s="10" t="n">
        <x:f>ROUND((L972-J972)*H972/G972,2)</x:f>
        <x:v>0</x:v>
      </x:c>
      <x:c r="N972" s="10" t="n">
        <x:f>L972-J972-M972</x:f>
        <x:v>17.06</x:v>
      </x:c>
      <x:c r="O972" s="10" t="n">
        <x:f>(G972-H972)*K972</x:f>
        <x:v>6.5</x:v>
      </x:c>
      <x:c r="P972" s="10" t="n">
        <x:f>N972-O972</x:f>
        <x:v>10.559999999999999</x:v>
      </x:c>
      <x:c r="Q972" s="9" t="n">
        <x:f>A972-WEEKDAY(A972,2)+1</x:f>
        <x:v>46300</x:v>
      </x:c>
      <x:c r="R972" s="2" t="str">
        <x:f>IF(AND(A972&gt;='Review'!$B$4,A972&lt;='Review'!$D$4),"Selected","Outside")</x:f>
        <x:v>Selected</x:v>
      </x:c>
    </x:row>
    <x:row r="973" ht="20" customHeight="1">
      <x:c r="A973" s="9" t="n">
        <x:v>46301</x:v>
      </x:c>
      <x:c r="B973" s="2" t="str">
        <x:v>MM-1707</x:v>
      </x:c>
      <x:c r="C973" s="2" t="str">
        <x:v>Organic Search</x:v>
      </x:c>
      <x:c r="D973" s="2" t="str">
        <x:v>APP-001</x:v>
      </x:c>
      <x:c r="E973" s="2" t="str">
        <x:f>_xlfn.IFNA(VLOOKUP(D973,'Products'!$A$7:$I$22,2,FALSE),"Unmapped")</x:f>
        <x:v>Everyday crewneck</x:v>
      </x:c>
      <x:c r="F973" s="2" t="str">
        <x:f>_xlfn.IFNA(VLOOKUP(D973,'Products'!$A$7:$I$22,3,FALSE),"Unmapped")</x:f>
        <x:v>Apparel</x:v>
      </x:c>
      <x:c r="G973" s="2" t="n">
        <x:v>1</x:v>
      </x:c>
      <x:c r="H973" s="2" t="n">
        <x:v>0</x:v>
      </x:c>
      <x:c r="I973" s="10" t="n">
        <x:v>54.95</x:v>
      </x:c>
      <x:c r="J973" s="10" t="n">
        <x:v>0</x:v>
      </x:c>
      <x:c r="K973" s="10" t="n">
        <x:v>22</x:v>
      </x:c>
      <x:c r="L973" s="10" t="n">
        <x:f>G973*I973</x:f>
        <x:v>54.95</x:v>
      </x:c>
      <x:c r="M973" s="10" t="n">
        <x:f>ROUND((L973-J973)*H973/G973,2)</x:f>
        <x:v>0</x:v>
      </x:c>
      <x:c r="N973" s="10" t="n">
        <x:f>L973-J973-M973</x:f>
        <x:v>54.95</x:v>
      </x:c>
      <x:c r="O973" s="10" t="n">
        <x:f>(G973-H973)*K973</x:f>
        <x:v>22</x:v>
      </x:c>
      <x:c r="P973" s="10" t="n">
        <x:f>N973-O973</x:f>
        <x:v>32.95</x:v>
      </x:c>
      <x:c r="Q973" s="9" t="n">
        <x:f>A973-WEEKDAY(A973,2)+1</x:f>
        <x:v>46300</x:v>
      </x:c>
      <x:c r="R973" s="2" t="str">
        <x:f>IF(AND(A973&gt;='Review'!$B$4,A973&lt;='Review'!$D$4),"Selected","Outside")</x:f>
        <x:v>Selected</x:v>
      </x:c>
    </x:row>
    <x:row r="974" ht="20" customHeight="1">
      <x:c r="A974" s="9" t="n">
        <x:v>46301</x:v>
      </x:c>
      <x:c r="B974" s="2" t="str">
        <x:v>MM-1701</x:v>
      </x:c>
      <x:c r="C974" s="2" t="str">
        <x:v>Organic Search</x:v>
      </x:c>
      <x:c r="D974" s="2" t="str">
        <x:v>APP-002</x:v>
      </x:c>
      <x:c r="E974" s="2" t="str">
        <x:f>_xlfn.IFNA(VLOOKUP(D974,'Products'!$A$7:$I$22,2,FALSE),"Unmapped")</x:f>
        <x:v>Weekend hoodie</x:v>
      </x:c>
      <x:c r="F974" s="2" t="str">
        <x:f>_xlfn.IFNA(VLOOKUP(D974,'Products'!$A$7:$I$22,3,FALSE),"Unmapped")</x:f>
        <x:v>Apparel</x:v>
      </x:c>
      <x:c r="G974" s="2" t="n">
        <x:v>1</x:v>
      </x:c>
      <x:c r="H974" s="2" t="n">
        <x:v>0</x:v>
      </x:c>
      <x:c r="I974" s="10" t="n">
        <x:v>69.95</x:v>
      </x:c>
      <x:c r="J974" s="10" t="n">
        <x:v>0</x:v>
      </x:c>
      <x:c r="K974" s="10" t="n">
        <x:v>28</x:v>
      </x:c>
      <x:c r="L974" s="10" t="n">
        <x:f>G974*I974</x:f>
        <x:v>69.95</x:v>
      </x:c>
      <x:c r="M974" s="10" t="n">
        <x:f>ROUND((L974-J974)*H974/G974,2)</x:f>
        <x:v>0</x:v>
      </x:c>
      <x:c r="N974" s="10" t="n">
        <x:f>L974-J974-M974</x:f>
        <x:v>69.95</x:v>
      </x:c>
      <x:c r="O974" s="10" t="n">
        <x:f>(G974-H974)*K974</x:f>
        <x:v>28</x:v>
      </x:c>
      <x:c r="P974" s="10" t="n">
        <x:f>N974-O974</x:f>
        <x:v>41.95</x:v>
      </x:c>
      <x:c r="Q974" s="9" t="n">
        <x:f>A974-WEEKDAY(A974,2)+1</x:f>
        <x:v>46300</x:v>
      </x:c>
      <x:c r="R974" s="2" t="str">
        <x:f>IF(AND(A974&gt;='Review'!$B$4,A974&lt;='Review'!$D$4),"Selected","Outside")</x:f>
        <x:v>Selected</x:v>
      </x:c>
    </x:row>
    <x:row r="975" ht="20" customHeight="1">
      <x:c r="A975" s="9" t="n">
        <x:v>46301</x:v>
      </x:c>
      <x:c r="B975" s="2" t="str">
        <x:v>MM-1704</x:v>
      </x:c>
      <x:c r="C975" s="2" t="str">
        <x:v>Direct</x:v>
      </x:c>
      <x:c r="D975" s="2" t="str">
        <x:v>MUG-001</x:v>
      </x:c>
      <x:c r="E975" s="2" t="str">
        <x:f>_xlfn.IFNA(VLOOKUP(D975,'Products'!$A$7:$I$22,2,FALSE),"Unmapped")</x:f>
        <x:v>Everyday ceramic mug</x:v>
      </x:c>
      <x:c r="F975" s="2" t="str">
        <x:f>_xlfn.IFNA(VLOOKUP(D975,'Products'!$A$7:$I$22,3,FALSE),"Unmapped")</x:f>
        <x:v>Drinkware</x:v>
      </x:c>
      <x:c r="G975" s="2" t="n">
        <x:v>1</x:v>
      </x:c>
      <x:c r="H975" s="2" t="n">
        <x:v>0</x:v>
      </x:c>
      <x:c r="I975" s="10" t="n">
        <x:v>18.95</x:v>
      </x:c>
      <x:c r="J975" s="10" t="n">
        <x:v>0</x:v>
      </x:c>
      <x:c r="K975" s="10" t="n">
        <x:v>6.5</x:v>
      </x:c>
      <x:c r="L975" s="10" t="n">
        <x:f>G975*I975</x:f>
        <x:v>18.95</x:v>
      </x:c>
      <x:c r="M975" s="10" t="n">
        <x:f>ROUND((L975-J975)*H975/G975,2)</x:f>
        <x:v>0</x:v>
      </x:c>
      <x:c r="N975" s="10" t="n">
        <x:f>L975-J975-M975</x:f>
        <x:v>18.95</x:v>
      </x:c>
      <x:c r="O975" s="10" t="n">
        <x:f>(G975-H975)*K975</x:f>
        <x:v>6.5</x:v>
      </x:c>
      <x:c r="P975" s="10" t="n">
        <x:f>N975-O975</x:f>
        <x:v>12.45</x:v>
      </x:c>
      <x:c r="Q975" s="9" t="n">
        <x:f>A975-WEEKDAY(A975,2)+1</x:f>
        <x:v>46300</x:v>
      </x:c>
      <x:c r="R975" s="2" t="str">
        <x:f>IF(AND(A975&gt;='Review'!$B$4,A975&lt;='Review'!$D$4),"Selected","Outside")</x:f>
        <x:v>Selected</x:v>
      </x:c>
    </x:row>
    <x:row r="976" ht="20" customHeight="1">
      <x:c r="A976" s="9" t="n">
        <x:v>46301</x:v>
      </x:c>
      <x:c r="B976" s="2" t="str">
        <x:v>MM-1695</x:v>
      </x:c>
      <x:c r="C976" s="2" t="str">
        <x:v>Direct</x:v>
      </x:c>
      <x:c r="D976" s="2" t="str">
        <x:v>APP-002</x:v>
      </x:c>
      <x:c r="E976" s="2" t="str">
        <x:f>_xlfn.IFNA(VLOOKUP(D976,'Products'!$A$7:$I$22,2,FALSE),"Unmapped")</x:f>
        <x:v>Weekend hoodie</x:v>
      </x:c>
      <x:c r="F976" s="2" t="str">
        <x:f>_xlfn.IFNA(VLOOKUP(D976,'Products'!$A$7:$I$22,3,FALSE),"Unmapped")</x:f>
        <x:v>Apparel</x:v>
      </x:c>
      <x:c r="G976" s="2" t="n">
        <x:v>1</x:v>
      </x:c>
      <x:c r="H976" s="2" t="n">
        <x:v>0</x:v>
      </x:c>
      <x:c r="I976" s="10" t="n">
        <x:v>69.95</x:v>
      </x:c>
      <x:c r="J976" s="10" t="n">
        <x:v>0</x:v>
      </x:c>
      <x:c r="K976" s="10" t="n">
        <x:v>28</x:v>
      </x:c>
      <x:c r="L976" s="10" t="n">
        <x:f>G976*I976</x:f>
        <x:v>69.95</x:v>
      </x:c>
      <x:c r="M976" s="10" t="n">
        <x:f>ROUND((L976-J976)*H976/G976,2)</x:f>
        <x:v>0</x:v>
      </x:c>
      <x:c r="N976" s="10" t="n">
        <x:f>L976-J976-M976</x:f>
        <x:v>69.95</x:v>
      </x:c>
      <x:c r="O976" s="10" t="n">
        <x:f>(G976-H976)*K976</x:f>
        <x:v>28</x:v>
      </x:c>
      <x:c r="P976" s="10" t="n">
        <x:f>N976-O976</x:f>
        <x:v>41.95</x:v>
      </x:c>
      <x:c r="Q976" s="9" t="n">
        <x:f>A976-WEEKDAY(A976,2)+1</x:f>
        <x:v>46300</x:v>
      </x:c>
      <x:c r="R976" s="2" t="str">
        <x:f>IF(AND(A976&gt;='Review'!$B$4,A976&lt;='Review'!$D$4),"Selected","Outside")</x:f>
        <x:v>Selected</x:v>
      </x:c>
    </x:row>
    <x:row r="977" ht="20" customHeight="1">
      <x:c r="A977" s="9" t="n">
        <x:v>46301</x:v>
      </x:c>
      <x:c r="B977" s="2" t="str">
        <x:v>MM-1695</x:v>
      </x:c>
      <x:c r="C977" s="2" t="str">
        <x:v>Direct</x:v>
      </x:c>
      <x:c r="D977" s="2" t="str">
        <x:v>KEY-001</x:v>
      </x:c>
      <x:c r="E977" s="2" t="str">
        <x:f>_xlfn.IFNA(VLOOKUP(D977,'Products'!$A$7:$I$22,2,FALSE),"Unmapped")</x:f>
        <x:v>Maple keyring</x:v>
      </x:c>
      <x:c r="F977" s="2" t="str">
        <x:f>_xlfn.IFNA(VLOOKUP(D977,'Products'!$A$7:$I$22,3,FALSE),"Unmapped")</x:f>
        <x:v>Accessories</x:v>
      </x:c>
      <x:c r="G977" s="2" t="n">
        <x:v>1</x:v>
      </x:c>
      <x:c r="H977" s="2" t="n">
        <x:v>0</x:v>
      </x:c>
      <x:c r="I977" s="10" t="n">
        <x:v>12.95</x:v>
      </x:c>
      <x:c r="J977" s="10" t="n">
        <x:v>0</x:v>
      </x:c>
      <x:c r="K977" s="10" t="n">
        <x:v>3.5</x:v>
      </x:c>
      <x:c r="L977" s="10" t="n">
        <x:f>G977*I977</x:f>
        <x:v>12.95</x:v>
      </x:c>
      <x:c r="M977" s="10" t="n">
        <x:f>ROUND((L977-J977)*H977/G977,2)</x:f>
        <x:v>0</x:v>
      </x:c>
      <x:c r="N977" s="10" t="n">
        <x:f>L977-J977-M977</x:f>
        <x:v>12.95</x:v>
      </x:c>
      <x:c r="O977" s="10" t="n">
        <x:f>(G977-H977)*K977</x:f>
        <x:v>3.5</x:v>
      </x:c>
      <x:c r="P977" s="10" t="n">
        <x:f>N977-O977</x:f>
        <x:v>9.45</x:v>
      </x:c>
      <x:c r="Q977" s="9" t="n">
        <x:f>A977-WEEKDAY(A977,2)+1</x:f>
        <x:v>46300</x:v>
      </x:c>
      <x:c r="R977" s="2" t="str">
        <x:f>IF(AND(A977&gt;='Review'!$B$4,A977&lt;='Review'!$D$4),"Selected","Outside")</x:f>
        <x:v>Selected</x:v>
      </x:c>
    </x:row>
    <x:row r="978" ht="20" customHeight="1">
      <x:c r="A978" s="9" t="n">
        <x:v>46301</x:v>
      </x:c>
      <x:c r="B978" s="2" t="str">
        <x:v>MM-1695</x:v>
      </x:c>
      <x:c r="C978" s="2" t="str">
        <x:v>Direct</x:v>
      </x:c>
      <x:c r="D978" s="2" t="str">
        <x:v>TUM-002</x:v>
      </x:c>
      <x:c r="E978" s="2" t="str">
        <x:f>_xlfn.IFNA(VLOOKUP(D978,'Products'!$A$7:$I$22,2,FALSE),"Unmapped")</x:f>
        <x:v>Cold brew glass cup</x:v>
      </x:c>
      <x:c r="F978" s="2" t="str">
        <x:f>_xlfn.IFNA(VLOOKUP(D978,'Products'!$A$7:$I$22,3,FALSE),"Unmapped")</x:f>
        <x:v>Drinkware</x:v>
      </x:c>
      <x:c r="G978" s="2" t="n">
        <x:v>1</x:v>
      </x:c>
      <x:c r="H978" s="2" t="n">
        <x:v>0</x:v>
      </x:c>
      <x:c r="I978" s="10" t="n">
        <x:v>24.95</x:v>
      </x:c>
      <x:c r="J978" s="10" t="n">
        <x:v>0</x:v>
      </x:c>
      <x:c r="K978" s="10" t="n">
        <x:v>9</x:v>
      </x:c>
      <x:c r="L978" s="10" t="n">
        <x:f>G978*I978</x:f>
        <x:v>24.95</x:v>
      </x:c>
      <x:c r="M978" s="10" t="n">
        <x:f>ROUND((L978-J978)*H978/G978,2)</x:f>
        <x:v>0</x:v>
      </x:c>
      <x:c r="N978" s="10" t="n">
        <x:f>L978-J978-M978</x:f>
        <x:v>24.95</x:v>
      </x:c>
      <x:c r="O978" s="10" t="n">
        <x:f>(G978-H978)*K978</x:f>
        <x:v>9</x:v>
      </x:c>
      <x:c r="P978" s="10" t="n">
        <x:f>N978-O978</x:f>
        <x:v>15.95</x:v>
      </x:c>
      <x:c r="Q978" s="9" t="n">
        <x:f>A978-WEEKDAY(A978,2)+1</x:f>
        <x:v>46300</x:v>
      </x:c>
      <x:c r="R978" s="2" t="str">
        <x:f>IF(AND(A978&gt;='Review'!$B$4,A978&lt;='Review'!$D$4),"Selected","Outside")</x:f>
        <x:v>Selected</x:v>
      </x:c>
    </x:row>
    <x:row r="979" ht="20" customHeight="1">
      <x:c r="A979" s="9" t="n">
        <x:v>46301</x:v>
      </x:c>
      <x:c r="B979" s="2" t="str">
        <x:v>MM-1699</x:v>
      </x:c>
      <x:c r="C979" s="2" t="str">
        <x:v>Direct</x:v>
      </x:c>
      <x:c r="D979" s="2" t="str">
        <x:v>GFT-002</x:v>
      </x:c>
      <x:c r="E979" s="2" t="str">
        <x:f>_xlfn.IFNA(VLOOKUP(D979,'Products'!$A$7:$I$22,2,FALSE),"Unmapped")</x:f>
        <x:v>Cozy weekend gift box</x:v>
      </x:c>
      <x:c r="F979" s="2" t="str">
        <x:f>_xlfn.IFNA(VLOOKUP(D979,'Products'!$A$7:$I$22,3,FALSE),"Unmapped")</x:f>
        <x:v>Gifts</x:v>
      </x:c>
      <x:c r="G979" s="2" t="n">
        <x:v>1</x:v>
      </x:c>
      <x:c r="H979" s="2" t="n">
        <x:v>0</x:v>
      </x:c>
      <x:c r="I979" s="10" t="n">
        <x:v>79.95</x:v>
      </x:c>
      <x:c r="J979" s="10" t="n">
        <x:v>0</x:v>
      </x:c>
      <x:c r="K979" s="10" t="n">
        <x:v>32</x:v>
      </x:c>
      <x:c r="L979" s="10" t="n">
        <x:f>G979*I979</x:f>
        <x:v>79.95</x:v>
      </x:c>
      <x:c r="M979" s="10" t="n">
        <x:f>ROUND((L979-J979)*H979/G979,2)</x:f>
        <x:v>0</x:v>
      </x:c>
      <x:c r="N979" s="10" t="n">
        <x:f>L979-J979-M979</x:f>
        <x:v>79.95</x:v>
      </x:c>
      <x:c r="O979" s="10" t="n">
        <x:f>(G979-H979)*K979</x:f>
        <x:v>32</x:v>
      </x:c>
      <x:c r="P979" s="10" t="n">
        <x:f>N979-O979</x:f>
        <x:v>47.95</x:v>
      </x:c>
      <x:c r="Q979" s="9" t="n">
        <x:f>A979-WEEKDAY(A979,2)+1</x:f>
        <x:v>46300</x:v>
      </x:c>
      <x:c r="R979" s="2" t="str">
        <x:f>IF(AND(A979&gt;='Review'!$B$4,A979&lt;='Review'!$D$4),"Selected","Outside")</x:f>
        <x:v>Selected</x:v>
      </x:c>
    </x:row>
    <x:row r="980" ht="20" customHeight="1">
      <x:c r="A980" s="9" t="n">
        <x:v>46301</x:v>
      </x:c>
      <x:c r="B980" s="2" t="str">
        <x:v>MM-1699</x:v>
      </x:c>
      <x:c r="C980" s="2" t="str">
        <x:v>Direct</x:v>
      </x:c>
      <x:c r="D980" s="2" t="str">
        <x:v>MUG-002</x:v>
      </x:c>
      <x:c r="E980" s="2" t="str">
        <x:f>_xlfn.IFNA(VLOOKUP(D980,'Products'!$A$7:$I$22,2,FALSE),"Unmapped")</x:f>
        <x:v>Campfire enamel mug</x:v>
      </x:c>
      <x:c r="F980" s="2" t="str">
        <x:f>_xlfn.IFNA(VLOOKUP(D980,'Products'!$A$7:$I$22,3,FALSE),"Unmapped")</x:f>
        <x:v>Drinkware</x:v>
      </x:c>
      <x:c r="G980" s="2" t="n">
        <x:v>1</x:v>
      </x:c>
      <x:c r="H980" s="2" t="n">
        <x:v>0</x:v>
      </x:c>
      <x:c r="I980" s="10" t="n">
        <x:v>22.95</x:v>
      </x:c>
      <x:c r="J980" s="10" t="n">
        <x:v>0</x:v>
      </x:c>
      <x:c r="K980" s="10" t="n">
        <x:v>8.5</x:v>
      </x:c>
      <x:c r="L980" s="10" t="n">
        <x:f>G980*I980</x:f>
        <x:v>22.95</x:v>
      </x:c>
      <x:c r="M980" s="10" t="n">
        <x:f>ROUND((L980-J980)*H980/G980,2)</x:f>
        <x:v>0</x:v>
      </x:c>
      <x:c r="N980" s="10" t="n">
        <x:f>L980-J980-M980</x:f>
        <x:v>22.95</x:v>
      </x:c>
      <x:c r="O980" s="10" t="n">
        <x:f>(G980-H980)*K980</x:f>
        <x:v>8.5</x:v>
      </x:c>
      <x:c r="P980" s="10" t="n">
        <x:f>N980-O980</x:f>
        <x:v>14.45</x:v>
      </x:c>
      <x:c r="Q980" s="9" t="n">
        <x:f>A980-WEEKDAY(A980,2)+1</x:f>
        <x:v>46300</x:v>
      </x:c>
      <x:c r="R980" s="2" t="str">
        <x:f>IF(AND(A980&gt;='Review'!$B$4,A980&lt;='Review'!$D$4),"Selected","Outside")</x:f>
        <x:v>Selected</x:v>
      </x:c>
    </x:row>
    <x:row r="981" ht="20" customHeight="1">
      <x:c r="A981" s="9" t="n">
        <x:v>46301</x:v>
      </x:c>
      <x:c r="B981" s="2" t="str">
        <x:v>MM-1694</x:v>
      </x:c>
      <x:c r="C981" s="2" t="str">
        <x:v>Paid Social</x:v>
      </x:c>
      <x:c r="D981" s="2" t="str">
        <x:v>TUM-001</x:v>
      </x:c>
      <x:c r="E981" s="2" t="str">
        <x:f>_xlfn.IFNA(VLOOKUP(D981,'Products'!$A$7:$I$22,2,FALSE),"Unmapped")</x:f>
        <x:v>Maple travel tumbler</x:v>
      </x:c>
      <x:c r="F981" s="2" t="str">
        <x:f>_xlfn.IFNA(VLOOKUP(D981,'Products'!$A$7:$I$22,3,FALSE),"Unmapped")</x:f>
        <x:v>Drinkware</x:v>
      </x:c>
      <x:c r="G981" s="2" t="n">
        <x:v>1</x:v>
      </x:c>
      <x:c r="H981" s="2" t="n">
        <x:v>0</x:v>
      </x:c>
      <x:c r="I981" s="10" t="n">
        <x:v>32.95</x:v>
      </x:c>
      <x:c r="J981" s="10" t="n">
        <x:v>0</x:v>
      </x:c>
      <x:c r="K981" s="10" t="n">
        <x:v>12</x:v>
      </x:c>
      <x:c r="L981" s="10" t="n">
        <x:f>G981*I981</x:f>
        <x:v>32.95</x:v>
      </x:c>
      <x:c r="M981" s="10" t="n">
        <x:f>ROUND((L981-J981)*H981/G981,2)</x:f>
        <x:v>0</x:v>
      </x:c>
      <x:c r="N981" s="10" t="n">
        <x:f>L981-J981-M981</x:f>
        <x:v>32.95</x:v>
      </x:c>
      <x:c r="O981" s="10" t="n">
        <x:f>(G981-H981)*K981</x:f>
        <x:v>12</x:v>
      </x:c>
      <x:c r="P981" s="10" t="n">
        <x:f>N981-O981</x:f>
        <x:v>20.950000000000003</x:v>
      </x:c>
      <x:c r="Q981" s="9" t="n">
        <x:f>A981-WEEKDAY(A981,2)+1</x:f>
        <x:v>46300</x:v>
      </x:c>
      <x:c r="R981" s="2" t="str">
        <x:f>IF(AND(A981&gt;='Review'!$B$4,A981&lt;='Review'!$D$4),"Selected","Outside")</x:f>
        <x:v>Selected</x:v>
      </x:c>
    </x:row>
    <x:row r="982" ht="20" customHeight="1">
      <x:c r="A982" s="9" t="n">
        <x:v>46301</x:v>
      </x:c>
      <x:c r="B982" s="2" t="str">
        <x:v>MM-1694</x:v>
      </x:c>
      <x:c r="C982" s="2" t="str">
        <x:v>Paid Social</x:v>
      </x:c>
      <x:c r="D982" s="2" t="str">
        <x:v>APP-002</x:v>
      </x:c>
      <x:c r="E982" s="2" t="str">
        <x:f>_xlfn.IFNA(VLOOKUP(D982,'Products'!$A$7:$I$22,2,FALSE),"Unmapped")</x:f>
        <x:v>Weekend hoodie</x:v>
      </x:c>
      <x:c r="F982" s="2" t="str">
        <x:f>_xlfn.IFNA(VLOOKUP(D982,'Products'!$A$7:$I$22,3,FALSE),"Unmapped")</x:f>
        <x:v>Apparel</x:v>
      </x:c>
      <x:c r="G982" s="2" t="n">
        <x:v>3</x:v>
      </x:c>
      <x:c r="H982" s="2" t="n">
        <x:v>0</x:v>
      </x:c>
      <x:c r="I982" s="10" t="n">
        <x:v>69.95</x:v>
      </x:c>
      <x:c r="J982" s="10" t="n">
        <x:v>20.98</x:v>
      </x:c>
      <x:c r="K982" s="10" t="n">
        <x:v>28</x:v>
      </x:c>
      <x:c r="L982" s="10" t="n">
        <x:f>G982*I982</x:f>
        <x:v>209.85000000000002</x:v>
      </x:c>
      <x:c r="M982" s="10" t="n">
        <x:f>ROUND((L982-J982)*H982/G982,2)</x:f>
        <x:v>0</x:v>
      </x:c>
      <x:c r="N982" s="10" t="n">
        <x:f>L982-J982-M982</x:f>
        <x:v>188.87000000000003</x:v>
      </x:c>
      <x:c r="O982" s="10" t="n">
        <x:f>(G982-H982)*K982</x:f>
        <x:v>84</x:v>
      </x:c>
      <x:c r="P982" s="10" t="n">
        <x:f>N982-O982</x:f>
        <x:v>104.87000000000003</x:v>
      </x:c>
      <x:c r="Q982" s="9" t="n">
        <x:f>A982-WEEKDAY(A982,2)+1</x:f>
        <x:v>46300</x:v>
      </x:c>
      <x:c r="R982" s="2" t="str">
        <x:f>IF(AND(A982&gt;='Review'!$B$4,A982&lt;='Review'!$D$4),"Selected","Outside")</x:f>
        <x:v>Selected</x:v>
      </x:c>
    </x:row>
    <x:row r="983" ht="20" customHeight="1">
      <x:c r="A983" s="9" t="n">
        <x:v>46301</x:v>
      </x:c>
      <x:c r="B983" s="2" t="str">
        <x:v>MM-1694</x:v>
      </x:c>
      <x:c r="C983" s="2" t="str">
        <x:v>Paid Social</x:v>
      </x:c>
      <x:c r="D983" s="2" t="str">
        <x:v>KEY-001</x:v>
      </x:c>
      <x:c r="E983" s="2" t="str">
        <x:f>_xlfn.IFNA(VLOOKUP(D983,'Products'!$A$7:$I$22,2,FALSE),"Unmapped")</x:f>
        <x:v>Maple keyring</x:v>
      </x:c>
      <x:c r="F983" s="2" t="str">
        <x:f>_xlfn.IFNA(VLOOKUP(D983,'Products'!$A$7:$I$22,3,FALSE),"Unmapped")</x:f>
        <x:v>Accessories</x:v>
      </x:c>
      <x:c r="G983" s="2" t="n">
        <x:v>1</x:v>
      </x:c>
      <x:c r="H983" s="2" t="n">
        <x:v>0</x:v>
      </x:c>
      <x:c r="I983" s="10" t="n">
        <x:v>12.95</x:v>
      </x:c>
      <x:c r="J983" s="10" t="n">
        <x:v>1.29</x:v>
      </x:c>
      <x:c r="K983" s="10" t="n">
        <x:v>3.5</x:v>
      </x:c>
      <x:c r="L983" s="10" t="n">
        <x:f>G983*I983</x:f>
        <x:v>12.95</x:v>
      </x:c>
      <x:c r="M983" s="10" t="n">
        <x:f>ROUND((L983-J983)*H983/G983,2)</x:f>
        <x:v>0</x:v>
      </x:c>
      <x:c r="N983" s="10" t="n">
        <x:f>L983-J983-M983</x:f>
        <x:v>11.66</x:v>
      </x:c>
      <x:c r="O983" s="10" t="n">
        <x:f>(G983-H983)*K983</x:f>
        <x:v>3.5</x:v>
      </x:c>
      <x:c r="P983" s="10" t="n">
        <x:f>N983-O983</x:f>
        <x:v>8.16</x:v>
      </x:c>
      <x:c r="Q983" s="9" t="n">
        <x:f>A983-WEEKDAY(A983,2)+1</x:f>
        <x:v>46300</x:v>
      </x:c>
      <x:c r="R983" s="2" t="str">
        <x:f>IF(AND(A983&gt;='Review'!$B$4,A983&lt;='Review'!$D$4),"Selected","Outside")</x:f>
        <x:v>Selected</x:v>
      </x:c>
    </x:row>
    <x:row r="984" ht="20" customHeight="1">
      <x:c r="A984" s="9" t="n">
        <x:v>46301</x:v>
      </x:c>
      <x:c r="B984" s="2" t="str">
        <x:v>MM-1705</x:v>
      </x:c>
      <x:c r="C984" s="2" t="str">
        <x:v>Direct</x:v>
      </x:c>
      <x:c r="D984" s="2" t="str">
        <x:v>HAT-001</x:v>
      </x:c>
      <x:c r="E984" s="2" t="str">
        <x:f>_xlfn.IFNA(VLOOKUP(D984,'Products'!$A$7:$I$22,2,FALSE),"Unmapped")</x:f>
        <x:v>Classic canvas cap</x:v>
      </x:c>
      <x:c r="F984" s="2" t="str">
        <x:f>_xlfn.IFNA(VLOOKUP(D984,'Products'!$A$7:$I$22,3,FALSE),"Unmapped")</x:f>
        <x:v>Accessories</x:v>
      </x:c>
      <x:c r="G984" s="2" t="n">
        <x:v>1</x:v>
      </x:c>
      <x:c r="H984" s="2" t="n">
        <x:v>0</x:v>
      </x:c>
      <x:c r="I984" s="10" t="n">
        <x:v>24.95</x:v>
      </x:c>
      <x:c r="J984" s="10" t="n">
        <x:v>0</x:v>
      </x:c>
      <x:c r="K984" s="10" t="n">
        <x:v>8.5</x:v>
      </x:c>
      <x:c r="L984" s="10" t="n">
        <x:f>G984*I984</x:f>
        <x:v>24.95</x:v>
      </x:c>
      <x:c r="M984" s="10" t="n">
        <x:f>ROUND((L984-J984)*H984/G984,2)</x:f>
        <x:v>0</x:v>
      </x:c>
      <x:c r="N984" s="10" t="n">
        <x:f>L984-J984-M984</x:f>
        <x:v>24.95</x:v>
      </x:c>
      <x:c r="O984" s="10" t="n">
        <x:f>(G984-H984)*K984</x:f>
        <x:v>8.5</x:v>
      </x:c>
      <x:c r="P984" s="10" t="n">
        <x:f>N984-O984</x:f>
        <x:v>16.45</x:v>
      </x:c>
      <x:c r="Q984" s="9" t="n">
        <x:f>A984-WEEKDAY(A984,2)+1</x:f>
        <x:v>46300</x:v>
      </x:c>
      <x:c r="R984" s="2" t="str">
        <x:f>IF(AND(A984&gt;='Review'!$B$4,A984&lt;='Review'!$D$4),"Selected","Outside")</x:f>
        <x:v>Selected</x:v>
      </x:c>
    </x:row>
    <x:row r="985" ht="20" customHeight="1">
      <x:c r="A985" s="9" t="n">
        <x:v>46301</x:v>
      </x:c>
      <x:c r="B985" s="2" t="str">
        <x:v>MM-1696</x:v>
      </x:c>
      <x:c r="C985" s="2" t="str">
        <x:v>Organic Search</x:v>
      </x:c>
      <x:c r="D985" s="2" t="str">
        <x:v>TOTE-001</x:v>
      </x:c>
      <x:c r="E985" s="2" t="str">
        <x:f>_xlfn.IFNA(VLOOKUP(D985,'Products'!$A$7:$I$22,2,FALSE),"Unmapped")</x:f>
        <x:v>Market canvas tote</x:v>
      </x:c>
      <x:c r="F985" s="2" t="str">
        <x:f>_xlfn.IFNA(VLOOKUP(D985,'Products'!$A$7:$I$22,3,FALSE),"Unmapped")</x:f>
        <x:v>Accessories</x:v>
      </x:c>
      <x:c r="G985" s="2" t="n">
        <x:v>1</x:v>
      </x:c>
      <x:c r="H985" s="2" t="n">
        <x:v>0</x:v>
      </x:c>
      <x:c r="I985" s="10" t="n">
        <x:v>19.95</x:v>
      </x:c>
      <x:c r="J985" s="10" t="n">
        <x:v>1.99</x:v>
      </x:c>
      <x:c r="K985" s="10" t="n">
        <x:v>6</x:v>
      </x:c>
      <x:c r="L985" s="10" t="n">
        <x:f>G985*I985</x:f>
        <x:v>19.95</x:v>
      </x:c>
      <x:c r="M985" s="10" t="n">
        <x:f>ROUND((L985-J985)*H985/G985,2)</x:f>
        <x:v>0</x:v>
      </x:c>
      <x:c r="N985" s="10" t="n">
        <x:f>L985-J985-M985</x:f>
        <x:v>17.96</x:v>
      </x:c>
      <x:c r="O985" s="10" t="n">
        <x:f>(G985-H985)*K985</x:f>
        <x:v>6</x:v>
      </x:c>
      <x:c r="P985" s="10" t="n">
        <x:f>N985-O985</x:f>
        <x:v>11.96</x:v>
      </x:c>
      <x:c r="Q985" s="9" t="n">
        <x:f>A985-WEEKDAY(A985,2)+1</x:f>
        <x:v>46300</x:v>
      </x:c>
      <x:c r="R985" s="2" t="str">
        <x:f>IF(AND(A985&gt;='Review'!$B$4,A985&lt;='Review'!$D$4),"Selected","Outside")</x:f>
        <x:v>Selected</x:v>
      </x:c>
    </x:row>
    <x:row r="986" ht="20" customHeight="1">
      <x:c r="A986" s="9" t="n">
        <x:v>46301</x:v>
      </x:c>
      <x:c r="B986" s="2" t="str">
        <x:v>MM-1696</x:v>
      </x:c>
      <x:c r="C986" s="2" t="str">
        <x:v>Organic Search</x:v>
      </x:c>
      <x:c r="D986" s="2" t="str">
        <x:v>TUM-002</x:v>
      </x:c>
      <x:c r="E986" s="2" t="str">
        <x:f>_xlfn.IFNA(VLOOKUP(D986,'Products'!$A$7:$I$22,2,FALSE),"Unmapped")</x:f>
        <x:v>Cold brew glass cup</x:v>
      </x:c>
      <x:c r="F986" s="2" t="str">
        <x:f>_xlfn.IFNA(VLOOKUP(D986,'Products'!$A$7:$I$22,3,FALSE),"Unmapped")</x:f>
        <x:v>Drinkware</x:v>
      </x:c>
      <x:c r="G986" s="2" t="n">
        <x:v>1</x:v>
      </x:c>
      <x:c r="H986" s="2" t="n">
        <x:v>0</x:v>
      </x:c>
      <x:c r="I986" s="10" t="n">
        <x:v>24.95</x:v>
      </x:c>
      <x:c r="J986" s="10" t="n">
        <x:v>0</x:v>
      </x:c>
      <x:c r="K986" s="10" t="n">
        <x:v>9</x:v>
      </x:c>
      <x:c r="L986" s="10" t="n">
        <x:f>G986*I986</x:f>
        <x:v>24.95</x:v>
      </x:c>
      <x:c r="M986" s="10" t="n">
        <x:f>ROUND((L986-J986)*H986/G986,2)</x:f>
        <x:v>0</x:v>
      </x:c>
      <x:c r="N986" s="10" t="n">
        <x:f>L986-J986-M986</x:f>
        <x:v>24.95</x:v>
      </x:c>
      <x:c r="O986" s="10" t="n">
        <x:f>(G986-H986)*K986</x:f>
        <x:v>9</x:v>
      </x:c>
      <x:c r="P986" s="10" t="n">
        <x:f>N986-O986</x:f>
        <x:v>15.95</x:v>
      </x:c>
      <x:c r="Q986" s="9" t="n">
        <x:f>A986-WEEKDAY(A986,2)+1</x:f>
        <x:v>46300</x:v>
      </x:c>
      <x:c r="R986" s="2" t="str">
        <x:f>IF(AND(A986&gt;='Review'!$B$4,A986&lt;='Review'!$D$4),"Selected","Outside")</x:f>
        <x:v>Selected</x:v>
      </x:c>
    </x:row>
    <x:row r="987" ht="20" customHeight="1">
      <x:c r="A987" s="9" t="n">
        <x:v>46301</x:v>
      </x:c>
      <x:c r="B987" s="2" t="str">
        <x:v>MM-1696</x:v>
      </x:c>
      <x:c r="C987" s="2" t="str">
        <x:v>Organic Search</x:v>
      </x:c>
      <x:c r="D987" s="2" t="str">
        <x:v>MUG-001</x:v>
      </x:c>
      <x:c r="E987" s="2" t="str">
        <x:f>_xlfn.IFNA(VLOOKUP(D987,'Products'!$A$7:$I$22,2,FALSE),"Unmapped")</x:f>
        <x:v>Everyday ceramic mug</x:v>
      </x:c>
      <x:c r="F987" s="2" t="str">
        <x:f>_xlfn.IFNA(VLOOKUP(D987,'Products'!$A$7:$I$22,3,FALSE),"Unmapped")</x:f>
        <x:v>Drinkware</x:v>
      </x:c>
      <x:c r="G987" s="2" t="n">
        <x:v>3</x:v>
      </x:c>
      <x:c r="H987" s="2" t="n">
        <x:v>0</x:v>
      </x:c>
      <x:c r="I987" s="10" t="n">
        <x:v>18.95</x:v>
      </x:c>
      <x:c r="J987" s="10" t="n">
        <x:v>0</x:v>
      </x:c>
      <x:c r="K987" s="10" t="n">
        <x:v>6.5</x:v>
      </x:c>
      <x:c r="L987" s="10" t="n">
        <x:f>G987*I987</x:f>
        <x:v>56.849999999999994</x:v>
      </x:c>
      <x:c r="M987" s="10" t="n">
        <x:f>ROUND((L987-J987)*H987/G987,2)</x:f>
        <x:v>0</x:v>
      </x:c>
      <x:c r="N987" s="10" t="n">
        <x:f>L987-J987-M987</x:f>
        <x:v>56.849999999999994</x:v>
      </x:c>
      <x:c r="O987" s="10" t="n">
        <x:f>(G987-H987)*K987</x:f>
        <x:v>19.5</x:v>
      </x:c>
      <x:c r="P987" s="10" t="n">
        <x:f>N987-O987</x:f>
        <x:v>37.349999999999994</x:v>
      </x:c>
      <x:c r="Q987" s="9" t="n">
        <x:f>A987-WEEKDAY(A987,2)+1</x:f>
        <x:v>46300</x:v>
      </x:c>
      <x:c r="R987" s="2" t="str">
        <x:f>IF(AND(A987&gt;='Review'!$B$4,A987&lt;='Review'!$D$4),"Selected","Outside")</x:f>
        <x:v>Selected</x:v>
      </x:c>
    </x:row>
    <x:row r="988" ht="20" customHeight="1">
      <x:c r="A988" s="9" t="n">
        <x:v>46301</x:v>
      </x:c>
      <x:c r="B988" s="2" t="str">
        <x:v>MM-1697</x:v>
      </x:c>
      <x:c r="C988" s="2" t="str">
        <x:v>Direct</x:v>
      </x:c>
      <x:c r="D988" s="2" t="str">
        <x:v>HAT-001</x:v>
      </x:c>
      <x:c r="E988" s="2" t="str">
        <x:f>_xlfn.IFNA(VLOOKUP(D988,'Products'!$A$7:$I$22,2,FALSE),"Unmapped")</x:f>
        <x:v>Classic canvas cap</x:v>
      </x:c>
      <x:c r="F988" s="2" t="str">
        <x:f>_xlfn.IFNA(VLOOKUP(D988,'Products'!$A$7:$I$22,3,FALSE),"Unmapped")</x:f>
        <x:v>Accessories</x:v>
      </x:c>
      <x:c r="G988" s="2" t="n">
        <x:v>1</x:v>
      </x:c>
      <x:c r="H988" s="2" t="n">
        <x:v>0</x:v>
      </x:c>
      <x:c r="I988" s="10" t="n">
        <x:v>24.95</x:v>
      </x:c>
      <x:c r="J988" s="10" t="n">
        <x:v>2.49</x:v>
      </x:c>
      <x:c r="K988" s="10" t="n">
        <x:v>8.5</x:v>
      </x:c>
      <x:c r="L988" s="10" t="n">
        <x:f>G988*I988</x:f>
        <x:v>24.95</x:v>
      </x:c>
      <x:c r="M988" s="10" t="n">
        <x:f>ROUND((L988-J988)*H988/G988,2)</x:f>
        <x:v>0</x:v>
      </x:c>
      <x:c r="N988" s="10" t="n">
        <x:f>L988-J988-M988</x:f>
        <x:v>22.46</x:v>
      </x:c>
      <x:c r="O988" s="10" t="n">
        <x:f>(G988-H988)*K988</x:f>
        <x:v>8.5</x:v>
      </x:c>
      <x:c r="P988" s="10" t="n">
        <x:f>N988-O988</x:f>
        <x:v>13.96</x:v>
      </x:c>
      <x:c r="Q988" s="9" t="n">
        <x:f>A988-WEEKDAY(A988,2)+1</x:f>
        <x:v>46300</x:v>
      </x:c>
      <x:c r="R988" s="2" t="str">
        <x:f>IF(AND(A988&gt;='Review'!$B$4,A988&lt;='Review'!$D$4),"Selected","Outside")</x:f>
        <x:v>Selected</x:v>
      </x:c>
    </x:row>
    <x:row r="989" ht="20" customHeight="1">
      <x:c r="A989" s="9" t="n">
        <x:v>46301</x:v>
      </x:c>
      <x:c r="B989" s="2" t="str">
        <x:v>MM-1708</x:v>
      </x:c>
      <x:c r="C989" s="2" t="str">
        <x:v>Paid Social</x:v>
      </x:c>
      <x:c r="D989" s="2" t="str">
        <x:v>BOT-001</x:v>
      </x:c>
      <x:c r="E989" s="2" t="str">
        <x:f>_xlfn.IFNA(VLOOKUP(D989,'Products'!$A$7:$I$22,2,FALSE),"Unmapped")</x:f>
        <x:v>Trail water bottle</x:v>
      </x:c>
      <x:c r="F989" s="2" t="str">
        <x:f>_xlfn.IFNA(VLOOKUP(D989,'Products'!$A$7:$I$22,3,FALSE),"Unmapped")</x:f>
        <x:v>Drinkware</x:v>
      </x:c>
      <x:c r="G989" s="2" t="n">
        <x:v>2</x:v>
      </x:c>
      <x:c r="H989" s="2" t="n">
        <x:v>0</x:v>
      </x:c>
      <x:c r="I989" s="10" t="n">
        <x:v>34.95</x:v>
      </x:c>
      <x:c r="J989" s="10" t="n">
        <x:v>6.99</x:v>
      </x:c>
      <x:c r="K989" s="10" t="n">
        <x:v>13.5</x:v>
      </x:c>
      <x:c r="L989" s="10" t="n">
        <x:f>G989*I989</x:f>
        <x:v>69.9</x:v>
      </x:c>
      <x:c r="M989" s="10" t="n">
        <x:f>ROUND((L989-J989)*H989/G989,2)</x:f>
        <x:v>0</x:v>
      </x:c>
      <x:c r="N989" s="10" t="n">
        <x:f>L989-J989-M989</x:f>
        <x:v>62.910000000000004</x:v>
      </x:c>
      <x:c r="O989" s="10" t="n">
        <x:f>(G989-H989)*K989</x:f>
        <x:v>27</x:v>
      </x:c>
      <x:c r="P989" s="10" t="n">
        <x:f>N989-O989</x:f>
        <x:v>35.910000000000004</x:v>
      </x:c>
      <x:c r="Q989" s="9" t="n">
        <x:f>A989-WEEKDAY(A989,2)+1</x:f>
        <x:v>46300</x:v>
      </x:c>
      <x:c r="R989" s="2" t="str">
        <x:f>IF(AND(A989&gt;='Review'!$B$4,A989&lt;='Review'!$D$4),"Selected","Outside")</x:f>
        <x:v>Selected</x:v>
      </x:c>
    </x:row>
    <x:row r="990" ht="20" customHeight="1">
      <x:c r="A990" s="9" t="n">
        <x:v>46301</x:v>
      </x:c>
      <x:c r="B990" s="2" t="str">
        <x:v>MM-1708</x:v>
      </x:c>
      <x:c r="C990" s="2" t="str">
        <x:v>Paid Social</x:v>
      </x:c>
      <x:c r="D990" s="2" t="str">
        <x:v>TUM-002</x:v>
      </x:c>
      <x:c r="E990" s="2" t="str">
        <x:f>_xlfn.IFNA(VLOOKUP(D990,'Products'!$A$7:$I$22,2,FALSE),"Unmapped")</x:f>
        <x:v>Cold brew glass cup</x:v>
      </x:c>
      <x:c r="F990" s="2" t="str">
        <x:f>_xlfn.IFNA(VLOOKUP(D990,'Products'!$A$7:$I$22,3,FALSE),"Unmapped")</x:f>
        <x:v>Drinkware</x:v>
      </x:c>
      <x:c r="G990" s="2" t="n">
        <x:v>3</x:v>
      </x:c>
      <x:c r="H990" s="2" t="n">
        <x:v>0</x:v>
      </x:c>
      <x:c r="I990" s="10" t="n">
        <x:v>24.95</x:v>
      </x:c>
      <x:c r="J990" s="10" t="n">
        <x:v>0</x:v>
      </x:c>
      <x:c r="K990" s="10" t="n">
        <x:v>9</x:v>
      </x:c>
      <x:c r="L990" s="10" t="n">
        <x:f>G990*I990</x:f>
        <x:v>74.85</x:v>
      </x:c>
      <x:c r="M990" s="10" t="n">
        <x:f>ROUND((L990-J990)*H990/G990,2)</x:f>
        <x:v>0</x:v>
      </x:c>
      <x:c r="N990" s="10" t="n">
        <x:f>L990-J990-M990</x:f>
        <x:v>74.85</x:v>
      </x:c>
      <x:c r="O990" s="10" t="n">
        <x:f>(G990-H990)*K990</x:f>
        <x:v>27</x:v>
      </x:c>
      <x:c r="P990" s="10" t="n">
        <x:f>N990-O990</x:f>
        <x:v>47.849999999999994</x:v>
      </x:c>
      <x:c r="Q990" s="9" t="n">
        <x:f>A990-WEEKDAY(A990,2)+1</x:f>
        <x:v>46300</x:v>
      </x:c>
      <x:c r="R990" s="2" t="str">
        <x:f>IF(AND(A990&gt;='Review'!$B$4,A990&lt;='Review'!$D$4),"Selected","Outside")</x:f>
        <x:v>Selected</x:v>
      </x:c>
    </x:row>
    <x:row r="991" ht="20" customHeight="1">
      <x:c r="A991" s="9" t="n">
        <x:v>46301</x:v>
      </x:c>
      <x:c r="B991" s="2" t="str">
        <x:v>MM-1698</x:v>
      </x:c>
      <x:c r="C991" s="2" t="str">
        <x:v>Organic Search</x:v>
      </x:c>
      <x:c r="D991" s="2" t="str">
        <x:v>KEY-001</x:v>
      </x:c>
      <x:c r="E991" s="2" t="str">
        <x:f>_xlfn.IFNA(VLOOKUP(D991,'Products'!$A$7:$I$22,2,FALSE),"Unmapped")</x:f>
        <x:v>Maple keyring</x:v>
      </x:c>
      <x:c r="F991" s="2" t="str">
        <x:f>_xlfn.IFNA(VLOOKUP(D991,'Products'!$A$7:$I$22,3,FALSE),"Unmapped")</x:f>
        <x:v>Accessories</x:v>
      </x:c>
      <x:c r="G991" s="2" t="n">
        <x:v>2</x:v>
      </x:c>
      <x:c r="H991" s="2" t="n">
        <x:v>0</x:v>
      </x:c>
      <x:c r="I991" s="10" t="n">
        <x:v>12.95</x:v>
      </x:c>
      <x:c r="J991" s="10" t="n">
        <x:v>0</x:v>
      </x:c>
      <x:c r="K991" s="10" t="n">
        <x:v>3.5</x:v>
      </x:c>
      <x:c r="L991" s="10" t="n">
        <x:f>G991*I991</x:f>
        <x:v>25.9</x:v>
      </x:c>
      <x:c r="M991" s="10" t="n">
        <x:f>ROUND((L991-J991)*H991/G991,2)</x:f>
        <x:v>0</x:v>
      </x:c>
      <x:c r="N991" s="10" t="n">
        <x:f>L991-J991-M991</x:f>
        <x:v>25.9</x:v>
      </x:c>
      <x:c r="O991" s="10" t="n">
        <x:f>(G991-H991)*K991</x:f>
        <x:v>7</x:v>
      </x:c>
      <x:c r="P991" s="10" t="n">
        <x:f>N991-O991</x:f>
        <x:v>18.9</x:v>
      </x:c>
      <x:c r="Q991" s="9" t="n">
        <x:f>A991-WEEKDAY(A991,2)+1</x:f>
        <x:v>46300</x:v>
      </x:c>
      <x:c r="R991" s="2" t="str">
        <x:f>IF(AND(A991&gt;='Review'!$B$4,A991&lt;='Review'!$D$4),"Selected","Outside")</x:f>
        <x:v>Selected</x:v>
      </x:c>
    </x:row>
    <x:row r="992" ht="20" customHeight="1">
      <x:c r="A992" s="9" t="n">
        <x:v>46301</x:v>
      </x:c>
      <x:c r="B992" s="2" t="str">
        <x:v>MM-1698</x:v>
      </x:c>
      <x:c r="C992" s="2" t="str">
        <x:v>Organic Search</x:v>
      </x:c>
      <x:c r="D992" s="2" t="str">
        <x:v>TUM-002</x:v>
      </x:c>
      <x:c r="E992" s="2" t="str">
        <x:f>_xlfn.IFNA(VLOOKUP(D992,'Products'!$A$7:$I$22,2,FALSE),"Unmapped")</x:f>
        <x:v>Cold brew glass cup</x:v>
      </x:c>
      <x:c r="F992" s="2" t="str">
        <x:f>_xlfn.IFNA(VLOOKUP(D992,'Products'!$A$7:$I$22,3,FALSE),"Unmapped")</x:f>
        <x:v>Drinkware</x:v>
      </x:c>
      <x:c r="G992" s="2" t="n">
        <x:v>2</x:v>
      </x:c>
      <x:c r="H992" s="2" t="n">
        <x:v>0</x:v>
      </x:c>
      <x:c r="I992" s="10" t="n">
        <x:v>24.95</x:v>
      </x:c>
      <x:c r="J992" s="10" t="n">
        <x:v>0</x:v>
      </x:c>
      <x:c r="K992" s="10" t="n">
        <x:v>9</x:v>
      </x:c>
      <x:c r="L992" s="10" t="n">
        <x:f>G992*I992</x:f>
        <x:v>49.9</x:v>
      </x:c>
      <x:c r="M992" s="10" t="n">
        <x:f>ROUND((L992-J992)*H992/G992,2)</x:f>
        <x:v>0</x:v>
      </x:c>
      <x:c r="N992" s="10" t="n">
        <x:f>L992-J992-M992</x:f>
        <x:v>49.9</x:v>
      </x:c>
      <x:c r="O992" s="10" t="n">
        <x:f>(G992-H992)*K992</x:f>
        <x:v>18</x:v>
      </x:c>
      <x:c r="P992" s="10" t="n">
        <x:f>N992-O992</x:f>
        <x:v>31.9</x:v>
      </x:c>
      <x:c r="Q992" s="9" t="n">
        <x:f>A992-WEEKDAY(A992,2)+1</x:f>
        <x:v>46300</x:v>
      </x:c>
      <x:c r="R992" s="2" t="str">
        <x:f>IF(AND(A992&gt;='Review'!$B$4,A992&lt;='Review'!$D$4),"Selected","Outside")</x:f>
        <x:v>Selected</x:v>
      </x:c>
    </x:row>
    <x:row r="993" ht="20" customHeight="1">
      <x:c r="A993" s="9" t="n">
        <x:v>46301</x:v>
      </x:c>
      <x:c r="B993" s="2" t="str">
        <x:v>MM-1706</x:v>
      </x:c>
      <x:c r="C993" s="2" t="str">
        <x:v>Organic Search</x:v>
      </x:c>
      <x:c r="D993" s="2" t="str">
        <x:v>PIN-001</x:v>
      </x:c>
      <x:c r="E993" s="2" t="str">
        <x:f>_xlfn.IFNA(VLOOKUP(D993,'Products'!$A$7:$I$22,2,FALSE),"Unmapped")</x:f>
        <x:v>Coffee enamel pin</x:v>
      </x:c>
      <x:c r="F993" s="2" t="str">
        <x:f>_xlfn.IFNA(VLOOKUP(D993,'Products'!$A$7:$I$22,3,FALSE),"Unmapped")</x:f>
        <x:v>Accessories</x:v>
      </x:c>
      <x:c r="G993" s="2" t="n">
        <x:v>1</x:v>
      </x:c>
      <x:c r="H993" s="2" t="n">
        <x:v>0</x:v>
      </x:c>
      <x:c r="I993" s="10" t="n">
        <x:v>9.95</x:v>
      </x:c>
      <x:c r="J993" s="10" t="n">
        <x:v>0</x:v>
      </x:c>
      <x:c r="K993" s="10" t="n">
        <x:v>2.5</x:v>
      </x:c>
      <x:c r="L993" s="10" t="n">
        <x:f>G993*I993</x:f>
        <x:v>9.95</x:v>
      </x:c>
      <x:c r="M993" s="10" t="n">
        <x:f>ROUND((L993-J993)*H993/G993,2)</x:f>
        <x:v>0</x:v>
      </x:c>
      <x:c r="N993" s="10" t="n">
        <x:f>L993-J993-M993</x:f>
        <x:v>9.95</x:v>
      </x:c>
      <x:c r="O993" s="10" t="n">
        <x:f>(G993-H993)*K993</x:f>
        <x:v>2.5</x:v>
      </x:c>
      <x:c r="P993" s="10" t="n">
        <x:f>N993-O993</x:f>
        <x:v>7.449999999999999</x:v>
      </x:c>
      <x:c r="Q993" s="9" t="n">
        <x:f>A993-WEEKDAY(A993,2)+1</x:f>
        <x:v>46300</x:v>
      </x:c>
      <x:c r="R993" s="2" t="str">
        <x:f>IF(AND(A993&gt;='Review'!$B$4,A993&lt;='Review'!$D$4),"Selected","Outside")</x:f>
        <x:v>Selected</x:v>
      </x:c>
    </x:row>
    <x:row r="994" ht="20" customHeight="1">
      <x:c r="A994" s="9" t="n">
        <x:v>46301</x:v>
      </x:c>
      <x:c r="B994" s="2" t="str">
        <x:v>MM-1706</x:v>
      </x:c>
      <x:c r="C994" s="2" t="str">
        <x:v>Organic Search</x:v>
      </x:c>
      <x:c r="D994" s="2" t="str">
        <x:v>GFT-001</x:v>
      </x:c>
      <x:c r="E994" s="2" t="str">
        <x:f>_xlfn.IFNA(VLOOKUP(D994,'Products'!$A$7:$I$22,2,FALSE),"Unmapped")</x:f>
        <x:v>Morning ritual gift set</x:v>
      </x:c>
      <x:c r="F994" s="2" t="str">
        <x:f>_xlfn.IFNA(VLOOKUP(D994,'Products'!$A$7:$I$22,3,FALSE),"Unmapped")</x:f>
        <x:v>Gifts</x:v>
      </x:c>
      <x:c r="G994" s="2" t="n">
        <x:v>1</x:v>
      </x:c>
      <x:c r="H994" s="2" t="n">
        <x:v>0</x:v>
      </x:c>
      <x:c r="I994" s="10" t="n">
        <x:v>59.95</x:v>
      </x:c>
      <x:c r="J994" s="10" t="n">
        <x:v>5.99</x:v>
      </x:c>
      <x:c r="K994" s="10" t="n">
        <x:v>24</x:v>
      </x:c>
      <x:c r="L994" s="10" t="n">
        <x:f>G994*I994</x:f>
        <x:v>59.95</x:v>
      </x:c>
      <x:c r="M994" s="10" t="n">
        <x:f>ROUND((L994-J994)*H994/G994,2)</x:f>
        <x:v>0</x:v>
      </x:c>
      <x:c r="N994" s="10" t="n">
        <x:f>L994-J994-M994</x:f>
        <x:v>53.96</x:v>
      </x:c>
      <x:c r="O994" s="10" t="n">
        <x:f>(G994-H994)*K994</x:f>
        <x:v>24</x:v>
      </x:c>
      <x:c r="P994" s="10" t="n">
        <x:f>N994-O994</x:f>
        <x:v>29.96</x:v>
      </x:c>
      <x:c r="Q994" s="9" t="n">
        <x:f>A994-WEEKDAY(A994,2)+1</x:f>
        <x:v>46300</x:v>
      </x:c>
      <x:c r="R994" s="2" t="str">
        <x:f>IF(AND(A994&gt;='Review'!$B$4,A994&lt;='Review'!$D$4),"Selected","Outside")</x:f>
        <x:v>Selected</x:v>
      </x:c>
    </x:row>
    <x:row r="995" ht="20" customHeight="1">
      <x:c r="A995" s="9" t="n">
        <x:v>46301</x:v>
      </x:c>
      <x:c r="B995" s="2" t="str">
        <x:v>MM-1702</x:v>
      </x:c>
      <x:c r="C995" s="2" t="str">
        <x:v>Direct</x:v>
      </x:c>
      <x:c r="D995" s="2" t="str">
        <x:v>TUM-001</x:v>
      </x:c>
      <x:c r="E995" s="2" t="str">
        <x:f>_xlfn.IFNA(VLOOKUP(D995,'Products'!$A$7:$I$22,2,FALSE),"Unmapped")</x:f>
        <x:v>Maple travel tumbler</x:v>
      </x:c>
      <x:c r="F995" s="2" t="str">
        <x:f>_xlfn.IFNA(VLOOKUP(D995,'Products'!$A$7:$I$22,3,FALSE),"Unmapped")</x:f>
        <x:v>Drinkware</x:v>
      </x:c>
      <x:c r="G995" s="2" t="n">
        <x:v>1</x:v>
      </x:c>
      <x:c r="H995" s="2" t="n">
        <x:v>0</x:v>
      </x:c>
      <x:c r="I995" s="10" t="n">
        <x:v>32.95</x:v>
      </x:c>
      <x:c r="J995" s="10" t="n">
        <x:v>3.29</x:v>
      </x:c>
      <x:c r="K995" s="10" t="n">
        <x:v>12</x:v>
      </x:c>
      <x:c r="L995" s="10" t="n">
        <x:f>G995*I995</x:f>
        <x:v>32.95</x:v>
      </x:c>
      <x:c r="M995" s="10" t="n">
        <x:f>ROUND((L995-J995)*H995/G995,2)</x:f>
        <x:v>0</x:v>
      </x:c>
      <x:c r="N995" s="10" t="n">
        <x:f>L995-J995-M995</x:f>
        <x:v>29.660000000000004</x:v>
      </x:c>
      <x:c r="O995" s="10" t="n">
        <x:f>(G995-H995)*K995</x:f>
        <x:v>12</x:v>
      </x:c>
      <x:c r="P995" s="10" t="n">
        <x:f>N995-O995</x:f>
        <x:v>17.660000000000004</x:v>
      </x:c>
      <x:c r="Q995" s="9" t="n">
        <x:f>A995-WEEKDAY(A995,2)+1</x:f>
        <x:v>46300</x:v>
      </x:c>
      <x:c r="R995" s="2" t="str">
        <x:f>IF(AND(A995&gt;='Review'!$B$4,A995&lt;='Review'!$D$4),"Selected","Outside")</x:f>
        <x:v>Selected</x:v>
      </x:c>
    </x:row>
    <x:row r="996" ht="20" customHeight="1">
      <x:c r="A996" s="9" t="n">
        <x:v>46301</x:v>
      </x:c>
      <x:c r="B996" s="2" t="str">
        <x:v>MM-1703</x:v>
      </x:c>
      <x:c r="C996" s="2" t="str">
        <x:v>Email</x:v>
      </x:c>
      <x:c r="D996" s="2" t="str">
        <x:v>BOT-001</x:v>
      </x:c>
      <x:c r="E996" s="2" t="str">
        <x:f>_xlfn.IFNA(VLOOKUP(D996,'Products'!$A$7:$I$22,2,FALSE),"Unmapped")</x:f>
        <x:v>Trail water bottle</x:v>
      </x:c>
      <x:c r="F996" s="2" t="str">
        <x:f>_xlfn.IFNA(VLOOKUP(D996,'Products'!$A$7:$I$22,3,FALSE),"Unmapped")</x:f>
        <x:v>Drinkware</x:v>
      </x:c>
      <x:c r="G996" s="2" t="n">
        <x:v>1</x:v>
      </x:c>
      <x:c r="H996" s="2" t="n">
        <x:v>0</x:v>
      </x:c>
      <x:c r="I996" s="10" t="n">
        <x:v>34.95</x:v>
      </x:c>
      <x:c r="J996" s="10" t="n">
        <x:v>3.49</x:v>
      </x:c>
      <x:c r="K996" s="10" t="n">
        <x:v>13.5</x:v>
      </x:c>
      <x:c r="L996" s="10" t="n">
        <x:f>G996*I996</x:f>
        <x:v>34.95</x:v>
      </x:c>
      <x:c r="M996" s="10" t="n">
        <x:f>ROUND((L996-J996)*H996/G996,2)</x:f>
        <x:v>0</x:v>
      </x:c>
      <x:c r="N996" s="10" t="n">
        <x:f>L996-J996-M996</x:f>
        <x:v>31.46</x:v>
      </x:c>
      <x:c r="O996" s="10" t="n">
        <x:f>(G996-H996)*K996</x:f>
        <x:v>13.5</x:v>
      </x:c>
      <x:c r="P996" s="10" t="n">
        <x:f>N996-O996</x:f>
        <x:v>17.96</x:v>
      </x:c>
      <x:c r="Q996" s="9" t="n">
        <x:f>A996-WEEKDAY(A996,2)+1</x:f>
        <x:v>46300</x:v>
      </x:c>
      <x:c r="R996" s="2" t="str">
        <x:f>IF(AND(A996&gt;='Review'!$B$4,A996&lt;='Review'!$D$4),"Selected","Outside")</x:f>
        <x:v>Selected</x:v>
      </x:c>
    </x:row>
    <x:row r="997" ht="20" customHeight="1">
      <x:c r="A997" s="9" t="n">
        <x:v>46302</x:v>
      </x:c>
      <x:c r="B997" s="2" t="str">
        <x:v>MM-1714</x:v>
      </x:c>
      <x:c r="C997" s="2" t="str">
        <x:v>Organic Search</x:v>
      </x:c>
      <x:c r="D997" s="2" t="str">
        <x:v>APP-001</x:v>
      </x:c>
      <x:c r="E997" s="2" t="str">
        <x:f>_xlfn.IFNA(VLOOKUP(D997,'Products'!$A$7:$I$22,2,FALSE),"Unmapped")</x:f>
        <x:v>Everyday crewneck</x:v>
      </x:c>
      <x:c r="F997" s="2" t="str">
        <x:f>_xlfn.IFNA(VLOOKUP(D997,'Products'!$A$7:$I$22,3,FALSE),"Unmapped")</x:f>
        <x:v>Apparel</x:v>
      </x:c>
      <x:c r="G997" s="2" t="n">
        <x:v>1</x:v>
      </x:c>
      <x:c r="H997" s="2" t="n">
        <x:v>0</x:v>
      </x:c>
      <x:c r="I997" s="10" t="n">
        <x:v>54.95</x:v>
      </x:c>
      <x:c r="J997" s="10" t="n">
        <x:v>0</x:v>
      </x:c>
      <x:c r="K997" s="10" t="n">
        <x:v>22</x:v>
      </x:c>
      <x:c r="L997" s="10" t="n">
        <x:f>G997*I997</x:f>
        <x:v>54.95</x:v>
      </x:c>
      <x:c r="M997" s="10" t="n">
        <x:f>ROUND((L997-J997)*H997/G997,2)</x:f>
        <x:v>0</x:v>
      </x:c>
      <x:c r="N997" s="10" t="n">
        <x:f>L997-J997-M997</x:f>
        <x:v>54.95</x:v>
      </x:c>
      <x:c r="O997" s="10" t="n">
        <x:f>(G997-H997)*K997</x:f>
        <x:v>22</x:v>
      </x:c>
      <x:c r="P997" s="10" t="n">
        <x:f>N997-O997</x:f>
        <x:v>32.95</x:v>
      </x:c>
      <x:c r="Q997" s="9" t="n">
        <x:f>A997-WEEKDAY(A997,2)+1</x:f>
        <x:v>46300</x:v>
      </x:c>
      <x:c r="R997" s="2" t="str">
        <x:f>IF(AND(A997&gt;='Review'!$B$4,A997&lt;='Review'!$D$4),"Selected","Outside")</x:f>
        <x:v>Selected</x:v>
      </x:c>
    </x:row>
    <x:row r="998" ht="20" customHeight="1">
      <x:c r="A998" s="9" t="n">
        <x:v>46302</x:v>
      </x:c>
      <x:c r="B998" s="2" t="str">
        <x:v>MM-1714</x:v>
      </x:c>
      <x:c r="C998" s="2" t="str">
        <x:v>Organic Search</x:v>
      </x:c>
      <x:c r="D998" s="2" t="str">
        <x:v>GFT-002</x:v>
      </x:c>
      <x:c r="E998" s="2" t="str">
        <x:f>_xlfn.IFNA(VLOOKUP(D998,'Products'!$A$7:$I$22,2,FALSE),"Unmapped")</x:f>
        <x:v>Cozy weekend gift box</x:v>
      </x:c>
      <x:c r="F998" s="2" t="str">
        <x:f>_xlfn.IFNA(VLOOKUP(D998,'Products'!$A$7:$I$22,3,FALSE),"Unmapped")</x:f>
        <x:v>Gifts</x:v>
      </x:c>
      <x:c r="G998" s="2" t="n">
        <x:v>1</x:v>
      </x:c>
      <x:c r="H998" s="2" t="n">
        <x:v>0</x:v>
      </x:c>
      <x:c r="I998" s="10" t="n">
        <x:v>79.95</x:v>
      </x:c>
      <x:c r="J998" s="10" t="n">
        <x:v>0</x:v>
      </x:c>
      <x:c r="K998" s="10" t="n">
        <x:v>32</x:v>
      </x:c>
      <x:c r="L998" s="10" t="n">
        <x:f>G998*I998</x:f>
        <x:v>79.95</x:v>
      </x:c>
      <x:c r="M998" s="10" t="n">
        <x:f>ROUND((L998-J998)*H998/G998,2)</x:f>
        <x:v>0</x:v>
      </x:c>
      <x:c r="N998" s="10" t="n">
        <x:f>L998-J998-M998</x:f>
        <x:v>79.95</x:v>
      </x:c>
      <x:c r="O998" s="10" t="n">
        <x:f>(G998-H998)*K998</x:f>
        <x:v>32</x:v>
      </x:c>
      <x:c r="P998" s="10" t="n">
        <x:f>N998-O998</x:f>
        <x:v>47.95</x:v>
      </x:c>
      <x:c r="Q998" s="9" t="n">
        <x:f>A998-WEEKDAY(A998,2)+1</x:f>
        <x:v>46300</x:v>
      </x:c>
      <x:c r="R998" s="2" t="str">
        <x:f>IF(AND(A998&gt;='Review'!$B$4,A998&lt;='Review'!$D$4),"Selected","Outside")</x:f>
        <x:v>Selected</x:v>
      </x:c>
    </x:row>
    <x:row r="999" ht="20" customHeight="1">
      <x:c r="A999" s="9" t="n">
        <x:v>46302</x:v>
      </x:c>
      <x:c r="B999" s="2" t="str">
        <x:v>MM-1710</x:v>
      </x:c>
      <x:c r="C999" s="2" t="str">
        <x:v>Direct</x:v>
      </x:c>
      <x:c r="D999" s="2" t="str">
        <x:v>TOTE-001</x:v>
      </x:c>
      <x:c r="E999" s="2" t="str">
        <x:f>_xlfn.IFNA(VLOOKUP(D999,'Products'!$A$7:$I$22,2,FALSE),"Unmapped")</x:f>
        <x:v>Market canvas tote</x:v>
      </x:c>
      <x:c r="F999" s="2" t="str">
        <x:f>_xlfn.IFNA(VLOOKUP(D999,'Products'!$A$7:$I$22,3,FALSE),"Unmapped")</x:f>
        <x:v>Accessories</x:v>
      </x:c>
      <x:c r="G999" s="2" t="n">
        <x:v>1</x:v>
      </x:c>
      <x:c r="H999" s="2" t="n">
        <x:v>0</x:v>
      </x:c>
      <x:c r="I999" s="10" t="n">
        <x:v>19.95</x:v>
      </x:c>
      <x:c r="J999" s="10" t="n">
        <x:v>0</x:v>
      </x:c>
      <x:c r="K999" s="10" t="n">
        <x:v>6</x:v>
      </x:c>
      <x:c r="L999" s="10" t="n">
        <x:f>G999*I999</x:f>
        <x:v>19.95</x:v>
      </x:c>
      <x:c r="M999" s="10" t="n">
        <x:f>ROUND((L999-J999)*H999/G999,2)</x:f>
        <x:v>0</x:v>
      </x:c>
      <x:c r="N999" s="10" t="n">
        <x:f>L999-J999-M999</x:f>
        <x:v>19.95</x:v>
      </x:c>
      <x:c r="O999" s="10" t="n">
        <x:f>(G999-H999)*K999</x:f>
        <x:v>6</x:v>
      </x:c>
      <x:c r="P999" s="10" t="n">
        <x:f>N999-O999</x:f>
        <x:v>13.95</x:v>
      </x:c>
      <x:c r="Q999" s="9" t="n">
        <x:f>A999-WEEKDAY(A999,2)+1</x:f>
        <x:v>46300</x:v>
      </x:c>
      <x:c r="R999" s="2" t="str">
        <x:f>IF(AND(A999&gt;='Review'!$B$4,A999&lt;='Review'!$D$4),"Selected","Outside")</x:f>
        <x:v>Selected</x:v>
      </x:c>
    </x:row>
    <x:row r="1000" ht="20" customHeight="1">
      <x:c r="A1000" s="9" t="n">
        <x:v>46302</x:v>
      </x:c>
      <x:c r="B1000" s="2" t="str">
        <x:v>MM-1717</x:v>
      </x:c>
      <x:c r="C1000" s="2" t="str">
        <x:v>Paid Social</x:v>
      </x:c>
      <x:c r="D1000" s="2" t="str">
        <x:v>HAT-001</x:v>
      </x:c>
      <x:c r="E1000" s="2" t="str">
        <x:f>_xlfn.IFNA(VLOOKUP(D1000,'Products'!$A$7:$I$22,2,FALSE),"Unmapped")</x:f>
        <x:v>Classic canvas cap</x:v>
      </x:c>
      <x:c r="F1000" s="2" t="str">
        <x:f>_xlfn.IFNA(VLOOKUP(D1000,'Products'!$A$7:$I$22,3,FALSE),"Unmapped")</x:f>
        <x:v>Accessories</x:v>
      </x:c>
      <x:c r="G1000" s="2" t="n">
        <x:v>1</x:v>
      </x:c>
      <x:c r="H1000" s="2" t="n">
        <x:v>0</x:v>
      </x:c>
      <x:c r="I1000" s="10" t="n">
        <x:v>24.95</x:v>
      </x:c>
      <x:c r="J1000" s="10" t="n">
        <x:v>0</x:v>
      </x:c>
      <x:c r="K1000" s="10" t="n">
        <x:v>8.5</x:v>
      </x:c>
      <x:c r="L1000" s="10" t="n">
        <x:f>G1000*I1000</x:f>
        <x:v>24.95</x:v>
      </x:c>
      <x:c r="M1000" s="10" t="n">
        <x:f>ROUND((L1000-J1000)*H1000/G1000,2)</x:f>
        <x:v>0</x:v>
      </x:c>
      <x:c r="N1000" s="10" t="n">
        <x:f>L1000-J1000-M1000</x:f>
        <x:v>24.95</x:v>
      </x:c>
      <x:c r="O1000" s="10" t="n">
        <x:f>(G1000-H1000)*K1000</x:f>
        <x:v>8.5</x:v>
      </x:c>
      <x:c r="P1000" s="10" t="n">
        <x:f>N1000-O1000</x:f>
        <x:v>16.45</x:v>
      </x:c>
      <x:c r="Q1000" s="9" t="n">
        <x:f>A1000-WEEKDAY(A1000,2)+1</x:f>
        <x:v>46300</x:v>
      </x:c>
      <x:c r="R1000" s="2" t="str">
        <x:f>IF(AND(A1000&gt;='Review'!$B$4,A1000&lt;='Review'!$D$4),"Selected","Outside")</x:f>
        <x:v>Selected</x:v>
      </x:c>
    </x:row>
    <x:row r="1001" ht="20" customHeight="1">
      <x:c r="A1001" s="9" t="n">
        <x:v>46302</x:v>
      </x:c>
      <x:c r="B1001" s="2" t="str">
        <x:v>MM-1713</x:v>
      </x:c>
      <x:c r="C1001" s="2" t="str">
        <x:v>Organic Search</x:v>
      </x:c>
      <x:c r="D1001" s="2" t="str">
        <x:v>TUM-002</x:v>
      </x:c>
      <x:c r="E1001" s="2" t="str">
        <x:f>_xlfn.IFNA(VLOOKUP(D1001,'Products'!$A$7:$I$22,2,FALSE),"Unmapped")</x:f>
        <x:v>Cold brew glass cup</x:v>
      </x:c>
      <x:c r="F1001" s="2" t="str">
        <x:f>_xlfn.IFNA(VLOOKUP(D1001,'Products'!$A$7:$I$22,3,FALSE),"Unmapped")</x:f>
        <x:v>Drinkware</x:v>
      </x:c>
      <x:c r="G1001" s="2" t="n">
        <x:v>1</x:v>
      </x:c>
      <x:c r="H1001" s="2" t="n">
        <x:v>0</x:v>
      </x:c>
      <x:c r="I1001" s="10" t="n">
        <x:v>24.95</x:v>
      </x:c>
      <x:c r="J1001" s="10" t="n">
        <x:v>0</x:v>
      </x:c>
      <x:c r="K1001" s="10" t="n">
        <x:v>9</x:v>
      </x:c>
      <x:c r="L1001" s="10" t="n">
        <x:f>G1001*I1001</x:f>
        <x:v>24.95</x:v>
      </x:c>
      <x:c r="M1001" s="10" t="n">
        <x:f>ROUND((L1001-J1001)*H1001/G1001,2)</x:f>
        <x:v>0</x:v>
      </x:c>
      <x:c r="N1001" s="10" t="n">
        <x:f>L1001-J1001-M1001</x:f>
        <x:v>24.95</x:v>
      </x:c>
      <x:c r="O1001" s="10" t="n">
        <x:f>(G1001-H1001)*K1001</x:f>
        <x:v>9</x:v>
      </x:c>
      <x:c r="P1001" s="10" t="n">
        <x:f>N1001-O1001</x:f>
        <x:v>15.95</x:v>
      </x:c>
      <x:c r="Q1001" s="9" t="n">
        <x:f>A1001-WEEKDAY(A1001,2)+1</x:f>
        <x:v>46300</x:v>
      </x:c>
      <x:c r="R1001" s="2" t="str">
        <x:f>IF(AND(A1001&gt;='Review'!$B$4,A1001&lt;='Review'!$D$4),"Selected","Outside")</x:f>
        <x:v>Selected</x:v>
      </x:c>
    </x:row>
    <x:row r="1002" ht="20" customHeight="1">
      <x:c r="A1002" s="9" t="n">
        <x:v>46302</x:v>
      </x:c>
      <x:c r="B1002" s="2" t="str">
        <x:v>MM-1715</x:v>
      </x:c>
      <x:c r="C1002" s="2" t="str">
        <x:v>Email</x:v>
      </x:c>
      <x:c r="D1002" s="2" t="str">
        <x:v>GFT-001</x:v>
      </x:c>
      <x:c r="E1002" s="2" t="str">
        <x:f>_xlfn.IFNA(VLOOKUP(D1002,'Products'!$A$7:$I$22,2,FALSE),"Unmapped")</x:f>
        <x:v>Morning ritual gift set</x:v>
      </x:c>
      <x:c r="F1002" s="2" t="str">
        <x:f>_xlfn.IFNA(VLOOKUP(D1002,'Products'!$A$7:$I$22,3,FALSE),"Unmapped")</x:f>
        <x:v>Gifts</x:v>
      </x:c>
      <x:c r="G1002" s="2" t="n">
        <x:v>3</x:v>
      </x:c>
      <x:c r="H1002" s="2" t="n">
        <x:v>0</x:v>
      </x:c>
      <x:c r="I1002" s="10" t="n">
        <x:v>59.95</x:v>
      </x:c>
      <x:c r="J1002" s="10" t="n">
        <x:v>17.98</x:v>
      </x:c>
      <x:c r="K1002" s="10" t="n">
        <x:v>24</x:v>
      </x:c>
      <x:c r="L1002" s="10" t="n">
        <x:f>G1002*I1002</x:f>
        <x:v>179.85000000000002</x:v>
      </x:c>
      <x:c r="M1002" s="10" t="n">
        <x:f>ROUND((L1002-J1002)*H1002/G1002,2)</x:f>
        <x:v>0</x:v>
      </x:c>
      <x:c r="N1002" s="10" t="n">
        <x:f>L1002-J1002-M1002</x:f>
        <x:v>161.87000000000003</x:v>
      </x:c>
      <x:c r="O1002" s="10" t="n">
        <x:f>(G1002-H1002)*K1002</x:f>
        <x:v>72</x:v>
      </x:c>
      <x:c r="P1002" s="10" t="n">
        <x:f>N1002-O1002</x:f>
        <x:v>89.87000000000003</x:v>
      </x:c>
      <x:c r="Q1002" s="9" t="n">
        <x:f>A1002-WEEKDAY(A1002,2)+1</x:f>
        <x:v>46300</x:v>
      </x:c>
      <x:c r="R1002" s="2" t="str">
        <x:f>IF(AND(A1002&gt;='Review'!$B$4,A1002&lt;='Review'!$D$4),"Selected","Outside")</x:f>
        <x:v>Selected</x:v>
      </x:c>
    </x:row>
    <x:row r="1003" ht="20" customHeight="1">
      <x:c r="A1003" s="9" t="n">
        <x:v>46302</x:v>
      </x:c>
      <x:c r="B1003" s="2" t="str">
        <x:v>MM-1720</x:v>
      </x:c>
      <x:c r="C1003" s="2" t="str">
        <x:v>Paid Social</x:v>
      </x:c>
      <x:c r="D1003" s="2" t="str">
        <x:v>APP-003</x:v>
      </x:c>
      <x:c r="E1003" s="2" t="str">
        <x:f>_xlfn.IFNA(VLOOKUP(D1003,'Products'!$A$7:$I$22,2,FALSE),"Unmapped")</x:f>
        <x:v>Coffee club tee</x:v>
      </x:c>
      <x:c r="F1003" s="2" t="str">
        <x:f>_xlfn.IFNA(VLOOKUP(D1003,'Products'!$A$7:$I$22,3,FALSE),"Unmapped")</x:f>
        <x:v>Apparel</x:v>
      </x:c>
      <x:c r="G1003" s="2" t="n">
        <x:v>1</x:v>
      </x:c>
      <x:c r="H1003" s="2" t="n">
        <x:v>0</x:v>
      </x:c>
      <x:c r="I1003" s="10" t="n">
        <x:v>29.95</x:v>
      </x:c>
      <x:c r="J1003" s="10" t="n">
        <x:v>0</x:v>
      </x:c>
      <x:c r="K1003" s="10" t="n">
        <x:v>10</x:v>
      </x:c>
      <x:c r="L1003" s="10" t="n">
        <x:f>G1003*I1003</x:f>
        <x:v>29.95</x:v>
      </x:c>
      <x:c r="M1003" s="10" t="n">
        <x:f>ROUND((L1003-J1003)*H1003/G1003,2)</x:f>
        <x:v>0</x:v>
      </x:c>
      <x:c r="N1003" s="10" t="n">
        <x:f>L1003-J1003-M1003</x:f>
        <x:v>29.95</x:v>
      </x:c>
      <x:c r="O1003" s="10" t="n">
        <x:f>(G1003-H1003)*K1003</x:f>
        <x:v>10</x:v>
      </x:c>
      <x:c r="P1003" s="10" t="n">
        <x:f>N1003-O1003</x:f>
        <x:v>19.95</x:v>
      </x:c>
      <x:c r="Q1003" s="9" t="n">
        <x:f>A1003-WEEKDAY(A1003,2)+1</x:f>
        <x:v>46300</x:v>
      </x:c>
      <x:c r="R1003" s="2" t="str">
        <x:f>IF(AND(A1003&gt;='Review'!$B$4,A1003&lt;='Review'!$D$4),"Selected","Outside")</x:f>
        <x:v>Selected</x:v>
      </x:c>
    </x:row>
    <x:row r="1004" ht="20" customHeight="1">
      <x:c r="A1004" s="9" t="n">
        <x:v>46302</x:v>
      </x:c>
      <x:c r="B1004" s="2" t="str">
        <x:v>MM-1711</x:v>
      </x:c>
      <x:c r="C1004" s="2" t="str">
        <x:v>Email</x:v>
      </x:c>
      <x:c r="D1004" s="2" t="str">
        <x:v>TUM-002</x:v>
      </x:c>
      <x:c r="E1004" s="2" t="str">
        <x:f>_xlfn.IFNA(VLOOKUP(D1004,'Products'!$A$7:$I$22,2,FALSE),"Unmapped")</x:f>
        <x:v>Cold brew glass cup</x:v>
      </x:c>
      <x:c r="F1004" s="2" t="str">
        <x:f>_xlfn.IFNA(VLOOKUP(D1004,'Products'!$A$7:$I$22,3,FALSE),"Unmapped")</x:f>
        <x:v>Drinkware</x:v>
      </x:c>
      <x:c r="G1004" s="2" t="n">
        <x:v>1</x:v>
      </x:c>
      <x:c r="H1004" s="2" t="n">
        <x:v>0</x:v>
      </x:c>
      <x:c r="I1004" s="10" t="n">
        <x:v>24.95</x:v>
      </x:c>
      <x:c r="J1004" s="10" t="n">
        <x:v>2.49</x:v>
      </x:c>
      <x:c r="K1004" s="10" t="n">
        <x:v>9</x:v>
      </x:c>
      <x:c r="L1004" s="10" t="n">
        <x:f>G1004*I1004</x:f>
        <x:v>24.95</x:v>
      </x:c>
      <x:c r="M1004" s="10" t="n">
        <x:f>ROUND((L1004-J1004)*H1004/G1004,2)</x:f>
        <x:v>0</x:v>
      </x:c>
      <x:c r="N1004" s="10" t="n">
        <x:f>L1004-J1004-M1004</x:f>
        <x:v>22.46</x:v>
      </x:c>
      <x:c r="O1004" s="10" t="n">
        <x:f>(G1004-H1004)*K1004</x:f>
        <x:v>9</x:v>
      </x:c>
      <x:c r="P1004" s="10" t="n">
        <x:f>N1004-O1004</x:f>
        <x:v>13.46</x:v>
      </x:c>
      <x:c r="Q1004" s="9" t="n">
        <x:f>A1004-WEEKDAY(A1004,2)+1</x:f>
        <x:v>46300</x:v>
      </x:c>
      <x:c r="R1004" s="2" t="str">
        <x:f>IF(AND(A1004&gt;='Review'!$B$4,A1004&lt;='Review'!$D$4),"Selected","Outside")</x:f>
        <x:v>Selected</x:v>
      </x:c>
    </x:row>
    <x:row r="1005" ht="20" customHeight="1">
      <x:c r="A1005" s="9" t="n">
        <x:v>46302</x:v>
      </x:c>
      <x:c r="B1005" s="2" t="str">
        <x:v>MM-1719</x:v>
      </x:c>
      <x:c r="C1005" s="2" t="str">
        <x:v>Direct</x:v>
      </x:c>
      <x:c r="D1005" s="2" t="str">
        <x:v>APP-001</x:v>
      </x:c>
      <x:c r="E1005" s="2" t="str">
        <x:f>_xlfn.IFNA(VLOOKUP(D1005,'Products'!$A$7:$I$22,2,FALSE),"Unmapped")</x:f>
        <x:v>Everyday crewneck</x:v>
      </x:c>
      <x:c r="F1005" s="2" t="str">
        <x:f>_xlfn.IFNA(VLOOKUP(D1005,'Products'!$A$7:$I$22,3,FALSE),"Unmapped")</x:f>
        <x:v>Apparel</x:v>
      </x:c>
      <x:c r="G1005" s="2" t="n">
        <x:v>1</x:v>
      </x:c>
      <x:c r="H1005" s="2" t="n">
        <x:v>0</x:v>
      </x:c>
      <x:c r="I1005" s="10" t="n">
        <x:v>54.95</x:v>
      </x:c>
      <x:c r="J1005" s="10" t="n">
        <x:v>5.49</x:v>
      </x:c>
      <x:c r="K1005" s="10" t="n">
        <x:v>22</x:v>
      </x:c>
      <x:c r="L1005" s="10" t="n">
        <x:f>G1005*I1005</x:f>
        <x:v>54.95</x:v>
      </x:c>
      <x:c r="M1005" s="10" t="n">
        <x:f>ROUND((L1005-J1005)*H1005/G1005,2)</x:f>
        <x:v>0</x:v>
      </x:c>
      <x:c r="N1005" s="10" t="n">
        <x:f>L1005-J1005-M1005</x:f>
        <x:v>49.46</x:v>
      </x:c>
      <x:c r="O1005" s="10" t="n">
        <x:f>(G1005-H1005)*K1005</x:f>
        <x:v>22</x:v>
      </x:c>
      <x:c r="P1005" s="10" t="n">
        <x:f>N1005-O1005</x:f>
        <x:v>27.46</x:v>
      </x:c>
      <x:c r="Q1005" s="9" t="n">
        <x:f>A1005-WEEKDAY(A1005,2)+1</x:f>
        <x:v>46300</x:v>
      </x:c>
      <x:c r="R1005" s="2" t="str">
        <x:f>IF(AND(A1005&gt;='Review'!$B$4,A1005&lt;='Review'!$D$4),"Selected","Outside")</x:f>
        <x:v>Selected</x:v>
      </x:c>
    </x:row>
    <x:row r="1006" ht="20" customHeight="1">
      <x:c r="A1006" s="9" t="n">
        <x:v>46302</x:v>
      </x:c>
      <x:c r="B1006" s="2" t="str">
        <x:v>MM-1712</x:v>
      </x:c>
      <x:c r="C1006" s="2" t="str">
        <x:v>Organic Search</x:v>
      </x:c>
      <x:c r="D1006" s="2" t="str">
        <x:v>APP-003</x:v>
      </x:c>
      <x:c r="E1006" s="2" t="str">
        <x:f>_xlfn.IFNA(VLOOKUP(D1006,'Products'!$A$7:$I$22,2,FALSE),"Unmapped")</x:f>
        <x:v>Coffee club tee</x:v>
      </x:c>
      <x:c r="F1006" s="2" t="str">
        <x:f>_xlfn.IFNA(VLOOKUP(D1006,'Products'!$A$7:$I$22,3,FALSE),"Unmapped")</x:f>
        <x:v>Apparel</x:v>
      </x:c>
      <x:c r="G1006" s="2" t="n">
        <x:v>1</x:v>
      </x:c>
      <x:c r="H1006" s="2" t="n">
        <x:v>0</x:v>
      </x:c>
      <x:c r="I1006" s="10" t="n">
        <x:v>29.95</x:v>
      </x:c>
      <x:c r="J1006" s="10" t="n">
        <x:v>0</x:v>
      </x:c>
      <x:c r="K1006" s="10" t="n">
        <x:v>10</x:v>
      </x:c>
      <x:c r="L1006" s="10" t="n">
        <x:f>G1006*I1006</x:f>
        <x:v>29.95</x:v>
      </x:c>
      <x:c r="M1006" s="10" t="n">
        <x:f>ROUND((L1006-J1006)*H1006/G1006,2)</x:f>
        <x:v>0</x:v>
      </x:c>
      <x:c r="N1006" s="10" t="n">
        <x:f>L1006-J1006-M1006</x:f>
        <x:v>29.95</x:v>
      </x:c>
      <x:c r="O1006" s="10" t="n">
        <x:f>(G1006-H1006)*K1006</x:f>
        <x:v>10</x:v>
      </x:c>
      <x:c r="P1006" s="10" t="n">
        <x:f>N1006-O1006</x:f>
        <x:v>19.95</x:v>
      </x:c>
      <x:c r="Q1006" s="9" t="n">
        <x:f>A1006-WEEKDAY(A1006,2)+1</x:f>
        <x:v>46300</x:v>
      </x:c>
      <x:c r="R1006" s="2" t="str">
        <x:f>IF(AND(A1006&gt;='Review'!$B$4,A1006&lt;='Review'!$D$4),"Selected","Outside")</x:f>
        <x:v>Selected</x:v>
      </x:c>
    </x:row>
    <x:row r="1007" ht="20" customHeight="1">
      <x:c r="A1007" s="9" t="n">
        <x:v>46302</x:v>
      </x:c>
      <x:c r="B1007" s="2" t="str">
        <x:v>MM-1712</x:v>
      </x:c>
      <x:c r="C1007" s="2" t="str">
        <x:v>Organic Search</x:v>
      </x:c>
      <x:c r="D1007" s="2" t="str">
        <x:v>PIN-001</x:v>
      </x:c>
      <x:c r="E1007" s="2" t="str">
        <x:f>_xlfn.IFNA(VLOOKUP(D1007,'Products'!$A$7:$I$22,2,FALSE),"Unmapped")</x:f>
        <x:v>Coffee enamel pin</x:v>
      </x:c>
      <x:c r="F1007" s="2" t="str">
        <x:f>_xlfn.IFNA(VLOOKUP(D1007,'Products'!$A$7:$I$22,3,FALSE),"Unmapped")</x:f>
        <x:v>Accessories</x:v>
      </x:c>
      <x:c r="G1007" s="2" t="n">
        <x:v>2</x:v>
      </x:c>
      <x:c r="H1007" s="2" t="n">
        <x:v>0</x:v>
      </x:c>
      <x:c r="I1007" s="10" t="n">
        <x:v>9.95</x:v>
      </x:c>
      <x:c r="J1007" s="10" t="n">
        <x:v>1.99</x:v>
      </x:c>
      <x:c r="K1007" s="10" t="n">
        <x:v>2.5</x:v>
      </x:c>
      <x:c r="L1007" s="10" t="n">
        <x:f>G1007*I1007</x:f>
        <x:v>19.9</x:v>
      </x:c>
      <x:c r="M1007" s="10" t="n">
        <x:f>ROUND((L1007-J1007)*H1007/G1007,2)</x:f>
        <x:v>0</x:v>
      </x:c>
      <x:c r="N1007" s="10" t="n">
        <x:f>L1007-J1007-M1007</x:f>
        <x:v>17.91</x:v>
      </x:c>
      <x:c r="O1007" s="10" t="n">
        <x:f>(G1007-H1007)*K1007</x:f>
        <x:v>5</x:v>
      </x:c>
      <x:c r="P1007" s="10" t="n">
        <x:f>N1007-O1007</x:f>
        <x:v>12.91</x:v>
      </x:c>
      <x:c r="Q1007" s="9" t="n">
        <x:f>A1007-WEEKDAY(A1007,2)+1</x:f>
        <x:v>46300</x:v>
      </x:c>
      <x:c r="R1007" s="2" t="str">
        <x:f>IF(AND(A1007&gt;='Review'!$B$4,A1007&lt;='Review'!$D$4),"Selected","Outside")</x:f>
        <x:v>Selected</x:v>
      </x:c>
    </x:row>
    <x:row r="1008" ht="20" customHeight="1">
      <x:c r="A1008" s="9" t="n">
        <x:v>46302</x:v>
      </x:c>
      <x:c r="B1008" s="2" t="str">
        <x:v>MM-1718</x:v>
      </x:c>
      <x:c r="C1008" s="2" t="str">
        <x:v>Paid Social</x:v>
      </x:c>
      <x:c r="D1008" s="2" t="str">
        <x:v>MUG-001</x:v>
      </x:c>
      <x:c r="E1008" s="2" t="str">
        <x:f>_xlfn.IFNA(VLOOKUP(D1008,'Products'!$A$7:$I$22,2,FALSE),"Unmapped")</x:f>
        <x:v>Everyday ceramic mug</x:v>
      </x:c>
      <x:c r="F1008" s="2" t="str">
        <x:f>_xlfn.IFNA(VLOOKUP(D1008,'Products'!$A$7:$I$22,3,FALSE),"Unmapped")</x:f>
        <x:v>Drinkware</x:v>
      </x:c>
      <x:c r="G1008" s="2" t="n">
        <x:v>1</x:v>
      </x:c>
      <x:c r="H1008" s="2" t="n">
        <x:v>0</x:v>
      </x:c>
      <x:c r="I1008" s="10" t="n">
        <x:v>18.95</x:v>
      </x:c>
      <x:c r="J1008" s="10" t="n">
        <x:v>0</x:v>
      </x:c>
      <x:c r="K1008" s="10" t="n">
        <x:v>6.5</x:v>
      </x:c>
      <x:c r="L1008" s="10" t="n">
        <x:f>G1008*I1008</x:f>
        <x:v>18.95</x:v>
      </x:c>
      <x:c r="M1008" s="10" t="n">
        <x:f>ROUND((L1008-J1008)*H1008/G1008,2)</x:f>
        <x:v>0</x:v>
      </x:c>
      <x:c r="N1008" s="10" t="n">
        <x:f>L1008-J1008-M1008</x:f>
        <x:v>18.95</x:v>
      </x:c>
      <x:c r="O1008" s="10" t="n">
        <x:f>(G1008-H1008)*K1008</x:f>
        <x:v>6.5</x:v>
      </x:c>
      <x:c r="P1008" s="10" t="n">
        <x:f>N1008-O1008</x:f>
        <x:v>12.45</x:v>
      </x:c>
      <x:c r="Q1008" s="9" t="n">
        <x:f>A1008-WEEKDAY(A1008,2)+1</x:f>
        <x:v>46300</x:v>
      </x:c>
      <x:c r="R1008" s="2" t="str">
        <x:f>IF(AND(A1008&gt;='Review'!$B$4,A1008&lt;='Review'!$D$4),"Selected","Outside")</x:f>
        <x:v>Selected</x:v>
      </x:c>
    </x:row>
    <x:row r="1009" ht="20" customHeight="1">
      <x:c r="A1009" s="9" t="n">
        <x:v>46302</x:v>
      </x:c>
      <x:c r="B1009" s="2" t="str">
        <x:v>MM-1718</x:v>
      </x:c>
      <x:c r="C1009" s="2" t="str">
        <x:v>Paid Social</x:v>
      </x:c>
      <x:c r="D1009" s="2" t="str">
        <x:v>TUM-002</x:v>
      </x:c>
      <x:c r="E1009" s="2" t="str">
        <x:f>_xlfn.IFNA(VLOOKUP(D1009,'Products'!$A$7:$I$22,2,FALSE),"Unmapped")</x:f>
        <x:v>Cold brew glass cup</x:v>
      </x:c>
      <x:c r="F1009" s="2" t="str">
        <x:f>_xlfn.IFNA(VLOOKUP(D1009,'Products'!$A$7:$I$22,3,FALSE),"Unmapped")</x:f>
        <x:v>Drinkware</x:v>
      </x:c>
      <x:c r="G1009" s="2" t="n">
        <x:v>1</x:v>
      </x:c>
      <x:c r="H1009" s="2" t="n">
        <x:v>0</x:v>
      </x:c>
      <x:c r="I1009" s="10" t="n">
        <x:v>24.95</x:v>
      </x:c>
      <x:c r="J1009" s="10" t="n">
        <x:v>0</x:v>
      </x:c>
      <x:c r="K1009" s="10" t="n">
        <x:v>9</x:v>
      </x:c>
      <x:c r="L1009" s="10" t="n">
        <x:f>G1009*I1009</x:f>
        <x:v>24.95</x:v>
      </x:c>
      <x:c r="M1009" s="10" t="n">
        <x:f>ROUND((L1009-J1009)*H1009/G1009,2)</x:f>
        <x:v>0</x:v>
      </x:c>
      <x:c r="N1009" s="10" t="n">
        <x:f>L1009-J1009-M1009</x:f>
        <x:v>24.95</x:v>
      </x:c>
      <x:c r="O1009" s="10" t="n">
        <x:f>(G1009-H1009)*K1009</x:f>
        <x:v>9</x:v>
      </x:c>
      <x:c r="P1009" s="10" t="n">
        <x:f>N1009-O1009</x:f>
        <x:v>15.95</x:v>
      </x:c>
      <x:c r="Q1009" s="9" t="n">
        <x:f>A1009-WEEKDAY(A1009,2)+1</x:f>
        <x:v>46300</x:v>
      </x:c>
      <x:c r="R1009" s="2" t="str">
        <x:f>IF(AND(A1009&gt;='Review'!$B$4,A1009&lt;='Review'!$D$4),"Selected","Outside")</x:f>
        <x:v>Selected</x:v>
      </x:c>
    </x:row>
    <x:row r="1010" ht="20" customHeight="1">
      <x:c r="A1010" s="9" t="n">
        <x:v>46302</x:v>
      </x:c>
      <x:c r="B1010" s="2" t="str">
        <x:v>MM-1721</x:v>
      </x:c>
      <x:c r="C1010" s="2" t="str">
        <x:v>Direct</x:v>
      </x:c>
      <x:c r="D1010" s="2" t="str">
        <x:v>APP-002</x:v>
      </x:c>
      <x:c r="E1010" s="2" t="str">
        <x:f>_xlfn.IFNA(VLOOKUP(D1010,'Products'!$A$7:$I$22,2,FALSE),"Unmapped")</x:f>
        <x:v>Weekend hoodie</x:v>
      </x:c>
      <x:c r="F1010" s="2" t="str">
        <x:f>_xlfn.IFNA(VLOOKUP(D1010,'Products'!$A$7:$I$22,3,FALSE),"Unmapped")</x:f>
        <x:v>Apparel</x:v>
      </x:c>
      <x:c r="G1010" s="2" t="n">
        <x:v>1</x:v>
      </x:c>
      <x:c r="H1010" s="2" t="n">
        <x:v>0</x:v>
      </x:c>
      <x:c r="I1010" s="10" t="n">
        <x:v>69.95</x:v>
      </x:c>
      <x:c r="J1010" s="10" t="n">
        <x:v>0</x:v>
      </x:c>
      <x:c r="K1010" s="10" t="n">
        <x:v>28</x:v>
      </x:c>
      <x:c r="L1010" s="10" t="n">
        <x:f>G1010*I1010</x:f>
        <x:v>69.95</x:v>
      </x:c>
      <x:c r="M1010" s="10" t="n">
        <x:f>ROUND((L1010-J1010)*H1010/G1010,2)</x:f>
        <x:v>0</x:v>
      </x:c>
      <x:c r="N1010" s="10" t="n">
        <x:f>L1010-J1010-M1010</x:f>
        <x:v>69.95</x:v>
      </x:c>
      <x:c r="O1010" s="10" t="n">
        <x:f>(G1010-H1010)*K1010</x:f>
        <x:v>28</x:v>
      </x:c>
      <x:c r="P1010" s="10" t="n">
        <x:f>N1010-O1010</x:f>
        <x:v>41.95</x:v>
      </x:c>
      <x:c r="Q1010" s="9" t="n">
        <x:f>A1010-WEEKDAY(A1010,2)+1</x:f>
        <x:v>46300</x:v>
      </x:c>
      <x:c r="R1010" s="2" t="str">
        <x:f>IF(AND(A1010&gt;='Review'!$B$4,A1010&lt;='Review'!$D$4),"Selected","Outside")</x:f>
        <x:v>Selected</x:v>
      </x:c>
    </x:row>
    <x:row r="1011" ht="20" customHeight="1">
      <x:c r="A1011" s="9" t="n">
        <x:v>46302</x:v>
      </x:c>
      <x:c r="B1011" s="2" t="str">
        <x:v>MM-1721</x:v>
      </x:c>
      <x:c r="C1011" s="2" t="str">
        <x:v>Direct</x:v>
      </x:c>
      <x:c r="D1011" s="2" t="str">
        <x:v>GFT-002</x:v>
      </x:c>
      <x:c r="E1011" s="2" t="str">
        <x:f>_xlfn.IFNA(VLOOKUP(D1011,'Products'!$A$7:$I$22,2,FALSE),"Unmapped")</x:f>
        <x:v>Cozy weekend gift box</x:v>
      </x:c>
      <x:c r="F1011" s="2" t="str">
        <x:f>_xlfn.IFNA(VLOOKUP(D1011,'Products'!$A$7:$I$22,3,FALSE),"Unmapped")</x:f>
        <x:v>Gifts</x:v>
      </x:c>
      <x:c r="G1011" s="2" t="n">
        <x:v>1</x:v>
      </x:c>
      <x:c r="H1011" s="2" t="n">
        <x:v>0</x:v>
      </x:c>
      <x:c r="I1011" s="10" t="n">
        <x:v>79.95</x:v>
      </x:c>
      <x:c r="J1011" s="10" t="n">
        <x:v>0</x:v>
      </x:c>
      <x:c r="K1011" s="10" t="n">
        <x:v>32</x:v>
      </x:c>
      <x:c r="L1011" s="10" t="n">
        <x:f>G1011*I1011</x:f>
        <x:v>79.95</x:v>
      </x:c>
      <x:c r="M1011" s="10" t="n">
        <x:f>ROUND((L1011-J1011)*H1011/G1011,2)</x:f>
        <x:v>0</x:v>
      </x:c>
      <x:c r="N1011" s="10" t="n">
        <x:f>L1011-J1011-M1011</x:f>
        <x:v>79.95</x:v>
      </x:c>
      <x:c r="O1011" s="10" t="n">
        <x:f>(G1011-H1011)*K1011</x:f>
        <x:v>32</x:v>
      </x:c>
      <x:c r="P1011" s="10" t="n">
        <x:f>N1011-O1011</x:f>
        <x:v>47.95</x:v>
      </x:c>
      <x:c r="Q1011" s="9" t="n">
        <x:f>A1011-WEEKDAY(A1011,2)+1</x:f>
        <x:v>46300</x:v>
      </x:c>
      <x:c r="R1011" s="2" t="str">
        <x:f>IF(AND(A1011&gt;='Review'!$B$4,A1011&lt;='Review'!$D$4),"Selected","Outside")</x:f>
        <x:v>Selected</x:v>
      </x:c>
    </x:row>
    <x:row r="1012" ht="20" customHeight="1">
      <x:c r="A1012" s="9" t="n">
        <x:v>46302</x:v>
      </x:c>
      <x:c r="B1012" s="2" t="str">
        <x:v>MM-1709</x:v>
      </x:c>
      <x:c r="C1012" s="2" t="str">
        <x:v>Organic Search</x:v>
      </x:c>
      <x:c r="D1012" s="2" t="str">
        <x:v>GFT-002</x:v>
      </x:c>
      <x:c r="E1012" s="2" t="str">
        <x:f>_xlfn.IFNA(VLOOKUP(D1012,'Products'!$A$7:$I$22,2,FALSE),"Unmapped")</x:f>
        <x:v>Cozy weekend gift box</x:v>
      </x:c>
      <x:c r="F1012" s="2" t="str">
        <x:f>_xlfn.IFNA(VLOOKUP(D1012,'Products'!$A$7:$I$22,3,FALSE),"Unmapped")</x:f>
        <x:v>Gifts</x:v>
      </x:c>
      <x:c r="G1012" s="2" t="n">
        <x:v>1</x:v>
      </x:c>
      <x:c r="H1012" s="2" t="n">
        <x:v>0</x:v>
      </x:c>
      <x:c r="I1012" s="10" t="n">
        <x:v>79.95</x:v>
      </x:c>
      <x:c r="J1012" s="10" t="n">
        <x:v>0</x:v>
      </x:c>
      <x:c r="K1012" s="10" t="n">
        <x:v>32</x:v>
      </x:c>
      <x:c r="L1012" s="10" t="n">
        <x:f>G1012*I1012</x:f>
        <x:v>79.95</x:v>
      </x:c>
      <x:c r="M1012" s="10" t="n">
        <x:f>ROUND((L1012-J1012)*H1012/G1012,2)</x:f>
        <x:v>0</x:v>
      </x:c>
      <x:c r="N1012" s="10" t="n">
        <x:f>L1012-J1012-M1012</x:f>
        <x:v>79.95</x:v>
      </x:c>
      <x:c r="O1012" s="10" t="n">
        <x:f>(G1012-H1012)*K1012</x:f>
        <x:v>32</x:v>
      </x:c>
      <x:c r="P1012" s="10" t="n">
        <x:f>N1012-O1012</x:f>
        <x:v>47.95</x:v>
      </x:c>
      <x:c r="Q1012" s="9" t="n">
        <x:f>A1012-WEEKDAY(A1012,2)+1</x:f>
        <x:v>46300</x:v>
      </x:c>
      <x:c r="R1012" s="2" t="str">
        <x:f>IF(AND(A1012&gt;='Review'!$B$4,A1012&lt;='Review'!$D$4),"Selected","Outside")</x:f>
        <x:v>Selected</x:v>
      </x:c>
    </x:row>
    <x:row r="1013" ht="20" customHeight="1">
      <x:c r="A1013" s="9" t="n">
        <x:v>46302</x:v>
      </x:c>
      <x:c r="B1013" s="2" t="str">
        <x:v>MM-1709</x:v>
      </x:c>
      <x:c r="C1013" s="2" t="str">
        <x:v>Organic Search</x:v>
      </x:c>
      <x:c r="D1013" s="2" t="str">
        <x:v>MUG-001</x:v>
      </x:c>
      <x:c r="E1013" s="2" t="str">
        <x:f>_xlfn.IFNA(VLOOKUP(D1013,'Products'!$A$7:$I$22,2,FALSE),"Unmapped")</x:f>
        <x:v>Everyday ceramic mug</x:v>
      </x:c>
      <x:c r="F1013" s="2" t="str">
        <x:f>_xlfn.IFNA(VLOOKUP(D1013,'Products'!$A$7:$I$22,3,FALSE),"Unmapped")</x:f>
        <x:v>Drinkware</x:v>
      </x:c>
      <x:c r="G1013" s="2" t="n">
        <x:v>1</x:v>
      </x:c>
      <x:c r="H1013" s="2" t="n">
        <x:v>0</x:v>
      </x:c>
      <x:c r="I1013" s="10" t="n">
        <x:v>18.95</x:v>
      </x:c>
      <x:c r="J1013" s="10" t="n">
        <x:v>0</x:v>
      </x:c>
      <x:c r="K1013" s="10" t="n">
        <x:v>6.5</x:v>
      </x:c>
      <x:c r="L1013" s="10" t="n">
        <x:f>G1013*I1013</x:f>
        <x:v>18.95</x:v>
      </x:c>
      <x:c r="M1013" s="10" t="n">
        <x:f>ROUND((L1013-J1013)*H1013/G1013,2)</x:f>
        <x:v>0</x:v>
      </x:c>
      <x:c r="N1013" s="10" t="n">
        <x:f>L1013-J1013-M1013</x:f>
        <x:v>18.95</x:v>
      </x:c>
      <x:c r="O1013" s="10" t="n">
        <x:f>(G1013-H1013)*K1013</x:f>
        <x:v>6.5</x:v>
      </x:c>
      <x:c r="P1013" s="10" t="n">
        <x:f>N1013-O1013</x:f>
        <x:v>12.45</x:v>
      </x:c>
      <x:c r="Q1013" s="9" t="n">
        <x:f>A1013-WEEKDAY(A1013,2)+1</x:f>
        <x:v>46300</x:v>
      </x:c>
      <x:c r="R1013" s="2" t="str">
        <x:f>IF(AND(A1013&gt;='Review'!$B$4,A1013&lt;='Review'!$D$4),"Selected","Outside")</x:f>
        <x:v>Selected</x:v>
      </x:c>
    </x:row>
    <x:row r="1014" ht="20" customHeight="1">
      <x:c r="A1014" s="9" t="n">
        <x:v>46302</x:v>
      </x:c>
      <x:c r="B1014" s="2" t="str">
        <x:v>MM-1716</x:v>
      </x:c>
      <x:c r="C1014" s="2" t="str">
        <x:v>Organic Search</x:v>
      </x:c>
      <x:c r="D1014" s="2" t="str">
        <x:v>GFT-002</x:v>
      </x:c>
      <x:c r="E1014" s="2" t="str">
        <x:f>_xlfn.IFNA(VLOOKUP(D1014,'Products'!$A$7:$I$22,2,FALSE),"Unmapped")</x:f>
        <x:v>Cozy weekend gift box</x:v>
      </x:c>
      <x:c r="F1014" s="2" t="str">
        <x:f>_xlfn.IFNA(VLOOKUP(D1014,'Products'!$A$7:$I$22,3,FALSE),"Unmapped")</x:f>
        <x:v>Gifts</x:v>
      </x:c>
      <x:c r="G1014" s="2" t="n">
        <x:v>1</x:v>
      </x:c>
      <x:c r="H1014" s="2" t="n">
        <x:v>0</x:v>
      </x:c>
      <x:c r="I1014" s="10" t="n">
        <x:v>79.95</x:v>
      </x:c>
      <x:c r="J1014" s="10" t="n">
        <x:v>0</x:v>
      </x:c>
      <x:c r="K1014" s="10" t="n">
        <x:v>32</x:v>
      </x:c>
      <x:c r="L1014" s="10" t="n">
        <x:f>G1014*I1014</x:f>
        <x:v>79.95</x:v>
      </x:c>
      <x:c r="M1014" s="10" t="n">
        <x:f>ROUND((L1014-J1014)*H1014/G1014,2)</x:f>
        <x:v>0</x:v>
      </x:c>
      <x:c r="N1014" s="10" t="n">
        <x:f>L1014-J1014-M1014</x:f>
        <x:v>79.95</x:v>
      </x:c>
      <x:c r="O1014" s="10" t="n">
        <x:f>(G1014-H1014)*K1014</x:f>
        <x:v>32</x:v>
      </x:c>
      <x:c r="P1014" s="10" t="n">
        <x:f>N1014-O1014</x:f>
        <x:v>47.95</x:v>
      </x:c>
      <x:c r="Q1014" s="9" t="n">
        <x:f>A1014-WEEKDAY(A1014,2)+1</x:f>
        <x:v>46300</x:v>
      </x:c>
      <x:c r="R1014" s="2" t="str">
        <x:f>IF(AND(A1014&gt;='Review'!$B$4,A1014&lt;='Review'!$D$4),"Selected","Outside")</x:f>
        <x:v>Selected</x:v>
      </x:c>
    </x:row>
    <x:row r="1015" ht="20" customHeight="1">
      <x:c r="A1015" s="9" t="n">
        <x:v>46303</x:v>
      </x:c>
      <x:c r="B1015" s="2" t="str">
        <x:v>MM-1723</x:v>
      </x:c>
      <x:c r="C1015" s="2" t="str">
        <x:v>Organic Search</x:v>
      </x:c>
      <x:c r="D1015" s="2" t="str">
        <x:v>MUG-002</x:v>
      </x:c>
      <x:c r="E1015" s="2" t="str">
        <x:f>_xlfn.IFNA(VLOOKUP(D1015,'Products'!$A$7:$I$22,2,FALSE),"Unmapped")</x:f>
        <x:v>Campfire enamel mug</x:v>
      </x:c>
      <x:c r="F1015" s="2" t="str">
        <x:f>_xlfn.IFNA(VLOOKUP(D1015,'Products'!$A$7:$I$22,3,FALSE),"Unmapped")</x:f>
        <x:v>Drinkware</x:v>
      </x:c>
      <x:c r="G1015" s="2" t="n">
        <x:v>3</x:v>
      </x:c>
      <x:c r="H1015" s="2" t="n">
        <x:v>0</x:v>
      </x:c>
      <x:c r="I1015" s="10" t="n">
        <x:v>22.95</x:v>
      </x:c>
      <x:c r="J1015" s="10" t="n">
        <x:v>0</x:v>
      </x:c>
      <x:c r="K1015" s="10" t="n">
        <x:v>8.5</x:v>
      </x:c>
      <x:c r="L1015" s="10" t="n">
        <x:f>G1015*I1015</x:f>
        <x:v>68.85</x:v>
      </x:c>
      <x:c r="M1015" s="10" t="n">
        <x:f>ROUND((L1015-J1015)*H1015/G1015,2)</x:f>
        <x:v>0</x:v>
      </x:c>
      <x:c r="N1015" s="10" t="n">
        <x:f>L1015-J1015-M1015</x:f>
        <x:v>68.85</x:v>
      </x:c>
      <x:c r="O1015" s="10" t="n">
        <x:f>(G1015-H1015)*K1015</x:f>
        <x:v>25.5</x:v>
      </x:c>
      <x:c r="P1015" s="10" t="n">
        <x:f>N1015-O1015</x:f>
        <x:v>43.349999999999994</x:v>
      </x:c>
      <x:c r="Q1015" s="9" t="n">
        <x:f>A1015-WEEKDAY(A1015,2)+1</x:f>
        <x:v>46300</x:v>
      </x:c>
      <x:c r="R1015" s="2" t="str">
        <x:f>IF(AND(A1015&gt;='Review'!$B$4,A1015&lt;='Review'!$D$4),"Selected","Outside")</x:f>
        <x:v>Selected</x:v>
      </x:c>
    </x:row>
    <x:row r="1016" ht="20" customHeight="1">
      <x:c r="A1016" s="9" t="n">
        <x:v>46303</x:v>
      </x:c>
      <x:c r="B1016" s="2" t="str">
        <x:v>MM-1724</x:v>
      </x:c>
      <x:c r="C1016" s="2" t="str">
        <x:v>Email</x:v>
      </x:c>
      <x:c r="D1016" s="2" t="str">
        <x:v>APP-003</x:v>
      </x:c>
      <x:c r="E1016" s="2" t="str">
        <x:f>_xlfn.IFNA(VLOOKUP(D1016,'Products'!$A$7:$I$22,2,FALSE),"Unmapped")</x:f>
        <x:v>Coffee club tee</x:v>
      </x:c>
      <x:c r="F1016" s="2" t="str">
        <x:f>_xlfn.IFNA(VLOOKUP(D1016,'Products'!$A$7:$I$22,3,FALSE),"Unmapped")</x:f>
        <x:v>Apparel</x:v>
      </x:c>
      <x:c r="G1016" s="2" t="n">
        <x:v>1</x:v>
      </x:c>
      <x:c r="H1016" s="2" t="n">
        <x:v>0</x:v>
      </x:c>
      <x:c r="I1016" s="10" t="n">
        <x:v>29.95</x:v>
      </x:c>
      <x:c r="J1016" s="10" t="n">
        <x:v>2.99</x:v>
      </x:c>
      <x:c r="K1016" s="10" t="n">
        <x:v>10</x:v>
      </x:c>
      <x:c r="L1016" s="10" t="n">
        <x:f>G1016*I1016</x:f>
        <x:v>29.95</x:v>
      </x:c>
      <x:c r="M1016" s="10" t="n">
        <x:f>ROUND((L1016-J1016)*H1016/G1016,2)</x:f>
        <x:v>0</x:v>
      </x:c>
      <x:c r="N1016" s="10" t="n">
        <x:f>L1016-J1016-M1016</x:f>
        <x:v>26.96</x:v>
      </x:c>
      <x:c r="O1016" s="10" t="n">
        <x:f>(G1016-H1016)*K1016</x:f>
        <x:v>10</x:v>
      </x:c>
      <x:c r="P1016" s="10" t="n">
        <x:f>N1016-O1016</x:f>
        <x:v>16.96</x:v>
      </x:c>
      <x:c r="Q1016" s="9" t="n">
        <x:f>A1016-WEEKDAY(A1016,2)+1</x:f>
        <x:v>46300</x:v>
      </x:c>
      <x:c r="R1016" s="2" t="str">
        <x:f>IF(AND(A1016&gt;='Review'!$B$4,A1016&lt;='Review'!$D$4),"Selected","Outside")</x:f>
        <x:v>Selected</x:v>
      </x:c>
    </x:row>
    <x:row r="1017" ht="20" customHeight="1">
      <x:c r="A1017" s="9" t="n">
        <x:v>46303</x:v>
      </x:c>
      <x:c r="B1017" s="2" t="str">
        <x:v>MM-1725</x:v>
      </x:c>
      <x:c r="C1017" s="2" t="str">
        <x:v>Paid Social</x:v>
      </x:c>
      <x:c r="D1017" s="2" t="str">
        <x:v>APP-001</x:v>
      </x:c>
      <x:c r="E1017" s="2" t="str">
        <x:f>_xlfn.IFNA(VLOOKUP(D1017,'Products'!$A$7:$I$22,2,FALSE),"Unmapped")</x:f>
        <x:v>Everyday crewneck</x:v>
      </x:c>
      <x:c r="F1017" s="2" t="str">
        <x:f>_xlfn.IFNA(VLOOKUP(D1017,'Products'!$A$7:$I$22,3,FALSE),"Unmapped")</x:f>
        <x:v>Apparel</x:v>
      </x:c>
      <x:c r="G1017" s="2" t="n">
        <x:v>1</x:v>
      </x:c>
      <x:c r="H1017" s="2" t="n">
        <x:v>0</x:v>
      </x:c>
      <x:c r="I1017" s="10" t="n">
        <x:v>54.95</x:v>
      </x:c>
      <x:c r="J1017" s="10" t="n">
        <x:v>0</x:v>
      </x:c>
      <x:c r="K1017" s="10" t="n">
        <x:v>22</x:v>
      </x:c>
      <x:c r="L1017" s="10" t="n">
        <x:f>G1017*I1017</x:f>
        <x:v>54.95</x:v>
      </x:c>
      <x:c r="M1017" s="10" t="n">
        <x:f>ROUND((L1017-J1017)*H1017/G1017,2)</x:f>
        <x:v>0</x:v>
      </x:c>
      <x:c r="N1017" s="10" t="n">
        <x:f>L1017-J1017-M1017</x:f>
        <x:v>54.95</x:v>
      </x:c>
      <x:c r="O1017" s="10" t="n">
        <x:f>(G1017-H1017)*K1017</x:f>
        <x:v>22</x:v>
      </x:c>
      <x:c r="P1017" s="10" t="n">
        <x:f>N1017-O1017</x:f>
        <x:v>32.95</x:v>
      </x:c>
      <x:c r="Q1017" s="9" t="n">
        <x:f>A1017-WEEKDAY(A1017,2)+1</x:f>
        <x:v>46300</x:v>
      </x:c>
      <x:c r="R1017" s="2" t="str">
        <x:f>IF(AND(A1017&gt;='Review'!$B$4,A1017&lt;='Review'!$D$4),"Selected","Outside")</x:f>
        <x:v>Selected</x:v>
      </x:c>
    </x:row>
    <x:row r="1018" ht="20" customHeight="1">
      <x:c r="A1018" s="9" t="n">
        <x:v>46303</x:v>
      </x:c>
      <x:c r="B1018" s="2" t="str">
        <x:v>MM-1726</x:v>
      </x:c>
      <x:c r="C1018" s="2" t="str">
        <x:v>Direct</x:v>
      </x:c>
      <x:c r="D1018" s="2" t="str">
        <x:v>GFT-002</x:v>
      </x:c>
      <x:c r="E1018" s="2" t="str">
        <x:f>_xlfn.IFNA(VLOOKUP(D1018,'Products'!$A$7:$I$22,2,FALSE),"Unmapped")</x:f>
        <x:v>Cozy weekend gift box</x:v>
      </x:c>
      <x:c r="F1018" s="2" t="str">
        <x:f>_xlfn.IFNA(VLOOKUP(D1018,'Products'!$A$7:$I$22,3,FALSE),"Unmapped")</x:f>
        <x:v>Gifts</x:v>
      </x:c>
      <x:c r="G1018" s="2" t="n">
        <x:v>3</x:v>
      </x:c>
      <x:c r="H1018" s="2" t="n">
        <x:v>0</x:v>
      </x:c>
      <x:c r="I1018" s="10" t="n">
        <x:v>79.95</x:v>
      </x:c>
      <x:c r="J1018" s="10" t="n">
        <x:v>0</x:v>
      </x:c>
      <x:c r="K1018" s="10" t="n">
        <x:v>32</x:v>
      </x:c>
      <x:c r="L1018" s="10" t="n">
        <x:f>G1018*I1018</x:f>
        <x:v>239.85000000000002</x:v>
      </x:c>
      <x:c r="M1018" s="10" t="n">
        <x:f>ROUND((L1018-J1018)*H1018/G1018,2)</x:f>
        <x:v>0</x:v>
      </x:c>
      <x:c r="N1018" s="10" t="n">
        <x:f>L1018-J1018-M1018</x:f>
        <x:v>239.85000000000002</x:v>
      </x:c>
      <x:c r="O1018" s="10" t="n">
        <x:f>(G1018-H1018)*K1018</x:f>
        <x:v>96</x:v>
      </x:c>
      <x:c r="P1018" s="10" t="n">
        <x:f>N1018-O1018</x:f>
        <x:v>143.85000000000002</x:v>
      </x:c>
      <x:c r="Q1018" s="9" t="n">
        <x:f>A1018-WEEKDAY(A1018,2)+1</x:f>
        <x:v>46300</x:v>
      </x:c>
      <x:c r="R1018" s="2" t="str">
        <x:f>IF(AND(A1018&gt;='Review'!$B$4,A1018&lt;='Review'!$D$4),"Selected","Outside")</x:f>
        <x:v>Selected</x:v>
      </x:c>
    </x:row>
    <x:row r="1019" ht="20" customHeight="1">
      <x:c r="A1019" s="9" t="n">
        <x:v>46303</x:v>
      </x:c>
      <x:c r="B1019" s="2" t="str">
        <x:v>MM-1727</x:v>
      </x:c>
      <x:c r="C1019" s="2" t="str">
        <x:v>Paid Social</x:v>
      </x:c>
      <x:c r="D1019" s="2" t="str">
        <x:v>GFT-001</x:v>
      </x:c>
      <x:c r="E1019" s="2" t="str">
        <x:f>_xlfn.IFNA(VLOOKUP(D1019,'Products'!$A$7:$I$22,2,FALSE),"Unmapped")</x:f>
        <x:v>Morning ritual gift set</x:v>
      </x:c>
      <x:c r="F1019" s="2" t="str">
        <x:f>_xlfn.IFNA(VLOOKUP(D1019,'Products'!$A$7:$I$22,3,FALSE),"Unmapped")</x:f>
        <x:v>Gifts</x:v>
      </x:c>
      <x:c r="G1019" s="2" t="n">
        <x:v>2</x:v>
      </x:c>
      <x:c r="H1019" s="2" t="n">
        <x:v>0</x:v>
      </x:c>
      <x:c r="I1019" s="10" t="n">
        <x:v>59.95</x:v>
      </x:c>
      <x:c r="J1019" s="10" t="n">
        <x:v>0</x:v>
      </x:c>
      <x:c r="K1019" s="10" t="n">
        <x:v>24</x:v>
      </x:c>
      <x:c r="L1019" s="10" t="n">
        <x:f>G1019*I1019</x:f>
        <x:v>119.9</x:v>
      </x:c>
      <x:c r="M1019" s="10" t="n">
        <x:f>ROUND((L1019-J1019)*H1019/G1019,2)</x:f>
        <x:v>0</x:v>
      </x:c>
      <x:c r="N1019" s="10" t="n">
        <x:f>L1019-J1019-M1019</x:f>
        <x:v>119.9</x:v>
      </x:c>
      <x:c r="O1019" s="10" t="n">
        <x:f>(G1019-H1019)*K1019</x:f>
        <x:v>48</x:v>
      </x:c>
      <x:c r="P1019" s="10" t="n">
        <x:f>N1019-O1019</x:f>
        <x:v>71.9</x:v>
      </x:c>
      <x:c r="Q1019" s="9" t="n">
        <x:f>A1019-WEEKDAY(A1019,2)+1</x:f>
        <x:v>46300</x:v>
      </x:c>
      <x:c r="R1019" s="2" t="str">
        <x:f>IF(AND(A1019&gt;='Review'!$B$4,A1019&lt;='Review'!$D$4),"Selected","Outside")</x:f>
        <x:v>Selected</x:v>
      </x:c>
    </x:row>
    <x:row r="1020" ht="20" customHeight="1">
      <x:c r="A1020" s="9" t="n">
        <x:v>46303</x:v>
      </x:c>
      <x:c r="B1020" s="2" t="str">
        <x:v>MM-1731</x:v>
      </x:c>
      <x:c r="C1020" s="2" t="str">
        <x:v>Paid Social</x:v>
      </x:c>
      <x:c r="D1020" s="2" t="str">
        <x:v>TUM-002</x:v>
      </x:c>
      <x:c r="E1020" s="2" t="str">
        <x:f>_xlfn.IFNA(VLOOKUP(D1020,'Products'!$A$7:$I$22,2,FALSE),"Unmapped")</x:f>
        <x:v>Cold brew glass cup</x:v>
      </x:c>
      <x:c r="F1020" s="2" t="str">
        <x:f>_xlfn.IFNA(VLOOKUP(D1020,'Products'!$A$7:$I$22,3,FALSE),"Unmapped")</x:f>
        <x:v>Drinkware</x:v>
      </x:c>
      <x:c r="G1020" s="2" t="n">
        <x:v>1</x:v>
      </x:c>
      <x:c r="H1020" s="2" t="n">
        <x:v>0</x:v>
      </x:c>
      <x:c r="I1020" s="10" t="n">
        <x:v>24.95</x:v>
      </x:c>
      <x:c r="J1020" s="10" t="n">
        <x:v>0</x:v>
      </x:c>
      <x:c r="K1020" s="10" t="n">
        <x:v>9</x:v>
      </x:c>
      <x:c r="L1020" s="10" t="n">
        <x:f>G1020*I1020</x:f>
        <x:v>24.95</x:v>
      </x:c>
      <x:c r="M1020" s="10" t="n">
        <x:f>ROUND((L1020-J1020)*H1020/G1020,2)</x:f>
        <x:v>0</x:v>
      </x:c>
      <x:c r="N1020" s="10" t="n">
        <x:f>L1020-J1020-M1020</x:f>
        <x:v>24.95</x:v>
      </x:c>
      <x:c r="O1020" s="10" t="n">
        <x:f>(G1020-H1020)*K1020</x:f>
        <x:v>9</x:v>
      </x:c>
      <x:c r="P1020" s="10" t="n">
        <x:f>N1020-O1020</x:f>
        <x:v>15.95</x:v>
      </x:c>
      <x:c r="Q1020" s="9" t="n">
        <x:f>A1020-WEEKDAY(A1020,2)+1</x:f>
        <x:v>46300</x:v>
      </x:c>
      <x:c r="R1020" s="2" t="str">
        <x:f>IF(AND(A1020&gt;='Review'!$B$4,A1020&lt;='Review'!$D$4),"Selected","Outside")</x:f>
        <x:v>Selected</x:v>
      </x:c>
    </x:row>
    <x:row r="1021" ht="20" customHeight="1">
      <x:c r="A1021" s="9" t="n">
        <x:v>46303</x:v>
      </x:c>
      <x:c r="B1021" s="2" t="str">
        <x:v>MM-1729</x:v>
      </x:c>
      <x:c r="C1021" s="2" t="str">
        <x:v>Organic Search</x:v>
      </x:c>
      <x:c r="D1021" s="2" t="str">
        <x:v>BOT-001</x:v>
      </x:c>
      <x:c r="E1021" s="2" t="str">
        <x:f>_xlfn.IFNA(VLOOKUP(D1021,'Products'!$A$7:$I$22,2,FALSE),"Unmapped")</x:f>
        <x:v>Trail water bottle</x:v>
      </x:c>
      <x:c r="F1021" s="2" t="str">
        <x:f>_xlfn.IFNA(VLOOKUP(D1021,'Products'!$A$7:$I$22,3,FALSE),"Unmapped")</x:f>
        <x:v>Drinkware</x:v>
      </x:c>
      <x:c r="G1021" s="2" t="n">
        <x:v>1</x:v>
      </x:c>
      <x:c r="H1021" s="2" t="n">
        <x:v>0</x:v>
      </x:c>
      <x:c r="I1021" s="10" t="n">
        <x:v>34.95</x:v>
      </x:c>
      <x:c r="J1021" s="10" t="n">
        <x:v>0</x:v>
      </x:c>
      <x:c r="K1021" s="10" t="n">
        <x:v>13.5</x:v>
      </x:c>
      <x:c r="L1021" s="10" t="n">
        <x:f>G1021*I1021</x:f>
        <x:v>34.95</x:v>
      </x:c>
      <x:c r="M1021" s="10" t="n">
        <x:f>ROUND((L1021-J1021)*H1021/G1021,2)</x:f>
        <x:v>0</x:v>
      </x:c>
      <x:c r="N1021" s="10" t="n">
        <x:f>L1021-J1021-M1021</x:f>
        <x:v>34.95</x:v>
      </x:c>
      <x:c r="O1021" s="10" t="n">
        <x:f>(G1021-H1021)*K1021</x:f>
        <x:v>13.5</x:v>
      </x:c>
      <x:c r="P1021" s="10" t="n">
        <x:f>N1021-O1021</x:f>
        <x:v>21.450000000000003</x:v>
      </x:c>
      <x:c r="Q1021" s="9" t="n">
        <x:f>A1021-WEEKDAY(A1021,2)+1</x:f>
        <x:v>46300</x:v>
      </x:c>
      <x:c r="R1021" s="2" t="str">
        <x:f>IF(AND(A1021&gt;='Review'!$B$4,A1021&lt;='Review'!$D$4),"Selected","Outside")</x:f>
        <x:v>Selected</x:v>
      </x:c>
    </x:row>
    <x:row r="1022" ht="20" customHeight="1">
      <x:c r="A1022" s="9" t="n">
        <x:v>46303</x:v>
      </x:c>
      <x:c r="B1022" s="2" t="str">
        <x:v>MM-1730</x:v>
      </x:c>
      <x:c r="C1022" s="2" t="str">
        <x:v>Direct</x:v>
      </x:c>
      <x:c r="D1022" s="2" t="str">
        <x:v>KEY-001</x:v>
      </x:c>
      <x:c r="E1022" s="2" t="str">
        <x:f>_xlfn.IFNA(VLOOKUP(D1022,'Products'!$A$7:$I$22,2,FALSE),"Unmapped")</x:f>
        <x:v>Maple keyring</x:v>
      </x:c>
      <x:c r="F1022" s="2" t="str">
        <x:f>_xlfn.IFNA(VLOOKUP(D1022,'Products'!$A$7:$I$22,3,FALSE),"Unmapped")</x:f>
        <x:v>Accessories</x:v>
      </x:c>
      <x:c r="G1022" s="2" t="n">
        <x:v>2</x:v>
      </x:c>
      <x:c r="H1022" s="2" t="n">
        <x:v>0</x:v>
      </x:c>
      <x:c r="I1022" s="10" t="n">
        <x:v>12.95</x:v>
      </x:c>
      <x:c r="J1022" s="10" t="n">
        <x:v>0</x:v>
      </x:c>
      <x:c r="K1022" s="10" t="n">
        <x:v>3.5</x:v>
      </x:c>
      <x:c r="L1022" s="10" t="n">
        <x:f>G1022*I1022</x:f>
        <x:v>25.9</x:v>
      </x:c>
      <x:c r="M1022" s="10" t="n">
        <x:f>ROUND((L1022-J1022)*H1022/G1022,2)</x:f>
        <x:v>0</x:v>
      </x:c>
      <x:c r="N1022" s="10" t="n">
        <x:f>L1022-J1022-M1022</x:f>
        <x:v>25.9</x:v>
      </x:c>
      <x:c r="O1022" s="10" t="n">
        <x:f>(G1022-H1022)*K1022</x:f>
        <x:v>7</x:v>
      </x:c>
      <x:c r="P1022" s="10" t="n">
        <x:f>N1022-O1022</x:f>
        <x:v>18.9</x:v>
      </x:c>
      <x:c r="Q1022" s="9" t="n">
        <x:f>A1022-WEEKDAY(A1022,2)+1</x:f>
        <x:v>46300</x:v>
      </x:c>
      <x:c r="R1022" s="2" t="str">
        <x:f>IF(AND(A1022&gt;='Review'!$B$4,A1022&lt;='Review'!$D$4),"Selected","Outside")</x:f>
        <x:v>Selected</x:v>
      </x:c>
    </x:row>
    <x:row r="1023" ht="20" customHeight="1">
      <x:c r="A1023" s="9" t="n">
        <x:v>46303</x:v>
      </x:c>
      <x:c r="B1023" s="2" t="str">
        <x:v>MM-1728</x:v>
      </x:c>
      <x:c r="C1023" s="2" t="str">
        <x:v>Organic Search</x:v>
      </x:c>
      <x:c r="D1023" s="2" t="str">
        <x:v>TOTE-001</x:v>
      </x:c>
      <x:c r="E1023" s="2" t="str">
        <x:f>_xlfn.IFNA(VLOOKUP(D1023,'Products'!$A$7:$I$22,2,FALSE),"Unmapped")</x:f>
        <x:v>Market canvas tote</x:v>
      </x:c>
      <x:c r="F1023" s="2" t="str">
        <x:f>_xlfn.IFNA(VLOOKUP(D1023,'Products'!$A$7:$I$22,3,FALSE),"Unmapped")</x:f>
        <x:v>Accessories</x:v>
      </x:c>
      <x:c r="G1023" s="2" t="n">
        <x:v>2</x:v>
      </x:c>
      <x:c r="H1023" s="2" t="n">
        <x:v>0</x:v>
      </x:c>
      <x:c r="I1023" s="10" t="n">
        <x:v>19.95</x:v>
      </x:c>
      <x:c r="J1023" s="10" t="n">
        <x:v>0</x:v>
      </x:c>
      <x:c r="K1023" s="10" t="n">
        <x:v>6</x:v>
      </x:c>
      <x:c r="L1023" s="10" t="n">
        <x:f>G1023*I1023</x:f>
        <x:v>39.9</x:v>
      </x:c>
      <x:c r="M1023" s="10" t="n">
        <x:f>ROUND((L1023-J1023)*H1023/G1023,2)</x:f>
        <x:v>0</x:v>
      </x:c>
      <x:c r="N1023" s="10" t="n">
        <x:f>L1023-J1023-M1023</x:f>
        <x:v>39.9</x:v>
      </x:c>
      <x:c r="O1023" s="10" t="n">
        <x:f>(G1023-H1023)*K1023</x:f>
        <x:v>12</x:v>
      </x:c>
      <x:c r="P1023" s="10" t="n">
        <x:f>N1023-O1023</x:f>
        <x:v>27.9</x:v>
      </x:c>
      <x:c r="Q1023" s="9" t="n">
        <x:f>A1023-WEEKDAY(A1023,2)+1</x:f>
        <x:v>46300</x:v>
      </x:c>
      <x:c r="R1023" s="2" t="str">
        <x:f>IF(AND(A1023&gt;='Review'!$B$4,A1023&lt;='Review'!$D$4),"Selected","Outside")</x:f>
        <x:v>Selected</x:v>
      </x:c>
    </x:row>
    <x:row r="1024" ht="20" customHeight="1">
      <x:c r="A1024" s="9" t="n">
        <x:v>46303</x:v>
      </x:c>
      <x:c r="B1024" s="2" t="str">
        <x:v>MM-1722</x:v>
      </x:c>
      <x:c r="C1024" s="2" t="str">
        <x:v>Paid Social</x:v>
      </x:c>
      <x:c r="D1024" s="2" t="str">
        <x:v>TUM-001</x:v>
      </x:c>
      <x:c r="E1024" s="2" t="str">
        <x:f>_xlfn.IFNA(VLOOKUP(D1024,'Products'!$A$7:$I$22,2,FALSE),"Unmapped")</x:f>
        <x:v>Maple travel tumbler</x:v>
      </x:c>
      <x:c r="F1024" s="2" t="str">
        <x:f>_xlfn.IFNA(VLOOKUP(D1024,'Products'!$A$7:$I$22,3,FALSE),"Unmapped")</x:f>
        <x:v>Drinkware</x:v>
      </x:c>
      <x:c r="G1024" s="2" t="n">
        <x:v>1</x:v>
      </x:c>
      <x:c r="H1024" s="2" t="n">
        <x:v>1</x:v>
      </x:c>
      <x:c r="I1024" s="10" t="n">
        <x:v>32.95</x:v>
      </x:c>
      <x:c r="J1024" s="10" t="n">
        <x:v>0</x:v>
      </x:c>
      <x:c r="K1024" s="10" t="n">
        <x:v>12</x:v>
      </x:c>
      <x:c r="L1024" s="10" t="n">
        <x:f>G1024*I1024</x:f>
        <x:v>32.95</x:v>
      </x:c>
      <x:c r="M1024" s="10" t="n">
        <x:f>ROUND((L1024-J1024)*H1024/G1024,2)</x:f>
        <x:v>32.95</x:v>
      </x:c>
      <x:c r="N1024" s="10" t="n">
        <x:f>L1024-J1024-M1024</x:f>
        <x:v>0</x:v>
      </x:c>
      <x:c r="O1024" s="10" t="n">
        <x:f>(G1024-H1024)*K1024</x:f>
        <x:v>0</x:v>
      </x:c>
      <x:c r="P1024" s="10" t="n">
        <x:f>N1024-O1024</x:f>
        <x:v>0</x:v>
      </x:c>
      <x:c r="Q1024" s="9" t="n">
        <x:f>A1024-WEEKDAY(A1024,2)+1</x:f>
        <x:v>46300</x:v>
      </x:c>
      <x:c r="R1024" s="2" t="str">
        <x:f>IF(AND(A1024&gt;='Review'!$B$4,A1024&lt;='Review'!$D$4),"Selected","Outside")</x:f>
        <x:v>Selected</x:v>
      </x:c>
    </x:row>
    <x:row r="1025" ht="20" customHeight="1">
      <x:c r="A1025" s="9" t="n">
        <x:v>46304</x:v>
      </x:c>
      <x:c r="B1025" s="2" t="str">
        <x:v>MM-1736</x:v>
      </x:c>
      <x:c r="C1025" s="2" t="str">
        <x:v>Paid Social</x:v>
      </x:c>
      <x:c r="D1025" s="2" t="str">
        <x:v>TUM-002</x:v>
      </x:c>
      <x:c r="E1025" s="2" t="str">
        <x:f>_xlfn.IFNA(VLOOKUP(D1025,'Products'!$A$7:$I$22,2,FALSE),"Unmapped")</x:f>
        <x:v>Cold brew glass cup</x:v>
      </x:c>
      <x:c r="F1025" s="2" t="str">
        <x:f>_xlfn.IFNA(VLOOKUP(D1025,'Products'!$A$7:$I$22,3,FALSE),"Unmapped")</x:f>
        <x:v>Drinkware</x:v>
      </x:c>
      <x:c r="G1025" s="2" t="n">
        <x:v>3</x:v>
      </x:c>
      <x:c r="H1025" s="2" t="n">
        <x:v>0</x:v>
      </x:c>
      <x:c r="I1025" s="10" t="n">
        <x:v>24.95</x:v>
      </x:c>
      <x:c r="J1025" s="10" t="n">
        <x:v>0</x:v>
      </x:c>
      <x:c r="K1025" s="10" t="n">
        <x:v>9</x:v>
      </x:c>
      <x:c r="L1025" s="10" t="n">
        <x:f>G1025*I1025</x:f>
        <x:v>74.85</x:v>
      </x:c>
      <x:c r="M1025" s="10" t="n">
        <x:f>ROUND((L1025-J1025)*H1025/G1025,2)</x:f>
        <x:v>0</x:v>
      </x:c>
      <x:c r="N1025" s="10" t="n">
        <x:f>L1025-J1025-M1025</x:f>
        <x:v>74.85</x:v>
      </x:c>
      <x:c r="O1025" s="10" t="n">
        <x:f>(G1025-H1025)*K1025</x:f>
        <x:v>27</x:v>
      </x:c>
      <x:c r="P1025" s="10" t="n">
        <x:f>N1025-O1025</x:f>
        <x:v>47.849999999999994</x:v>
      </x:c>
      <x:c r="Q1025" s="9" t="n">
        <x:f>A1025-WEEKDAY(A1025,2)+1</x:f>
        <x:v>46300</x:v>
      </x:c>
      <x:c r="R1025" s="2" t="str">
        <x:f>IF(AND(A1025&gt;='Review'!$B$4,A1025&lt;='Review'!$D$4),"Selected","Outside")</x:f>
        <x:v>Selected</x:v>
      </x:c>
    </x:row>
    <x:row r="1026" ht="20" customHeight="1">
      <x:c r="A1026" s="9" t="n">
        <x:v>46304</x:v>
      </x:c>
      <x:c r="B1026" s="2" t="str">
        <x:v>MM-1736</x:v>
      </x:c>
      <x:c r="C1026" s="2" t="str">
        <x:v>Paid Social</x:v>
      </x:c>
      <x:c r="D1026" s="2" t="str">
        <x:v>MUG-001</x:v>
      </x:c>
      <x:c r="E1026" s="2" t="str">
        <x:f>_xlfn.IFNA(VLOOKUP(D1026,'Products'!$A$7:$I$22,2,FALSE),"Unmapped")</x:f>
        <x:v>Everyday ceramic mug</x:v>
      </x:c>
      <x:c r="F1026" s="2" t="str">
        <x:f>_xlfn.IFNA(VLOOKUP(D1026,'Products'!$A$7:$I$22,3,FALSE),"Unmapped")</x:f>
        <x:v>Drinkware</x:v>
      </x:c>
      <x:c r="G1026" s="2" t="n">
        <x:v>2</x:v>
      </x:c>
      <x:c r="H1026" s="2" t="n">
        <x:v>0</x:v>
      </x:c>
      <x:c r="I1026" s="10" t="n">
        <x:v>18.95</x:v>
      </x:c>
      <x:c r="J1026" s="10" t="n">
        <x:v>0</x:v>
      </x:c>
      <x:c r="K1026" s="10" t="n">
        <x:v>6.5</x:v>
      </x:c>
      <x:c r="L1026" s="10" t="n">
        <x:f>G1026*I1026</x:f>
        <x:v>37.9</x:v>
      </x:c>
      <x:c r="M1026" s="10" t="n">
        <x:f>ROUND((L1026-J1026)*H1026/G1026,2)</x:f>
        <x:v>0</x:v>
      </x:c>
      <x:c r="N1026" s="10" t="n">
        <x:f>L1026-J1026-M1026</x:f>
        <x:v>37.9</x:v>
      </x:c>
      <x:c r="O1026" s="10" t="n">
        <x:f>(G1026-H1026)*K1026</x:f>
        <x:v>13</x:v>
      </x:c>
      <x:c r="P1026" s="10" t="n">
        <x:f>N1026-O1026</x:f>
        <x:v>24.9</x:v>
      </x:c>
      <x:c r="Q1026" s="9" t="n">
        <x:f>A1026-WEEKDAY(A1026,2)+1</x:f>
        <x:v>46300</x:v>
      </x:c>
      <x:c r="R1026" s="2" t="str">
        <x:f>IF(AND(A1026&gt;='Review'!$B$4,A1026&lt;='Review'!$D$4),"Selected","Outside")</x:f>
        <x:v>Selected</x:v>
      </x:c>
    </x:row>
    <x:row r="1027" ht="20" customHeight="1">
      <x:c r="A1027" s="9" t="n">
        <x:v>46304</x:v>
      </x:c>
      <x:c r="B1027" s="2" t="str">
        <x:v>MM-1737</x:v>
      </x:c>
      <x:c r="C1027" s="2" t="str">
        <x:v>Organic Search</x:v>
      </x:c>
      <x:c r="D1027" s="2" t="str">
        <x:v>GFT-002</x:v>
      </x:c>
      <x:c r="E1027" s="2" t="str">
        <x:f>_xlfn.IFNA(VLOOKUP(D1027,'Products'!$A$7:$I$22,2,FALSE),"Unmapped")</x:f>
        <x:v>Cozy weekend gift box</x:v>
      </x:c>
      <x:c r="F1027" s="2" t="str">
        <x:f>_xlfn.IFNA(VLOOKUP(D1027,'Products'!$A$7:$I$22,3,FALSE),"Unmapped")</x:f>
        <x:v>Gifts</x:v>
      </x:c>
      <x:c r="G1027" s="2" t="n">
        <x:v>1</x:v>
      </x:c>
      <x:c r="H1027" s="2" t="n">
        <x:v>0</x:v>
      </x:c>
      <x:c r="I1027" s="10" t="n">
        <x:v>79.95</x:v>
      </x:c>
      <x:c r="J1027" s="10" t="n">
        <x:v>0</x:v>
      </x:c>
      <x:c r="K1027" s="10" t="n">
        <x:v>32</x:v>
      </x:c>
      <x:c r="L1027" s="10" t="n">
        <x:f>G1027*I1027</x:f>
        <x:v>79.95</x:v>
      </x:c>
      <x:c r="M1027" s="10" t="n">
        <x:f>ROUND((L1027-J1027)*H1027/G1027,2)</x:f>
        <x:v>0</x:v>
      </x:c>
      <x:c r="N1027" s="10" t="n">
        <x:f>L1027-J1027-M1027</x:f>
        <x:v>79.95</x:v>
      </x:c>
      <x:c r="O1027" s="10" t="n">
        <x:f>(G1027-H1027)*K1027</x:f>
        <x:v>32</x:v>
      </x:c>
      <x:c r="P1027" s="10" t="n">
        <x:f>N1027-O1027</x:f>
        <x:v>47.95</x:v>
      </x:c>
      <x:c r="Q1027" s="9" t="n">
        <x:f>A1027-WEEKDAY(A1027,2)+1</x:f>
        <x:v>46300</x:v>
      </x:c>
      <x:c r="R1027" s="2" t="str">
        <x:f>IF(AND(A1027&gt;='Review'!$B$4,A1027&lt;='Review'!$D$4),"Selected","Outside")</x:f>
        <x:v>Selected</x:v>
      </x:c>
    </x:row>
    <x:row r="1028" ht="20" customHeight="1">
      <x:c r="A1028" s="9" t="n">
        <x:v>46304</x:v>
      </x:c>
      <x:c r="B1028" s="2" t="str">
        <x:v>MM-1738</x:v>
      </x:c>
      <x:c r="C1028" s="2" t="str">
        <x:v>Organic Search</x:v>
      </x:c>
      <x:c r="D1028" s="2" t="str">
        <x:v>APP-002</x:v>
      </x:c>
      <x:c r="E1028" s="2" t="str">
        <x:f>_xlfn.IFNA(VLOOKUP(D1028,'Products'!$A$7:$I$22,2,FALSE),"Unmapped")</x:f>
        <x:v>Weekend hoodie</x:v>
      </x:c>
      <x:c r="F1028" s="2" t="str">
        <x:f>_xlfn.IFNA(VLOOKUP(D1028,'Products'!$A$7:$I$22,3,FALSE),"Unmapped")</x:f>
        <x:v>Apparel</x:v>
      </x:c>
      <x:c r="G1028" s="2" t="n">
        <x:v>2</x:v>
      </x:c>
      <x:c r="H1028" s="2" t="n">
        <x:v>0</x:v>
      </x:c>
      <x:c r="I1028" s="10" t="n">
        <x:v>69.95</x:v>
      </x:c>
      <x:c r="J1028" s="10" t="n">
        <x:v>0</x:v>
      </x:c>
      <x:c r="K1028" s="10" t="n">
        <x:v>28</x:v>
      </x:c>
      <x:c r="L1028" s="10" t="n">
        <x:f>G1028*I1028</x:f>
        <x:v>139.9</x:v>
      </x:c>
      <x:c r="M1028" s="10" t="n">
        <x:f>ROUND((L1028-J1028)*H1028/G1028,2)</x:f>
        <x:v>0</x:v>
      </x:c>
      <x:c r="N1028" s="10" t="n">
        <x:f>L1028-J1028-M1028</x:f>
        <x:v>139.9</x:v>
      </x:c>
      <x:c r="O1028" s="10" t="n">
        <x:f>(G1028-H1028)*K1028</x:f>
        <x:v>56</x:v>
      </x:c>
      <x:c r="P1028" s="10" t="n">
        <x:f>N1028-O1028</x:f>
        <x:v>83.9</x:v>
      </x:c>
      <x:c r="Q1028" s="9" t="n">
        <x:f>A1028-WEEKDAY(A1028,2)+1</x:f>
        <x:v>46300</x:v>
      </x:c>
      <x:c r="R1028" s="2" t="str">
        <x:f>IF(AND(A1028&gt;='Review'!$B$4,A1028&lt;='Review'!$D$4),"Selected","Outside")</x:f>
        <x:v>Selected</x:v>
      </x:c>
    </x:row>
    <x:row r="1029" ht="20" customHeight="1">
      <x:c r="A1029" s="9" t="n">
        <x:v>46304</x:v>
      </x:c>
      <x:c r="B1029" s="2" t="str">
        <x:v>MM-1738</x:v>
      </x:c>
      <x:c r="C1029" s="2" t="str">
        <x:v>Organic Search</x:v>
      </x:c>
      <x:c r="D1029" s="2" t="str">
        <x:v>APP-001</x:v>
      </x:c>
      <x:c r="E1029" s="2" t="str">
        <x:f>_xlfn.IFNA(VLOOKUP(D1029,'Products'!$A$7:$I$22,2,FALSE),"Unmapped")</x:f>
        <x:v>Everyday crewneck</x:v>
      </x:c>
      <x:c r="F1029" s="2" t="str">
        <x:f>_xlfn.IFNA(VLOOKUP(D1029,'Products'!$A$7:$I$22,3,FALSE),"Unmapped")</x:f>
        <x:v>Apparel</x:v>
      </x:c>
      <x:c r="G1029" s="2" t="n">
        <x:v>1</x:v>
      </x:c>
      <x:c r="H1029" s="2" t="n">
        <x:v>0</x:v>
      </x:c>
      <x:c r="I1029" s="10" t="n">
        <x:v>54.95</x:v>
      </x:c>
      <x:c r="J1029" s="10" t="n">
        <x:v>0</x:v>
      </x:c>
      <x:c r="K1029" s="10" t="n">
        <x:v>22</x:v>
      </x:c>
      <x:c r="L1029" s="10" t="n">
        <x:f>G1029*I1029</x:f>
        <x:v>54.95</x:v>
      </x:c>
      <x:c r="M1029" s="10" t="n">
        <x:f>ROUND((L1029-J1029)*H1029/G1029,2)</x:f>
        <x:v>0</x:v>
      </x:c>
      <x:c r="N1029" s="10" t="n">
        <x:f>L1029-J1029-M1029</x:f>
        <x:v>54.95</x:v>
      </x:c>
      <x:c r="O1029" s="10" t="n">
        <x:f>(G1029-H1029)*K1029</x:f>
        <x:v>22</x:v>
      </x:c>
      <x:c r="P1029" s="10" t="n">
        <x:f>N1029-O1029</x:f>
        <x:v>32.95</x:v>
      </x:c>
      <x:c r="Q1029" s="9" t="n">
        <x:f>A1029-WEEKDAY(A1029,2)+1</x:f>
        <x:v>46300</x:v>
      </x:c>
      <x:c r="R1029" s="2" t="str">
        <x:f>IF(AND(A1029&gt;='Review'!$B$4,A1029&lt;='Review'!$D$4),"Selected","Outside")</x:f>
        <x:v>Selected</x:v>
      </x:c>
    </x:row>
    <x:row r="1030" ht="20" customHeight="1">
      <x:c r="A1030" s="9" t="n">
        <x:v>46304</x:v>
      </x:c>
      <x:c r="B1030" s="2" t="str">
        <x:v>MM-1738</x:v>
      </x:c>
      <x:c r="C1030" s="2" t="str">
        <x:v>Organic Search</x:v>
      </x:c>
      <x:c r="D1030" s="2" t="str">
        <x:v>PIN-001</x:v>
      </x:c>
      <x:c r="E1030" s="2" t="str">
        <x:f>_xlfn.IFNA(VLOOKUP(D1030,'Products'!$A$7:$I$22,2,FALSE),"Unmapped")</x:f>
        <x:v>Coffee enamel pin</x:v>
      </x:c>
      <x:c r="F1030" s="2" t="str">
        <x:f>_xlfn.IFNA(VLOOKUP(D1030,'Products'!$A$7:$I$22,3,FALSE),"Unmapped")</x:f>
        <x:v>Accessories</x:v>
      </x:c>
      <x:c r="G1030" s="2" t="n">
        <x:v>3</x:v>
      </x:c>
      <x:c r="H1030" s="2" t="n">
        <x:v>0</x:v>
      </x:c>
      <x:c r="I1030" s="10" t="n">
        <x:v>9.95</x:v>
      </x:c>
      <x:c r="J1030" s="10" t="n">
        <x:v>0</x:v>
      </x:c>
      <x:c r="K1030" s="10" t="n">
        <x:v>2.5</x:v>
      </x:c>
      <x:c r="L1030" s="10" t="n">
        <x:f>G1030*I1030</x:f>
        <x:v>29.849999999999998</x:v>
      </x:c>
      <x:c r="M1030" s="10" t="n">
        <x:f>ROUND((L1030-J1030)*H1030/G1030,2)</x:f>
        <x:v>0</x:v>
      </x:c>
      <x:c r="N1030" s="10" t="n">
        <x:f>L1030-J1030-M1030</x:f>
        <x:v>29.849999999999998</x:v>
      </x:c>
      <x:c r="O1030" s="10" t="n">
        <x:f>(G1030-H1030)*K1030</x:f>
        <x:v>7.5</x:v>
      </x:c>
      <x:c r="P1030" s="10" t="n">
        <x:f>N1030-O1030</x:f>
        <x:v>22.349999999999998</x:v>
      </x:c>
      <x:c r="Q1030" s="9" t="n">
        <x:f>A1030-WEEKDAY(A1030,2)+1</x:f>
        <x:v>46300</x:v>
      </x:c>
      <x:c r="R1030" s="2" t="str">
        <x:f>IF(AND(A1030&gt;='Review'!$B$4,A1030&lt;='Review'!$D$4),"Selected","Outside")</x:f>
        <x:v>Selected</x:v>
      </x:c>
    </x:row>
    <x:row r="1031" ht="20" customHeight="1">
      <x:c r="A1031" s="9" t="n">
        <x:v>46304</x:v>
      </x:c>
      <x:c r="B1031" s="2" t="str">
        <x:v>MM-1743</x:v>
      </x:c>
      <x:c r="C1031" s="2" t="str">
        <x:v>Organic Search</x:v>
      </x:c>
      <x:c r="D1031" s="2" t="str">
        <x:v>GFT-001</x:v>
      </x:c>
      <x:c r="E1031" s="2" t="str">
        <x:f>_xlfn.IFNA(VLOOKUP(D1031,'Products'!$A$7:$I$22,2,FALSE),"Unmapped")</x:f>
        <x:v>Morning ritual gift set</x:v>
      </x:c>
      <x:c r="F1031" s="2" t="str">
        <x:f>_xlfn.IFNA(VLOOKUP(D1031,'Products'!$A$7:$I$22,3,FALSE),"Unmapped")</x:f>
        <x:v>Gifts</x:v>
      </x:c>
      <x:c r="G1031" s="2" t="n">
        <x:v>3</x:v>
      </x:c>
      <x:c r="H1031" s="2" t="n">
        <x:v>0</x:v>
      </x:c>
      <x:c r="I1031" s="10" t="n">
        <x:v>59.95</x:v>
      </x:c>
      <x:c r="J1031" s="10" t="n">
        <x:v>0</x:v>
      </x:c>
      <x:c r="K1031" s="10" t="n">
        <x:v>24</x:v>
      </x:c>
      <x:c r="L1031" s="10" t="n">
        <x:f>G1031*I1031</x:f>
        <x:v>179.85000000000002</x:v>
      </x:c>
      <x:c r="M1031" s="10" t="n">
        <x:f>ROUND((L1031-J1031)*H1031/G1031,2)</x:f>
        <x:v>0</x:v>
      </x:c>
      <x:c r="N1031" s="10" t="n">
        <x:f>L1031-J1031-M1031</x:f>
        <x:v>179.85000000000002</x:v>
      </x:c>
      <x:c r="O1031" s="10" t="n">
        <x:f>(G1031-H1031)*K1031</x:f>
        <x:v>72</x:v>
      </x:c>
      <x:c r="P1031" s="10" t="n">
        <x:f>N1031-O1031</x:f>
        <x:v>107.85000000000002</x:v>
      </x:c>
      <x:c r="Q1031" s="9" t="n">
        <x:f>A1031-WEEKDAY(A1031,2)+1</x:f>
        <x:v>46300</x:v>
      </x:c>
      <x:c r="R1031" s="2" t="str">
        <x:f>IF(AND(A1031&gt;='Review'!$B$4,A1031&lt;='Review'!$D$4),"Selected","Outside")</x:f>
        <x:v>Selected</x:v>
      </x:c>
    </x:row>
    <x:row r="1032" ht="20" customHeight="1">
      <x:c r="A1032" s="9" t="n">
        <x:v>46304</x:v>
      </x:c>
      <x:c r="B1032" s="2" t="str">
        <x:v>MM-1743</x:v>
      </x:c>
      <x:c r="C1032" s="2" t="str">
        <x:v>Organic Search</x:v>
      </x:c>
      <x:c r="D1032" s="2" t="str">
        <x:v>KEY-001</x:v>
      </x:c>
      <x:c r="E1032" s="2" t="str">
        <x:f>_xlfn.IFNA(VLOOKUP(D1032,'Products'!$A$7:$I$22,2,FALSE),"Unmapped")</x:f>
        <x:v>Maple keyring</x:v>
      </x:c>
      <x:c r="F1032" s="2" t="str">
        <x:f>_xlfn.IFNA(VLOOKUP(D1032,'Products'!$A$7:$I$22,3,FALSE),"Unmapped")</x:f>
        <x:v>Accessories</x:v>
      </x:c>
      <x:c r="G1032" s="2" t="n">
        <x:v>1</x:v>
      </x:c>
      <x:c r="H1032" s="2" t="n">
        <x:v>1</x:v>
      </x:c>
      <x:c r="I1032" s="10" t="n">
        <x:v>12.95</x:v>
      </x:c>
      <x:c r="J1032" s="10" t="n">
        <x:v>0</x:v>
      </x:c>
      <x:c r="K1032" s="10" t="n">
        <x:v>3.5</x:v>
      </x:c>
      <x:c r="L1032" s="10" t="n">
        <x:f>G1032*I1032</x:f>
        <x:v>12.95</x:v>
      </x:c>
      <x:c r="M1032" s="10" t="n">
        <x:f>ROUND((L1032-J1032)*H1032/G1032,2)</x:f>
        <x:v>12.95</x:v>
      </x:c>
      <x:c r="N1032" s="10" t="n">
        <x:f>L1032-J1032-M1032</x:f>
        <x:v>0</x:v>
      </x:c>
      <x:c r="O1032" s="10" t="n">
        <x:f>(G1032-H1032)*K1032</x:f>
        <x:v>0</x:v>
      </x:c>
      <x:c r="P1032" s="10" t="n">
        <x:f>N1032-O1032</x:f>
        <x:v>0</x:v>
      </x:c>
      <x:c r="Q1032" s="9" t="n">
        <x:f>A1032-WEEKDAY(A1032,2)+1</x:f>
        <x:v>46300</x:v>
      </x:c>
      <x:c r="R1032" s="2" t="str">
        <x:f>IF(AND(A1032&gt;='Review'!$B$4,A1032&lt;='Review'!$D$4),"Selected","Outside")</x:f>
        <x:v>Selected</x:v>
      </x:c>
    </x:row>
    <x:row r="1033" ht="20" customHeight="1">
      <x:c r="A1033" s="9" t="n">
        <x:v>46304</x:v>
      </x:c>
      <x:c r="B1033" s="2" t="str">
        <x:v>MM-1732</x:v>
      </x:c>
      <x:c r="C1033" s="2" t="str">
        <x:v>Organic Search</x:v>
      </x:c>
      <x:c r="D1033" s="2" t="str">
        <x:v>TUM-002</x:v>
      </x:c>
      <x:c r="E1033" s="2" t="str">
        <x:f>_xlfn.IFNA(VLOOKUP(D1033,'Products'!$A$7:$I$22,2,FALSE),"Unmapped")</x:f>
        <x:v>Cold brew glass cup</x:v>
      </x:c>
      <x:c r="F1033" s="2" t="str">
        <x:f>_xlfn.IFNA(VLOOKUP(D1033,'Products'!$A$7:$I$22,3,FALSE),"Unmapped")</x:f>
        <x:v>Drinkware</x:v>
      </x:c>
      <x:c r="G1033" s="2" t="n">
        <x:v>1</x:v>
      </x:c>
      <x:c r="H1033" s="2" t="n">
        <x:v>0</x:v>
      </x:c>
      <x:c r="I1033" s="10" t="n">
        <x:v>24.95</x:v>
      </x:c>
      <x:c r="J1033" s="10" t="n">
        <x:v>0</x:v>
      </x:c>
      <x:c r="K1033" s="10" t="n">
        <x:v>9</x:v>
      </x:c>
      <x:c r="L1033" s="10" t="n">
        <x:f>G1033*I1033</x:f>
        <x:v>24.95</x:v>
      </x:c>
      <x:c r="M1033" s="10" t="n">
        <x:f>ROUND((L1033-J1033)*H1033/G1033,2)</x:f>
        <x:v>0</x:v>
      </x:c>
      <x:c r="N1033" s="10" t="n">
        <x:f>L1033-J1033-M1033</x:f>
        <x:v>24.95</x:v>
      </x:c>
      <x:c r="O1033" s="10" t="n">
        <x:f>(G1033-H1033)*K1033</x:f>
        <x:v>9</x:v>
      </x:c>
      <x:c r="P1033" s="10" t="n">
        <x:f>N1033-O1033</x:f>
        <x:v>15.95</x:v>
      </x:c>
      <x:c r="Q1033" s="9" t="n">
        <x:f>A1033-WEEKDAY(A1033,2)+1</x:f>
        <x:v>46300</x:v>
      </x:c>
      <x:c r="R1033" s="2" t="str">
        <x:f>IF(AND(A1033&gt;='Review'!$B$4,A1033&lt;='Review'!$D$4),"Selected","Outside")</x:f>
        <x:v>Selected</x:v>
      </x:c>
    </x:row>
    <x:row r="1034" ht="20" customHeight="1">
      <x:c r="A1034" s="9" t="n">
        <x:v>46304</x:v>
      </x:c>
      <x:c r="B1034" s="2" t="str">
        <x:v>MM-1732</x:v>
      </x:c>
      <x:c r="C1034" s="2" t="str">
        <x:v>Organic Search</x:v>
      </x:c>
      <x:c r="D1034" s="2" t="str">
        <x:v>APP-002</x:v>
      </x:c>
      <x:c r="E1034" s="2" t="str">
        <x:f>_xlfn.IFNA(VLOOKUP(D1034,'Products'!$A$7:$I$22,2,FALSE),"Unmapped")</x:f>
        <x:v>Weekend hoodie</x:v>
      </x:c>
      <x:c r="F1034" s="2" t="str">
        <x:f>_xlfn.IFNA(VLOOKUP(D1034,'Products'!$A$7:$I$22,3,FALSE),"Unmapped")</x:f>
        <x:v>Apparel</x:v>
      </x:c>
      <x:c r="G1034" s="2" t="n">
        <x:v>1</x:v>
      </x:c>
      <x:c r="H1034" s="2" t="n">
        <x:v>0</x:v>
      </x:c>
      <x:c r="I1034" s="10" t="n">
        <x:v>69.95</x:v>
      </x:c>
      <x:c r="J1034" s="10" t="n">
        <x:v>6.99</x:v>
      </x:c>
      <x:c r="K1034" s="10" t="n">
        <x:v>28</x:v>
      </x:c>
      <x:c r="L1034" s="10" t="n">
        <x:f>G1034*I1034</x:f>
        <x:v>69.95</x:v>
      </x:c>
      <x:c r="M1034" s="10" t="n">
        <x:f>ROUND((L1034-J1034)*H1034/G1034,2)</x:f>
        <x:v>0</x:v>
      </x:c>
      <x:c r="N1034" s="10" t="n">
        <x:f>L1034-J1034-M1034</x:f>
        <x:v>62.96</x:v>
      </x:c>
      <x:c r="O1034" s="10" t="n">
        <x:f>(G1034-H1034)*K1034</x:f>
        <x:v>28</x:v>
      </x:c>
      <x:c r="P1034" s="10" t="n">
        <x:f>N1034-O1034</x:f>
        <x:v>34.96</x:v>
      </x:c>
      <x:c r="Q1034" s="9" t="n">
        <x:f>A1034-WEEKDAY(A1034,2)+1</x:f>
        <x:v>46300</x:v>
      </x:c>
      <x:c r="R1034" s="2" t="str">
        <x:f>IF(AND(A1034&gt;='Review'!$B$4,A1034&lt;='Review'!$D$4),"Selected","Outside")</x:f>
        <x:v>Selected</x:v>
      </x:c>
    </x:row>
    <x:row r="1035" ht="20" customHeight="1">
      <x:c r="A1035" s="9" t="n">
        <x:v>46304</x:v>
      </x:c>
      <x:c r="B1035" s="2" t="str">
        <x:v>MM-1740</x:v>
      </x:c>
      <x:c r="C1035" s="2" t="str">
        <x:v>Organic Search</x:v>
      </x:c>
      <x:c r="D1035" s="2" t="str">
        <x:v>MUG-002</x:v>
      </x:c>
      <x:c r="E1035" s="2" t="str">
        <x:f>_xlfn.IFNA(VLOOKUP(D1035,'Products'!$A$7:$I$22,2,FALSE),"Unmapped")</x:f>
        <x:v>Campfire enamel mug</x:v>
      </x:c>
      <x:c r="F1035" s="2" t="str">
        <x:f>_xlfn.IFNA(VLOOKUP(D1035,'Products'!$A$7:$I$22,3,FALSE),"Unmapped")</x:f>
        <x:v>Drinkware</x:v>
      </x:c>
      <x:c r="G1035" s="2" t="n">
        <x:v>2</x:v>
      </x:c>
      <x:c r="H1035" s="2" t="n">
        <x:v>0</x:v>
      </x:c>
      <x:c r="I1035" s="10" t="n">
        <x:v>22.95</x:v>
      </x:c>
      <x:c r="J1035" s="10" t="n">
        <x:v>0</x:v>
      </x:c>
      <x:c r="K1035" s="10" t="n">
        <x:v>8.5</x:v>
      </x:c>
      <x:c r="L1035" s="10" t="n">
        <x:f>G1035*I1035</x:f>
        <x:v>45.9</x:v>
      </x:c>
      <x:c r="M1035" s="10" t="n">
        <x:f>ROUND((L1035-J1035)*H1035/G1035,2)</x:f>
        <x:v>0</x:v>
      </x:c>
      <x:c r="N1035" s="10" t="n">
        <x:f>L1035-J1035-M1035</x:f>
        <x:v>45.9</x:v>
      </x:c>
      <x:c r="O1035" s="10" t="n">
        <x:f>(G1035-H1035)*K1035</x:f>
        <x:v>17</x:v>
      </x:c>
      <x:c r="P1035" s="10" t="n">
        <x:f>N1035-O1035</x:f>
        <x:v>28.9</x:v>
      </x:c>
      <x:c r="Q1035" s="9" t="n">
        <x:f>A1035-WEEKDAY(A1035,2)+1</x:f>
        <x:v>46300</x:v>
      </x:c>
      <x:c r="R1035" s="2" t="str">
        <x:f>IF(AND(A1035&gt;='Review'!$B$4,A1035&lt;='Review'!$D$4),"Selected","Outside")</x:f>
        <x:v>Selected</x:v>
      </x:c>
    </x:row>
    <x:row r="1036" ht="20" customHeight="1">
      <x:c r="A1036" s="9" t="n">
        <x:v>46304</x:v>
      </x:c>
      <x:c r="B1036" s="2" t="str">
        <x:v>MM-1734</x:v>
      </x:c>
      <x:c r="C1036" s="2" t="str">
        <x:v>Paid Social</x:v>
      </x:c>
      <x:c r="D1036" s="2" t="str">
        <x:v>APP-002</x:v>
      </x:c>
      <x:c r="E1036" s="2" t="str">
        <x:f>_xlfn.IFNA(VLOOKUP(D1036,'Products'!$A$7:$I$22,2,FALSE),"Unmapped")</x:f>
        <x:v>Weekend hoodie</x:v>
      </x:c>
      <x:c r="F1036" s="2" t="str">
        <x:f>_xlfn.IFNA(VLOOKUP(D1036,'Products'!$A$7:$I$22,3,FALSE),"Unmapped")</x:f>
        <x:v>Apparel</x:v>
      </x:c>
      <x:c r="G1036" s="2" t="n">
        <x:v>3</x:v>
      </x:c>
      <x:c r="H1036" s="2" t="n">
        <x:v>0</x:v>
      </x:c>
      <x:c r="I1036" s="10" t="n">
        <x:v>69.95</x:v>
      </x:c>
      <x:c r="J1036" s="10" t="n">
        <x:v>0</x:v>
      </x:c>
      <x:c r="K1036" s="10" t="n">
        <x:v>28</x:v>
      </x:c>
      <x:c r="L1036" s="10" t="n">
        <x:f>G1036*I1036</x:f>
        <x:v>209.85000000000002</x:v>
      </x:c>
      <x:c r="M1036" s="10" t="n">
        <x:f>ROUND((L1036-J1036)*H1036/G1036,2)</x:f>
        <x:v>0</x:v>
      </x:c>
      <x:c r="N1036" s="10" t="n">
        <x:f>L1036-J1036-M1036</x:f>
        <x:v>209.85000000000002</x:v>
      </x:c>
      <x:c r="O1036" s="10" t="n">
        <x:f>(G1036-H1036)*K1036</x:f>
        <x:v>84</x:v>
      </x:c>
      <x:c r="P1036" s="10" t="n">
        <x:f>N1036-O1036</x:f>
        <x:v>125.85000000000002</x:v>
      </x:c>
      <x:c r="Q1036" s="9" t="n">
        <x:f>A1036-WEEKDAY(A1036,2)+1</x:f>
        <x:v>46300</x:v>
      </x:c>
      <x:c r="R1036" s="2" t="str">
        <x:f>IF(AND(A1036&gt;='Review'!$B$4,A1036&lt;='Review'!$D$4),"Selected","Outside")</x:f>
        <x:v>Selected</x:v>
      </x:c>
    </x:row>
    <x:row r="1037" ht="20" customHeight="1">
      <x:c r="A1037" s="9" t="n">
        <x:v>46304</x:v>
      </x:c>
      <x:c r="B1037" s="2" t="str">
        <x:v>MM-1735</x:v>
      </x:c>
      <x:c r="C1037" s="2" t="str">
        <x:v>Paid Social</x:v>
      </x:c>
      <x:c r="D1037" s="2" t="str">
        <x:v>TOTE-001</x:v>
      </x:c>
      <x:c r="E1037" s="2" t="str">
        <x:f>_xlfn.IFNA(VLOOKUP(D1037,'Products'!$A$7:$I$22,2,FALSE),"Unmapped")</x:f>
        <x:v>Market canvas tote</x:v>
      </x:c>
      <x:c r="F1037" s="2" t="str">
        <x:f>_xlfn.IFNA(VLOOKUP(D1037,'Products'!$A$7:$I$22,3,FALSE),"Unmapped")</x:f>
        <x:v>Accessories</x:v>
      </x:c>
      <x:c r="G1037" s="2" t="n">
        <x:v>1</x:v>
      </x:c>
      <x:c r="H1037" s="2" t="n">
        <x:v>0</x:v>
      </x:c>
      <x:c r="I1037" s="10" t="n">
        <x:v>19.95</x:v>
      </x:c>
      <x:c r="J1037" s="10" t="n">
        <x:v>0</x:v>
      </x:c>
      <x:c r="K1037" s="10" t="n">
        <x:v>6</x:v>
      </x:c>
      <x:c r="L1037" s="10" t="n">
        <x:f>G1037*I1037</x:f>
        <x:v>19.95</x:v>
      </x:c>
      <x:c r="M1037" s="10" t="n">
        <x:f>ROUND((L1037-J1037)*H1037/G1037,2)</x:f>
        <x:v>0</x:v>
      </x:c>
      <x:c r="N1037" s="10" t="n">
        <x:f>L1037-J1037-M1037</x:f>
        <x:v>19.95</x:v>
      </x:c>
      <x:c r="O1037" s="10" t="n">
        <x:f>(G1037-H1037)*K1037</x:f>
        <x:v>6</x:v>
      </x:c>
      <x:c r="P1037" s="10" t="n">
        <x:f>N1037-O1037</x:f>
        <x:v>13.95</x:v>
      </x:c>
      <x:c r="Q1037" s="9" t="n">
        <x:f>A1037-WEEKDAY(A1037,2)+1</x:f>
        <x:v>46300</x:v>
      </x:c>
      <x:c r="R1037" s="2" t="str">
        <x:f>IF(AND(A1037&gt;='Review'!$B$4,A1037&lt;='Review'!$D$4),"Selected","Outside")</x:f>
        <x:v>Selected</x:v>
      </x:c>
    </x:row>
    <x:row r="1038" ht="20" customHeight="1">
      <x:c r="A1038" s="9" t="n">
        <x:v>46304</x:v>
      </x:c>
      <x:c r="B1038" s="2" t="str">
        <x:v>MM-1735</x:v>
      </x:c>
      <x:c r="C1038" s="2" t="str">
        <x:v>Paid Social</x:v>
      </x:c>
      <x:c r="D1038" s="2" t="str">
        <x:v>GFT-002</x:v>
      </x:c>
      <x:c r="E1038" s="2" t="str">
        <x:f>_xlfn.IFNA(VLOOKUP(D1038,'Products'!$A$7:$I$22,2,FALSE),"Unmapped")</x:f>
        <x:v>Cozy weekend gift box</x:v>
      </x:c>
      <x:c r="F1038" s="2" t="str">
        <x:f>_xlfn.IFNA(VLOOKUP(D1038,'Products'!$A$7:$I$22,3,FALSE),"Unmapped")</x:f>
        <x:v>Gifts</x:v>
      </x:c>
      <x:c r="G1038" s="2" t="n">
        <x:v>2</x:v>
      </x:c>
      <x:c r="H1038" s="2" t="n">
        <x:v>0</x:v>
      </x:c>
      <x:c r="I1038" s="10" t="n">
        <x:v>79.95</x:v>
      </x:c>
      <x:c r="J1038" s="10" t="n">
        <x:v>0</x:v>
      </x:c>
      <x:c r="K1038" s="10" t="n">
        <x:v>32</x:v>
      </x:c>
      <x:c r="L1038" s="10" t="n">
        <x:f>G1038*I1038</x:f>
        <x:v>159.9</x:v>
      </x:c>
      <x:c r="M1038" s="10" t="n">
        <x:f>ROUND((L1038-J1038)*H1038/G1038,2)</x:f>
        <x:v>0</x:v>
      </x:c>
      <x:c r="N1038" s="10" t="n">
        <x:f>L1038-J1038-M1038</x:f>
        <x:v>159.9</x:v>
      </x:c>
      <x:c r="O1038" s="10" t="n">
        <x:f>(G1038-H1038)*K1038</x:f>
        <x:v>64</x:v>
      </x:c>
      <x:c r="P1038" s="10" t="n">
        <x:f>N1038-O1038</x:f>
        <x:v>95.9</x:v>
      </x:c>
      <x:c r="Q1038" s="9" t="n">
        <x:f>A1038-WEEKDAY(A1038,2)+1</x:f>
        <x:v>46300</x:v>
      </x:c>
      <x:c r="R1038" s="2" t="str">
        <x:f>IF(AND(A1038&gt;='Review'!$B$4,A1038&lt;='Review'!$D$4),"Selected","Outside")</x:f>
        <x:v>Selected</x:v>
      </x:c>
    </x:row>
    <x:row r="1039" ht="20" customHeight="1">
      <x:c r="A1039" s="9" t="n">
        <x:v>46304</x:v>
      </x:c>
      <x:c r="B1039" s="2" t="str">
        <x:v>MM-1739</x:v>
      </x:c>
      <x:c r="C1039" s="2" t="str">
        <x:v>Organic Search</x:v>
      </x:c>
      <x:c r="D1039" s="2" t="str">
        <x:v>TUM-001</x:v>
      </x:c>
      <x:c r="E1039" s="2" t="str">
        <x:f>_xlfn.IFNA(VLOOKUP(D1039,'Products'!$A$7:$I$22,2,FALSE),"Unmapped")</x:f>
        <x:v>Maple travel tumbler</x:v>
      </x:c>
      <x:c r="F1039" s="2" t="str">
        <x:f>_xlfn.IFNA(VLOOKUP(D1039,'Products'!$A$7:$I$22,3,FALSE),"Unmapped")</x:f>
        <x:v>Drinkware</x:v>
      </x:c>
      <x:c r="G1039" s="2" t="n">
        <x:v>1</x:v>
      </x:c>
      <x:c r="H1039" s="2" t="n">
        <x:v>0</x:v>
      </x:c>
      <x:c r="I1039" s="10" t="n">
        <x:v>32.95</x:v>
      </x:c>
      <x:c r="J1039" s="10" t="n">
        <x:v>0</x:v>
      </x:c>
      <x:c r="K1039" s="10" t="n">
        <x:v>12</x:v>
      </x:c>
      <x:c r="L1039" s="10" t="n">
        <x:f>G1039*I1039</x:f>
        <x:v>32.95</x:v>
      </x:c>
      <x:c r="M1039" s="10" t="n">
        <x:f>ROUND((L1039-J1039)*H1039/G1039,2)</x:f>
        <x:v>0</x:v>
      </x:c>
      <x:c r="N1039" s="10" t="n">
        <x:f>L1039-J1039-M1039</x:f>
        <x:v>32.95</x:v>
      </x:c>
      <x:c r="O1039" s="10" t="n">
        <x:f>(G1039-H1039)*K1039</x:f>
        <x:v>12</x:v>
      </x:c>
      <x:c r="P1039" s="10" t="n">
        <x:f>N1039-O1039</x:f>
        <x:v>20.950000000000003</x:v>
      </x:c>
      <x:c r="Q1039" s="9" t="n">
        <x:f>A1039-WEEKDAY(A1039,2)+1</x:f>
        <x:v>46300</x:v>
      </x:c>
      <x:c r="R1039" s="2" t="str">
        <x:f>IF(AND(A1039&gt;='Review'!$B$4,A1039&lt;='Review'!$D$4),"Selected","Outside")</x:f>
        <x:v>Selected</x:v>
      </x:c>
    </x:row>
    <x:row r="1040" ht="20" customHeight="1">
      <x:c r="A1040" s="9" t="n">
        <x:v>46304</x:v>
      </x:c>
      <x:c r="B1040" s="2" t="str">
        <x:v>MM-1741</x:v>
      </x:c>
      <x:c r="C1040" s="2" t="str">
        <x:v>Organic Search</x:v>
      </x:c>
      <x:c r="D1040" s="2" t="str">
        <x:v>PIN-001</x:v>
      </x:c>
      <x:c r="E1040" s="2" t="str">
        <x:f>_xlfn.IFNA(VLOOKUP(D1040,'Products'!$A$7:$I$22,2,FALSE),"Unmapped")</x:f>
        <x:v>Coffee enamel pin</x:v>
      </x:c>
      <x:c r="F1040" s="2" t="str">
        <x:f>_xlfn.IFNA(VLOOKUP(D1040,'Products'!$A$7:$I$22,3,FALSE),"Unmapped")</x:f>
        <x:v>Accessories</x:v>
      </x:c>
      <x:c r="G1040" s="2" t="n">
        <x:v>1</x:v>
      </x:c>
      <x:c r="H1040" s="2" t="n">
        <x:v>0</x:v>
      </x:c>
      <x:c r="I1040" s="10" t="n">
        <x:v>9.95</x:v>
      </x:c>
      <x:c r="J1040" s="10" t="n">
        <x:v>0.99</x:v>
      </x:c>
      <x:c r="K1040" s="10" t="n">
        <x:v>2.5</x:v>
      </x:c>
      <x:c r="L1040" s="10" t="n">
        <x:f>G1040*I1040</x:f>
        <x:v>9.95</x:v>
      </x:c>
      <x:c r="M1040" s="10" t="n">
        <x:f>ROUND((L1040-J1040)*H1040/G1040,2)</x:f>
        <x:v>0</x:v>
      </x:c>
      <x:c r="N1040" s="10" t="n">
        <x:f>L1040-J1040-M1040</x:f>
        <x:v>8.959999999999999</x:v>
      </x:c>
      <x:c r="O1040" s="10" t="n">
        <x:f>(G1040-H1040)*K1040</x:f>
        <x:v>2.5</x:v>
      </x:c>
      <x:c r="P1040" s="10" t="n">
        <x:f>N1040-O1040</x:f>
        <x:v>6.459999999999999</x:v>
      </x:c>
      <x:c r="Q1040" s="9" t="n">
        <x:f>A1040-WEEKDAY(A1040,2)+1</x:f>
        <x:v>46300</x:v>
      </x:c>
      <x:c r="R1040" s="2" t="str">
        <x:f>IF(AND(A1040&gt;='Review'!$B$4,A1040&lt;='Review'!$D$4),"Selected","Outside")</x:f>
        <x:v>Selected</x:v>
      </x:c>
    </x:row>
    <x:row r="1041" ht="20" customHeight="1">
      <x:c r="A1041" s="9" t="n">
        <x:v>46304</x:v>
      </x:c>
      <x:c r="B1041" s="2" t="str">
        <x:v>MM-1733</x:v>
      </x:c>
      <x:c r="C1041" s="2" t="str">
        <x:v>Direct</x:v>
      </x:c>
      <x:c r="D1041" s="2" t="str">
        <x:v>HAT-001</x:v>
      </x:c>
      <x:c r="E1041" s="2" t="str">
        <x:f>_xlfn.IFNA(VLOOKUP(D1041,'Products'!$A$7:$I$22,2,FALSE),"Unmapped")</x:f>
        <x:v>Classic canvas cap</x:v>
      </x:c>
      <x:c r="F1041" s="2" t="str">
        <x:f>_xlfn.IFNA(VLOOKUP(D1041,'Products'!$A$7:$I$22,3,FALSE),"Unmapped")</x:f>
        <x:v>Accessories</x:v>
      </x:c>
      <x:c r="G1041" s="2" t="n">
        <x:v>2</x:v>
      </x:c>
      <x:c r="H1041" s="2" t="n">
        <x:v>0</x:v>
      </x:c>
      <x:c r="I1041" s="10" t="n">
        <x:v>24.95</x:v>
      </x:c>
      <x:c r="J1041" s="10" t="n">
        <x:v>0</x:v>
      </x:c>
      <x:c r="K1041" s="10" t="n">
        <x:v>8.5</x:v>
      </x:c>
      <x:c r="L1041" s="10" t="n">
        <x:f>G1041*I1041</x:f>
        <x:v>49.9</x:v>
      </x:c>
      <x:c r="M1041" s="10" t="n">
        <x:f>ROUND((L1041-J1041)*H1041/G1041,2)</x:f>
        <x:v>0</x:v>
      </x:c>
      <x:c r="N1041" s="10" t="n">
        <x:f>L1041-J1041-M1041</x:f>
        <x:v>49.9</x:v>
      </x:c>
      <x:c r="O1041" s="10" t="n">
        <x:f>(G1041-H1041)*K1041</x:f>
        <x:v>17</x:v>
      </x:c>
      <x:c r="P1041" s="10" t="n">
        <x:f>N1041-O1041</x:f>
        <x:v>32.9</x:v>
      </x:c>
      <x:c r="Q1041" s="9" t="n">
        <x:f>A1041-WEEKDAY(A1041,2)+1</x:f>
        <x:v>46300</x:v>
      </x:c>
      <x:c r="R1041" s="2" t="str">
        <x:f>IF(AND(A1041&gt;='Review'!$B$4,A1041&lt;='Review'!$D$4),"Selected","Outside")</x:f>
        <x:v>Selected</x:v>
      </x:c>
    </x:row>
    <x:row r="1042" ht="20" customHeight="1">
      <x:c r="A1042" s="9" t="n">
        <x:v>46304</x:v>
      </x:c>
      <x:c r="B1042" s="2" t="str">
        <x:v>MM-1733</x:v>
      </x:c>
      <x:c r="C1042" s="2" t="str">
        <x:v>Direct</x:v>
      </x:c>
      <x:c r="D1042" s="2" t="str">
        <x:v>APP-003</x:v>
      </x:c>
      <x:c r="E1042" s="2" t="str">
        <x:f>_xlfn.IFNA(VLOOKUP(D1042,'Products'!$A$7:$I$22,2,FALSE),"Unmapped")</x:f>
        <x:v>Coffee club tee</x:v>
      </x:c>
      <x:c r="F1042" s="2" t="str">
        <x:f>_xlfn.IFNA(VLOOKUP(D1042,'Products'!$A$7:$I$22,3,FALSE),"Unmapped")</x:f>
        <x:v>Apparel</x:v>
      </x:c>
      <x:c r="G1042" s="2" t="n">
        <x:v>1</x:v>
      </x:c>
      <x:c r="H1042" s="2" t="n">
        <x:v>0</x:v>
      </x:c>
      <x:c r="I1042" s="10" t="n">
        <x:v>29.95</x:v>
      </x:c>
      <x:c r="J1042" s="10" t="n">
        <x:v>2.99</x:v>
      </x:c>
      <x:c r="K1042" s="10" t="n">
        <x:v>10</x:v>
      </x:c>
      <x:c r="L1042" s="10" t="n">
        <x:f>G1042*I1042</x:f>
        <x:v>29.95</x:v>
      </x:c>
      <x:c r="M1042" s="10" t="n">
        <x:f>ROUND((L1042-J1042)*H1042/G1042,2)</x:f>
        <x:v>0</x:v>
      </x:c>
      <x:c r="N1042" s="10" t="n">
        <x:f>L1042-J1042-M1042</x:f>
        <x:v>26.96</x:v>
      </x:c>
      <x:c r="O1042" s="10" t="n">
        <x:f>(G1042-H1042)*K1042</x:f>
        <x:v>10</x:v>
      </x:c>
      <x:c r="P1042" s="10" t="n">
        <x:f>N1042-O1042</x:f>
        <x:v>16.96</x:v>
      </x:c>
      <x:c r="Q1042" s="9" t="n">
        <x:f>A1042-WEEKDAY(A1042,2)+1</x:f>
        <x:v>46300</x:v>
      </x:c>
      <x:c r="R1042" s="2" t="str">
        <x:f>IF(AND(A1042&gt;='Review'!$B$4,A1042&lt;='Review'!$D$4),"Selected","Outside")</x:f>
        <x:v>Selected</x:v>
      </x:c>
    </x:row>
    <x:row r="1043" ht="20" customHeight="1">
      <x:c r="A1043" s="9" t="n">
        <x:v>46304</x:v>
      </x:c>
      <x:c r="B1043" s="2" t="str">
        <x:v>MM-1742</x:v>
      </x:c>
      <x:c r="C1043" s="2" t="str">
        <x:v>Paid Social</x:v>
      </x:c>
      <x:c r="D1043" s="2" t="str">
        <x:v>TUM-002</x:v>
      </x:c>
      <x:c r="E1043" s="2" t="str">
        <x:f>_xlfn.IFNA(VLOOKUP(D1043,'Products'!$A$7:$I$22,2,FALSE),"Unmapped")</x:f>
        <x:v>Cold brew glass cup</x:v>
      </x:c>
      <x:c r="F1043" s="2" t="str">
        <x:f>_xlfn.IFNA(VLOOKUP(D1043,'Products'!$A$7:$I$22,3,FALSE),"Unmapped")</x:f>
        <x:v>Drinkware</x:v>
      </x:c>
      <x:c r="G1043" s="2" t="n">
        <x:v>2</x:v>
      </x:c>
      <x:c r="H1043" s="2" t="n">
        <x:v>0</x:v>
      </x:c>
      <x:c r="I1043" s="10" t="n">
        <x:v>24.95</x:v>
      </x:c>
      <x:c r="J1043" s="10" t="n">
        <x:v>0</x:v>
      </x:c>
      <x:c r="K1043" s="10" t="n">
        <x:v>9</x:v>
      </x:c>
      <x:c r="L1043" s="10" t="n">
        <x:f>G1043*I1043</x:f>
        <x:v>49.9</x:v>
      </x:c>
      <x:c r="M1043" s="10" t="n">
        <x:f>ROUND((L1043-J1043)*H1043/G1043,2)</x:f>
        <x:v>0</x:v>
      </x:c>
      <x:c r="N1043" s="10" t="n">
        <x:f>L1043-J1043-M1043</x:f>
        <x:v>49.9</x:v>
      </x:c>
      <x:c r="O1043" s="10" t="n">
        <x:f>(G1043-H1043)*K1043</x:f>
        <x:v>18</x:v>
      </x:c>
      <x:c r="P1043" s="10" t="n">
        <x:f>N1043-O1043</x:f>
        <x:v>31.9</x:v>
      </x:c>
      <x:c r="Q1043" s="9" t="n">
        <x:f>A1043-WEEKDAY(A1043,2)+1</x:f>
        <x:v>46300</x:v>
      </x:c>
      <x:c r="R1043" s="2" t="str">
        <x:f>IF(AND(A1043&gt;='Review'!$B$4,A1043&lt;='Review'!$D$4),"Selected","Outside")</x:f>
        <x:v>Selected</x:v>
      </x:c>
    </x:row>
    <x:row r="1044" ht="20" customHeight="1">
      <x:c r="A1044" s="9" t="n">
        <x:v>46304</x:v>
      </x:c>
      <x:c r="B1044" s="2" t="str">
        <x:v>MM-1742</x:v>
      </x:c>
      <x:c r="C1044" s="2" t="str">
        <x:v>Paid Social</x:v>
      </x:c>
      <x:c r="D1044" s="2" t="str">
        <x:v>MUG-001</x:v>
      </x:c>
      <x:c r="E1044" s="2" t="str">
        <x:f>_xlfn.IFNA(VLOOKUP(D1044,'Products'!$A$7:$I$22,2,FALSE),"Unmapped")</x:f>
        <x:v>Everyday ceramic mug</x:v>
      </x:c>
      <x:c r="F1044" s="2" t="str">
        <x:f>_xlfn.IFNA(VLOOKUP(D1044,'Products'!$A$7:$I$22,3,FALSE),"Unmapped")</x:f>
        <x:v>Drinkware</x:v>
      </x:c>
      <x:c r="G1044" s="2" t="n">
        <x:v>3</x:v>
      </x:c>
      <x:c r="H1044" s="2" t="n">
        <x:v>0</x:v>
      </x:c>
      <x:c r="I1044" s="10" t="n">
        <x:v>18.95</x:v>
      </x:c>
      <x:c r="J1044" s="10" t="n">
        <x:v>0</x:v>
      </x:c>
      <x:c r="K1044" s="10" t="n">
        <x:v>6.5</x:v>
      </x:c>
      <x:c r="L1044" s="10" t="n">
        <x:f>G1044*I1044</x:f>
        <x:v>56.849999999999994</x:v>
      </x:c>
      <x:c r="M1044" s="10" t="n">
        <x:f>ROUND((L1044-J1044)*H1044/G1044,2)</x:f>
        <x:v>0</x:v>
      </x:c>
      <x:c r="N1044" s="10" t="n">
        <x:f>L1044-J1044-M1044</x:f>
        <x:v>56.849999999999994</x:v>
      </x:c>
      <x:c r="O1044" s="10" t="n">
        <x:f>(G1044-H1044)*K1044</x:f>
        <x:v>19.5</x:v>
      </x:c>
      <x:c r="P1044" s="10" t="n">
        <x:f>N1044-O1044</x:f>
        <x:v>37.349999999999994</x:v>
      </x:c>
      <x:c r="Q1044" s="9" t="n">
        <x:f>A1044-WEEKDAY(A1044,2)+1</x:f>
        <x:v>46300</x:v>
      </x:c>
      <x:c r="R1044" s="2" t="str">
        <x:f>IF(AND(A1044&gt;='Review'!$B$4,A1044&lt;='Review'!$D$4),"Selected","Outside")</x:f>
        <x:v>Selected</x:v>
      </x:c>
    </x:row>
    <x:row r="1045" ht="20" customHeight="1">
      <x:c r="A1045" s="9" t="n">
        <x:v>46305</x:v>
      </x:c>
      <x:c r="B1045" s="2" t="str">
        <x:v>MM-1754</x:v>
      </x:c>
      <x:c r="C1045" s="2" t="str">
        <x:v>Organic Search</x:v>
      </x:c>
      <x:c r="D1045" s="2" t="str">
        <x:v>APP-003</x:v>
      </x:c>
      <x:c r="E1045" s="2" t="str">
        <x:f>_xlfn.IFNA(VLOOKUP(D1045,'Products'!$A$7:$I$22,2,FALSE),"Unmapped")</x:f>
        <x:v>Coffee club tee</x:v>
      </x:c>
      <x:c r="F1045" s="2" t="str">
        <x:f>_xlfn.IFNA(VLOOKUP(D1045,'Products'!$A$7:$I$22,3,FALSE),"Unmapped")</x:f>
        <x:v>Apparel</x:v>
      </x:c>
      <x:c r="G1045" s="2" t="n">
        <x:v>1</x:v>
      </x:c>
      <x:c r="H1045" s="2" t="n">
        <x:v>0</x:v>
      </x:c>
      <x:c r="I1045" s="10" t="n">
        <x:v>29.95</x:v>
      </x:c>
      <x:c r="J1045" s="10" t="n">
        <x:v>0</x:v>
      </x:c>
      <x:c r="K1045" s="10" t="n">
        <x:v>10</x:v>
      </x:c>
      <x:c r="L1045" s="10" t="n">
        <x:f>G1045*I1045</x:f>
        <x:v>29.95</x:v>
      </x:c>
      <x:c r="M1045" s="10" t="n">
        <x:f>ROUND((L1045-J1045)*H1045/G1045,2)</x:f>
        <x:v>0</x:v>
      </x:c>
      <x:c r="N1045" s="10" t="n">
        <x:f>L1045-J1045-M1045</x:f>
        <x:v>29.95</x:v>
      </x:c>
      <x:c r="O1045" s="10" t="n">
        <x:f>(G1045-H1045)*K1045</x:f>
        <x:v>10</x:v>
      </x:c>
      <x:c r="P1045" s="10" t="n">
        <x:f>N1045-O1045</x:f>
        <x:v>19.95</x:v>
      </x:c>
      <x:c r="Q1045" s="9" t="n">
        <x:f>A1045-WEEKDAY(A1045,2)+1</x:f>
        <x:v>46300</x:v>
      </x:c>
      <x:c r="R1045" s="2" t="str">
        <x:f>IF(AND(A1045&gt;='Review'!$B$4,A1045&lt;='Review'!$D$4),"Selected","Outside")</x:f>
        <x:v>Selected</x:v>
      </x:c>
    </x:row>
    <x:row r="1046" ht="20" customHeight="1">
      <x:c r="A1046" s="9" t="n">
        <x:v>46305</x:v>
      </x:c>
      <x:c r="B1046" s="2" t="str">
        <x:v>MM-1754</x:v>
      </x:c>
      <x:c r="C1046" s="2" t="str">
        <x:v>Organic Search</x:v>
      </x:c>
      <x:c r="D1046" s="2" t="str">
        <x:v>BOT-001</x:v>
      </x:c>
      <x:c r="E1046" s="2" t="str">
        <x:f>_xlfn.IFNA(VLOOKUP(D1046,'Products'!$A$7:$I$22,2,FALSE),"Unmapped")</x:f>
        <x:v>Trail water bottle</x:v>
      </x:c>
      <x:c r="F1046" s="2" t="str">
        <x:f>_xlfn.IFNA(VLOOKUP(D1046,'Products'!$A$7:$I$22,3,FALSE),"Unmapped")</x:f>
        <x:v>Drinkware</x:v>
      </x:c>
      <x:c r="G1046" s="2" t="n">
        <x:v>1</x:v>
      </x:c>
      <x:c r="H1046" s="2" t="n">
        <x:v>0</x:v>
      </x:c>
      <x:c r="I1046" s="10" t="n">
        <x:v>34.95</x:v>
      </x:c>
      <x:c r="J1046" s="10" t="n">
        <x:v>0</x:v>
      </x:c>
      <x:c r="K1046" s="10" t="n">
        <x:v>13.5</x:v>
      </x:c>
      <x:c r="L1046" s="10" t="n">
        <x:f>G1046*I1046</x:f>
        <x:v>34.95</x:v>
      </x:c>
      <x:c r="M1046" s="10" t="n">
        <x:f>ROUND((L1046-J1046)*H1046/G1046,2)</x:f>
        <x:v>0</x:v>
      </x:c>
      <x:c r="N1046" s="10" t="n">
        <x:f>L1046-J1046-M1046</x:f>
        <x:v>34.95</x:v>
      </x:c>
      <x:c r="O1046" s="10" t="n">
        <x:f>(G1046-H1046)*K1046</x:f>
        <x:v>13.5</x:v>
      </x:c>
      <x:c r="P1046" s="10" t="n">
        <x:f>N1046-O1046</x:f>
        <x:v>21.450000000000003</x:v>
      </x:c>
      <x:c r="Q1046" s="9" t="n">
        <x:f>A1046-WEEKDAY(A1046,2)+1</x:f>
        <x:v>46300</x:v>
      </x:c>
      <x:c r="R1046" s="2" t="str">
        <x:f>IF(AND(A1046&gt;='Review'!$B$4,A1046&lt;='Review'!$D$4),"Selected","Outside")</x:f>
        <x:v>Selected</x:v>
      </x:c>
    </x:row>
    <x:row r="1047" ht="20" customHeight="1">
      <x:c r="A1047" s="9" t="n">
        <x:v>46305</x:v>
      </x:c>
      <x:c r="B1047" s="2" t="str">
        <x:v>MM-1754</x:v>
      </x:c>
      <x:c r="C1047" s="2" t="str">
        <x:v>Organic Search</x:v>
      </x:c>
      <x:c r="D1047" s="2" t="str">
        <x:v>MUG-002</x:v>
      </x:c>
      <x:c r="E1047" s="2" t="str">
        <x:f>_xlfn.IFNA(VLOOKUP(D1047,'Products'!$A$7:$I$22,2,FALSE),"Unmapped")</x:f>
        <x:v>Campfire enamel mug</x:v>
      </x:c>
      <x:c r="F1047" s="2" t="str">
        <x:f>_xlfn.IFNA(VLOOKUP(D1047,'Products'!$A$7:$I$22,3,FALSE),"Unmapped")</x:f>
        <x:v>Drinkware</x:v>
      </x:c>
      <x:c r="G1047" s="2" t="n">
        <x:v>1</x:v>
      </x:c>
      <x:c r="H1047" s="2" t="n">
        <x:v>0</x:v>
      </x:c>
      <x:c r="I1047" s="10" t="n">
        <x:v>22.95</x:v>
      </x:c>
      <x:c r="J1047" s="10" t="n">
        <x:v>0</x:v>
      </x:c>
      <x:c r="K1047" s="10" t="n">
        <x:v>8.5</x:v>
      </x:c>
      <x:c r="L1047" s="10" t="n">
        <x:f>G1047*I1047</x:f>
        <x:v>22.95</x:v>
      </x:c>
      <x:c r="M1047" s="10" t="n">
        <x:f>ROUND((L1047-J1047)*H1047/G1047,2)</x:f>
        <x:v>0</x:v>
      </x:c>
      <x:c r="N1047" s="10" t="n">
        <x:f>L1047-J1047-M1047</x:f>
        <x:v>22.95</x:v>
      </x:c>
      <x:c r="O1047" s="10" t="n">
        <x:f>(G1047-H1047)*K1047</x:f>
        <x:v>8.5</x:v>
      </x:c>
      <x:c r="P1047" s="10" t="n">
        <x:f>N1047-O1047</x:f>
        <x:v>14.45</x:v>
      </x:c>
      <x:c r="Q1047" s="9" t="n">
        <x:f>A1047-WEEKDAY(A1047,2)+1</x:f>
        <x:v>46300</x:v>
      </x:c>
      <x:c r="R1047" s="2" t="str">
        <x:f>IF(AND(A1047&gt;='Review'!$B$4,A1047&lt;='Review'!$D$4),"Selected","Outside")</x:f>
        <x:v>Selected</x:v>
      </x:c>
    </x:row>
    <x:row r="1048" ht="20" customHeight="1">
      <x:c r="A1048" s="9" t="n">
        <x:v>46305</x:v>
      </x:c>
      <x:c r="B1048" s="2" t="str">
        <x:v>MM-1747</x:v>
      </x:c>
      <x:c r="C1048" s="2" t="str">
        <x:v>Direct</x:v>
      </x:c>
      <x:c r="D1048" s="2" t="str">
        <x:v>TUM-002</x:v>
      </x:c>
      <x:c r="E1048" s="2" t="str">
        <x:f>_xlfn.IFNA(VLOOKUP(D1048,'Products'!$A$7:$I$22,2,FALSE),"Unmapped")</x:f>
        <x:v>Cold brew glass cup</x:v>
      </x:c>
      <x:c r="F1048" s="2" t="str">
        <x:f>_xlfn.IFNA(VLOOKUP(D1048,'Products'!$A$7:$I$22,3,FALSE),"Unmapped")</x:f>
        <x:v>Drinkware</x:v>
      </x:c>
      <x:c r="G1048" s="2" t="n">
        <x:v>1</x:v>
      </x:c>
      <x:c r="H1048" s="2" t="n">
        <x:v>0</x:v>
      </x:c>
      <x:c r="I1048" s="10" t="n">
        <x:v>24.95</x:v>
      </x:c>
      <x:c r="J1048" s="10" t="n">
        <x:v>0</x:v>
      </x:c>
      <x:c r="K1048" s="10" t="n">
        <x:v>9</x:v>
      </x:c>
      <x:c r="L1048" s="10" t="n">
        <x:f>G1048*I1048</x:f>
        <x:v>24.95</x:v>
      </x:c>
      <x:c r="M1048" s="10" t="n">
        <x:f>ROUND((L1048-J1048)*H1048/G1048,2)</x:f>
        <x:v>0</x:v>
      </x:c>
      <x:c r="N1048" s="10" t="n">
        <x:f>L1048-J1048-M1048</x:f>
        <x:v>24.95</x:v>
      </x:c>
      <x:c r="O1048" s="10" t="n">
        <x:f>(G1048-H1048)*K1048</x:f>
        <x:v>9</x:v>
      </x:c>
      <x:c r="P1048" s="10" t="n">
        <x:f>N1048-O1048</x:f>
        <x:v>15.95</x:v>
      </x:c>
      <x:c r="Q1048" s="9" t="n">
        <x:f>A1048-WEEKDAY(A1048,2)+1</x:f>
        <x:v>46300</x:v>
      </x:c>
      <x:c r="R1048" s="2" t="str">
        <x:f>IF(AND(A1048&gt;='Review'!$B$4,A1048&lt;='Review'!$D$4),"Selected","Outside")</x:f>
        <x:v>Selected</x:v>
      </x:c>
    </x:row>
    <x:row r="1049" ht="20" customHeight="1">
      <x:c r="A1049" s="9" t="n">
        <x:v>46305</x:v>
      </x:c>
      <x:c r="B1049" s="2" t="str">
        <x:v>MM-1747</x:v>
      </x:c>
      <x:c r="C1049" s="2" t="str">
        <x:v>Direct</x:v>
      </x:c>
      <x:c r="D1049" s="2" t="str">
        <x:v>GFT-002</x:v>
      </x:c>
      <x:c r="E1049" s="2" t="str">
        <x:f>_xlfn.IFNA(VLOOKUP(D1049,'Products'!$A$7:$I$22,2,FALSE),"Unmapped")</x:f>
        <x:v>Cozy weekend gift box</x:v>
      </x:c>
      <x:c r="F1049" s="2" t="str">
        <x:f>_xlfn.IFNA(VLOOKUP(D1049,'Products'!$A$7:$I$22,3,FALSE),"Unmapped")</x:f>
        <x:v>Gifts</x:v>
      </x:c>
      <x:c r="G1049" s="2" t="n">
        <x:v>1</x:v>
      </x:c>
      <x:c r="H1049" s="2" t="n">
        <x:v>0</x:v>
      </x:c>
      <x:c r="I1049" s="10" t="n">
        <x:v>79.95</x:v>
      </x:c>
      <x:c r="J1049" s="10" t="n">
        <x:v>0</x:v>
      </x:c>
      <x:c r="K1049" s="10" t="n">
        <x:v>32</x:v>
      </x:c>
      <x:c r="L1049" s="10" t="n">
        <x:f>G1049*I1049</x:f>
        <x:v>79.95</x:v>
      </x:c>
      <x:c r="M1049" s="10" t="n">
        <x:f>ROUND((L1049-J1049)*H1049/G1049,2)</x:f>
        <x:v>0</x:v>
      </x:c>
      <x:c r="N1049" s="10" t="n">
        <x:f>L1049-J1049-M1049</x:f>
        <x:v>79.95</x:v>
      </x:c>
      <x:c r="O1049" s="10" t="n">
        <x:f>(G1049-H1049)*K1049</x:f>
        <x:v>32</x:v>
      </x:c>
      <x:c r="P1049" s="10" t="n">
        <x:f>N1049-O1049</x:f>
        <x:v>47.95</x:v>
      </x:c>
      <x:c r="Q1049" s="9" t="n">
        <x:f>A1049-WEEKDAY(A1049,2)+1</x:f>
        <x:v>46300</x:v>
      </x:c>
      <x:c r="R1049" s="2" t="str">
        <x:f>IF(AND(A1049&gt;='Review'!$B$4,A1049&lt;='Review'!$D$4),"Selected","Outside")</x:f>
        <x:v>Selected</x:v>
      </x:c>
    </x:row>
    <x:row r="1050" ht="20" customHeight="1">
      <x:c r="A1050" s="9" t="n">
        <x:v>46305</x:v>
      </x:c>
      <x:c r="B1050" s="2" t="str">
        <x:v>MM-1747</x:v>
      </x:c>
      <x:c r="C1050" s="2" t="str">
        <x:v>Direct</x:v>
      </x:c>
      <x:c r="D1050" s="2" t="str">
        <x:v>GFT-001</x:v>
      </x:c>
      <x:c r="E1050" s="2" t="str">
        <x:f>_xlfn.IFNA(VLOOKUP(D1050,'Products'!$A$7:$I$22,2,FALSE),"Unmapped")</x:f>
        <x:v>Morning ritual gift set</x:v>
      </x:c>
      <x:c r="F1050" s="2" t="str">
        <x:f>_xlfn.IFNA(VLOOKUP(D1050,'Products'!$A$7:$I$22,3,FALSE),"Unmapped")</x:f>
        <x:v>Gifts</x:v>
      </x:c>
      <x:c r="G1050" s="2" t="n">
        <x:v>1</x:v>
      </x:c>
      <x:c r="H1050" s="2" t="n">
        <x:v>0</x:v>
      </x:c>
      <x:c r="I1050" s="10" t="n">
        <x:v>59.95</x:v>
      </x:c>
      <x:c r="J1050" s="10" t="n">
        <x:v>0</x:v>
      </x:c>
      <x:c r="K1050" s="10" t="n">
        <x:v>24</x:v>
      </x:c>
      <x:c r="L1050" s="10" t="n">
        <x:f>G1050*I1050</x:f>
        <x:v>59.95</x:v>
      </x:c>
      <x:c r="M1050" s="10" t="n">
        <x:f>ROUND((L1050-J1050)*H1050/G1050,2)</x:f>
        <x:v>0</x:v>
      </x:c>
      <x:c r="N1050" s="10" t="n">
        <x:f>L1050-J1050-M1050</x:f>
        <x:v>59.95</x:v>
      </x:c>
      <x:c r="O1050" s="10" t="n">
        <x:f>(G1050-H1050)*K1050</x:f>
        <x:v>24</x:v>
      </x:c>
      <x:c r="P1050" s="10" t="n">
        <x:f>N1050-O1050</x:f>
        <x:v>35.95</x:v>
      </x:c>
      <x:c r="Q1050" s="9" t="n">
        <x:f>A1050-WEEKDAY(A1050,2)+1</x:f>
        <x:v>46300</x:v>
      </x:c>
      <x:c r="R1050" s="2" t="str">
        <x:f>IF(AND(A1050&gt;='Review'!$B$4,A1050&lt;='Review'!$D$4),"Selected","Outside")</x:f>
        <x:v>Selected</x:v>
      </x:c>
    </x:row>
    <x:row r="1051" ht="20" customHeight="1">
      <x:c r="A1051" s="9" t="n">
        <x:v>46305</x:v>
      </x:c>
      <x:c r="B1051" s="2" t="str">
        <x:v>MM-1744</x:v>
      </x:c>
      <x:c r="C1051" s="2" t="str">
        <x:v>Paid Social</x:v>
      </x:c>
      <x:c r="D1051" s="2" t="str">
        <x:v>HAT-001</x:v>
      </x:c>
      <x:c r="E1051" s="2" t="str">
        <x:f>_xlfn.IFNA(VLOOKUP(D1051,'Products'!$A$7:$I$22,2,FALSE),"Unmapped")</x:f>
        <x:v>Classic canvas cap</x:v>
      </x:c>
      <x:c r="F1051" s="2" t="str">
        <x:f>_xlfn.IFNA(VLOOKUP(D1051,'Products'!$A$7:$I$22,3,FALSE),"Unmapped")</x:f>
        <x:v>Accessories</x:v>
      </x:c>
      <x:c r="G1051" s="2" t="n">
        <x:v>3</x:v>
      </x:c>
      <x:c r="H1051" s="2" t="n">
        <x:v>0</x:v>
      </x:c>
      <x:c r="I1051" s="10" t="n">
        <x:v>24.95</x:v>
      </x:c>
      <x:c r="J1051" s="10" t="n">
        <x:v>0</x:v>
      </x:c>
      <x:c r="K1051" s="10" t="n">
        <x:v>8.5</x:v>
      </x:c>
      <x:c r="L1051" s="10" t="n">
        <x:f>G1051*I1051</x:f>
        <x:v>74.85</x:v>
      </x:c>
      <x:c r="M1051" s="10" t="n">
        <x:f>ROUND((L1051-J1051)*H1051/G1051,2)</x:f>
        <x:v>0</x:v>
      </x:c>
      <x:c r="N1051" s="10" t="n">
        <x:f>L1051-J1051-M1051</x:f>
        <x:v>74.85</x:v>
      </x:c>
      <x:c r="O1051" s="10" t="n">
        <x:f>(G1051-H1051)*K1051</x:f>
        <x:v>25.5</x:v>
      </x:c>
      <x:c r="P1051" s="10" t="n">
        <x:f>N1051-O1051</x:f>
        <x:v>49.349999999999994</x:v>
      </x:c>
      <x:c r="Q1051" s="9" t="n">
        <x:f>A1051-WEEKDAY(A1051,2)+1</x:f>
        <x:v>46300</x:v>
      </x:c>
      <x:c r="R1051" s="2" t="str">
        <x:f>IF(AND(A1051&gt;='Review'!$B$4,A1051&lt;='Review'!$D$4),"Selected","Outside")</x:f>
        <x:v>Selected</x:v>
      </x:c>
    </x:row>
    <x:row r="1052" ht="20" customHeight="1">
      <x:c r="A1052" s="9" t="n">
        <x:v>46305</x:v>
      </x:c>
      <x:c r="B1052" s="2" t="str">
        <x:v>MM-1751</x:v>
      </x:c>
      <x:c r="C1052" s="2" t="str">
        <x:v>Organic Search</x:v>
      </x:c>
      <x:c r="D1052" s="2" t="str">
        <x:v>TUM-001</x:v>
      </x:c>
      <x:c r="E1052" s="2" t="str">
        <x:f>_xlfn.IFNA(VLOOKUP(D1052,'Products'!$A$7:$I$22,2,FALSE),"Unmapped")</x:f>
        <x:v>Maple travel tumbler</x:v>
      </x:c>
      <x:c r="F1052" s="2" t="str">
        <x:f>_xlfn.IFNA(VLOOKUP(D1052,'Products'!$A$7:$I$22,3,FALSE),"Unmapped")</x:f>
        <x:v>Drinkware</x:v>
      </x:c>
      <x:c r="G1052" s="2" t="n">
        <x:v>1</x:v>
      </x:c>
      <x:c r="H1052" s="2" t="n">
        <x:v>0</x:v>
      </x:c>
      <x:c r="I1052" s="10" t="n">
        <x:v>32.95</x:v>
      </x:c>
      <x:c r="J1052" s="10" t="n">
        <x:v>0</x:v>
      </x:c>
      <x:c r="K1052" s="10" t="n">
        <x:v>12</x:v>
      </x:c>
      <x:c r="L1052" s="10" t="n">
        <x:f>G1052*I1052</x:f>
        <x:v>32.95</x:v>
      </x:c>
      <x:c r="M1052" s="10" t="n">
        <x:f>ROUND((L1052-J1052)*H1052/G1052,2)</x:f>
        <x:v>0</x:v>
      </x:c>
      <x:c r="N1052" s="10" t="n">
        <x:f>L1052-J1052-M1052</x:f>
        <x:v>32.95</x:v>
      </x:c>
      <x:c r="O1052" s="10" t="n">
        <x:f>(G1052-H1052)*K1052</x:f>
        <x:v>12</x:v>
      </x:c>
      <x:c r="P1052" s="10" t="n">
        <x:f>N1052-O1052</x:f>
        <x:v>20.950000000000003</x:v>
      </x:c>
      <x:c r="Q1052" s="9" t="n">
        <x:f>A1052-WEEKDAY(A1052,2)+1</x:f>
        <x:v>46300</x:v>
      </x:c>
      <x:c r="R1052" s="2" t="str">
        <x:f>IF(AND(A1052&gt;='Review'!$B$4,A1052&lt;='Review'!$D$4),"Selected","Outside")</x:f>
        <x:v>Selected</x:v>
      </x:c>
    </x:row>
    <x:row r="1053" ht="20" customHeight="1">
      <x:c r="A1053" s="9" t="n">
        <x:v>46305</x:v>
      </x:c>
      <x:c r="B1053" s="2" t="str">
        <x:v>MM-1745</x:v>
      </x:c>
      <x:c r="C1053" s="2" t="str">
        <x:v>Email</x:v>
      </x:c>
      <x:c r="D1053" s="2" t="str">
        <x:v>TOTE-001</x:v>
      </x:c>
      <x:c r="E1053" s="2" t="str">
        <x:f>_xlfn.IFNA(VLOOKUP(D1053,'Products'!$A$7:$I$22,2,FALSE),"Unmapped")</x:f>
        <x:v>Market canvas tote</x:v>
      </x:c>
      <x:c r="F1053" s="2" t="str">
        <x:f>_xlfn.IFNA(VLOOKUP(D1053,'Products'!$A$7:$I$22,3,FALSE),"Unmapped")</x:f>
        <x:v>Accessories</x:v>
      </x:c>
      <x:c r="G1053" s="2" t="n">
        <x:v>1</x:v>
      </x:c>
      <x:c r="H1053" s="2" t="n">
        <x:v>0</x:v>
      </x:c>
      <x:c r="I1053" s="10" t="n">
        <x:v>19.95</x:v>
      </x:c>
      <x:c r="J1053" s="10" t="n">
        <x:v>1.99</x:v>
      </x:c>
      <x:c r="K1053" s="10" t="n">
        <x:v>6</x:v>
      </x:c>
      <x:c r="L1053" s="10" t="n">
        <x:f>G1053*I1053</x:f>
        <x:v>19.95</x:v>
      </x:c>
      <x:c r="M1053" s="10" t="n">
        <x:f>ROUND((L1053-J1053)*H1053/G1053,2)</x:f>
        <x:v>0</x:v>
      </x:c>
      <x:c r="N1053" s="10" t="n">
        <x:f>L1053-J1053-M1053</x:f>
        <x:v>17.96</x:v>
      </x:c>
      <x:c r="O1053" s="10" t="n">
        <x:f>(G1053-H1053)*K1053</x:f>
        <x:v>6</x:v>
      </x:c>
      <x:c r="P1053" s="10" t="n">
        <x:f>N1053-O1053</x:f>
        <x:v>11.96</x:v>
      </x:c>
      <x:c r="Q1053" s="9" t="n">
        <x:f>A1053-WEEKDAY(A1053,2)+1</x:f>
        <x:v>46300</x:v>
      </x:c>
      <x:c r="R1053" s="2" t="str">
        <x:f>IF(AND(A1053&gt;='Review'!$B$4,A1053&lt;='Review'!$D$4),"Selected","Outside")</x:f>
        <x:v>Selected</x:v>
      </x:c>
    </x:row>
    <x:row r="1054" ht="20" customHeight="1">
      <x:c r="A1054" s="9" t="n">
        <x:v>46305</x:v>
      </x:c>
      <x:c r="B1054" s="2" t="str">
        <x:v>MM-1748</x:v>
      </x:c>
      <x:c r="C1054" s="2" t="str">
        <x:v>Paid Social</x:v>
      </x:c>
      <x:c r="D1054" s="2" t="str">
        <x:v>GFT-002</x:v>
      </x:c>
      <x:c r="E1054" s="2" t="str">
        <x:f>_xlfn.IFNA(VLOOKUP(D1054,'Products'!$A$7:$I$22,2,FALSE),"Unmapped")</x:f>
        <x:v>Cozy weekend gift box</x:v>
      </x:c>
      <x:c r="F1054" s="2" t="str">
        <x:f>_xlfn.IFNA(VLOOKUP(D1054,'Products'!$A$7:$I$22,3,FALSE),"Unmapped")</x:f>
        <x:v>Gifts</x:v>
      </x:c>
      <x:c r="G1054" s="2" t="n">
        <x:v>1</x:v>
      </x:c>
      <x:c r="H1054" s="2" t="n">
        <x:v>0</x:v>
      </x:c>
      <x:c r="I1054" s="10" t="n">
        <x:v>79.95</x:v>
      </x:c>
      <x:c r="J1054" s="10" t="n">
        <x:v>0</x:v>
      </x:c>
      <x:c r="K1054" s="10" t="n">
        <x:v>32</x:v>
      </x:c>
      <x:c r="L1054" s="10" t="n">
        <x:f>G1054*I1054</x:f>
        <x:v>79.95</x:v>
      </x:c>
      <x:c r="M1054" s="10" t="n">
        <x:f>ROUND((L1054-J1054)*H1054/G1054,2)</x:f>
        <x:v>0</x:v>
      </x:c>
      <x:c r="N1054" s="10" t="n">
        <x:f>L1054-J1054-M1054</x:f>
        <x:v>79.95</x:v>
      </x:c>
      <x:c r="O1054" s="10" t="n">
        <x:f>(G1054-H1054)*K1054</x:f>
        <x:v>32</x:v>
      </x:c>
      <x:c r="P1054" s="10" t="n">
        <x:f>N1054-O1054</x:f>
        <x:v>47.95</x:v>
      </x:c>
      <x:c r="Q1054" s="9" t="n">
        <x:f>A1054-WEEKDAY(A1054,2)+1</x:f>
        <x:v>46300</x:v>
      </x:c>
      <x:c r="R1054" s="2" t="str">
        <x:f>IF(AND(A1054&gt;='Review'!$B$4,A1054&lt;='Review'!$D$4),"Selected","Outside")</x:f>
        <x:v>Selected</x:v>
      </x:c>
    </x:row>
    <x:row r="1055" ht="20" customHeight="1">
      <x:c r="A1055" s="9" t="n">
        <x:v>46305</x:v>
      </x:c>
      <x:c r="B1055" s="2" t="str">
        <x:v>MM-1753</x:v>
      </x:c>
      <x:c r="C1055" s="2" t="str">
        <x:v>Organic Search</x:v>
      </x:c>
      <x:c r="D1055" s="2" t="str">
        <x:v>KEY-001</x:v>
      </x:c>
      <x:c r="E1055" s="2" t="str">
        <x:f>_xlfn.IFNA(VLOOKUP(D1055,'Products'!$A$7:$I$22,2,FALSE),"Unmapped")</x:f>
        <x:v>Maple keyring</x:v>
      </x:c>
      <x:c r="F1055" s="2" t="str">
        <x:f>_xlfn.IFNA(VLOOKUP(D1055,'Products'!$A$7:$I$22,3,FALSE),"Unmapped")</x:f>
        <x:v>Accessories</x:v>
      </x:c>
      <x:c r="G1055" s="2" t="n">
        <x:v>1</x:v>
      </x:c>
      <x:c r="H1055" s="2" t="n">
        <x:v>0</x:v>
      </x:c>
      <x:c r="I1055" s="10" t="n">
        <x:v>12.95</x:v>
      </x:c>
      <x:c r="J1055" s="10" t="n">
        <x:v>0</x:v>
      </x:c>
      <x:c r="K1055" s="10" t="n">
        <x:v>3.5</x:v>
      </x:c>
      <x:c r="L1055" s="10" t="n">
        <x:f>G1055*I1055</x:f>
        <x:v>12.95</x:v>
      </x:c>
      <x:c r="M1055" s="10" t="n">
        <x:f>ROUND((L1055-J1055)*H1055/G1055,2)</x:f>
        <x:v>0</x:v>
      </x:c>
      <x:c r="N1055" s="10" t="n">
        <x:f>L1055-J1055-M1055</x:f>
        <x:v>12.95</x:v>
      </x:c>
      <x:c r="O1055" s="10" t="n">
        <x:f>(G1055-H1055)*K1055</x:f>
        <x:v>3.5</x:v>
      </x:c>
      <x:c r="P1055" s="10" t="n">
        <x:f>N1055-O1055</x:f>
        <x:v>9.45</x:v>
      </x:c>
      <x:c r="Q1055" s="9" t="n">
        <x:f>A1055-WEEKDAY(A1055,2)+1</x:f>
        <x:v>46300</x:v>
      </x:c>
      <x:c r="R1055" s="2" t="str">
        <x:f>IF(AND(A1055&gt;='Review'!$B$4,A1055&lt;='Review'!$D$4),"Selected","Outside")</x:f>
        <x:v>Selected</x:v>
      </x:c>
    </x:row>
    <x:row r="1056" ht="20" customHeight="1">
      <x:c r="A1056" s="9" t="n">
        <x:v>46305</x:v>
      </x:c>
      <x:c r="B1056" s="2" t="str">
        <x:v>MM-1753</x:v>
      </x:c>
      <x:c r="C1056" s="2" t="str">
        <x:v>Organic Search</x:v>
      </x:c>
      <x:c r="D1056" s="2" t="str">
        <x:v>GFT-001</x:v>
      </x:c>
      <x:c r="E1056" s="2" t="str">
        <x:f>_xlfn.IFNA(VLOOKUP(D1056,'Products'!$A$7:$I$22,2,FALSE),"Unmapped")</x:f>
        <x:v>Morning ritual gift set</x:v>
      </x:c>
      <x:c r="F1056" s="2" t="str">
        <x:f>_xlfn.IFNA(VLOOKUP(D1056,'Products'!$A$7:$I$22,3,FALSE),"Unmapped")</x:f>
        <x:v>Gifts</x:v>
      </x:c>
      <x:c r="G1056" s="2" t="n">
        <x:v>3</x:v>
      </x:c>
      <x:c r="H1056" s="2" t="n">
        <x:v>0</x:v>
      </x:c>
      <x:c r="I1056" s="10" t="n">
        <x:v>59.95</x:v>
      </x:c>
      <x:c r="J1056" s="10" t="n">
        <x:v>0</x:v>
      </x:c>
      <x:c r="K1056" s="10" t="n">
        <x:v>24</x:v>
      </x:c>
      <x:c r="L1056" s="10" t="n">
        <x:f>G1056*I1056</x:f>
        <x:v>179.85000000000002</x:v>
      </x:c>
      <x:c r="M1056" s="10" t="n">
        <x:f>ROUND((L1056-J1056)*H1056/G1056,2)</x:f>
        <x:v>0</x:v>
      </x:c>
      <x:c r="N1056" s="10" t="n">
        <x:f>L1056-J1056-M1056</x:f>
        <x:v>179.85000000000002</x:v>
      </x:c>
      <x:c r="O1056" s="10" t="n">
        <x:f>(G1056-H1056)*K1056</x:f>
        <x:v>72</x:v>
      </x:c>
      <x:c r="P1056" s="10" t="n">
        <x:f>N1056-O1056</x:f>
        <x:v>107.85000000000002</x:v>
      </x:c>
      <x:c r="Q1056" s="9" t="n">
        <x:f>A1056-WEEKDAY(A1056,2)+1</x:f>
        <x:v>46300</x:v>
      </x:c>
      <x:c r="R1056" s="2" t="str">
        <x:f>IF(AND(A1056&gt;='Review'!$B$4,A1056&lt;='Review'!$D$4),"Selected","Outside")</x:f>
        <x:v>Selected</x:v>
      </x:c>
    </x:row>
    <x:row r="1057" ht="20" customHeight="1">
      <x:c r="A1057" s="9" t="n">
        <x:v>46305</x:v>
      </x:c>
      <x:c r="B1057" s="2" t="str">
        <x:v>MM-1749</x:v>
      </x:c>
      <x:c r="C1057" s="2" t="str">
        <x:v>Email</x:v>
      </x:c>
      <x:c r="D1057" s="2" t="str">
        <x:v>TUM-001</x:v>
      </x:c>
      <x:c r="E1057" s="2" t="str">
        <x:f>_xlfn.IFNA(VLOOKUP(D1057,'Products'!$A$7:$I$22,2,FALSE),"Unmapped")</x:f>
        <x:v>Maple travel tumbler</x:v>
      </x:c>
      <x:c r="F1057" s="2" t="str">
        <x:f>_xlfn.IFNA(VLOOKUP(D1057,'Products'!$A$7:$I$22,3,FALSE),"Unmapped")</x:f>
        <x:v>Drinkware</x:v>
      </x:c>
      <x:c r="G1057" s="2" t="n">
        <x:v>1</x:v>
      </x:c>
      <x:c r="H1057" s="2" t="n">
        <x:v>0</x:v>
      </x:c>
      <x:c r="I1057" s="10" t="n">
        <x:v>32.95</x:v>
      </x:c>
      <x:c r="J1057" s="10" t="n">
        <x:v>3.29</x:v>
      </x:c>
      <x:c r="K1057" s="10" t="n">
        <x:v>12</x:v>
      </x:c>
      <x:c r="L1057" s="10" t="n">
        <x:f>G1057*I1057</x:f>
        <x:v>32.95</x:v>
      </x:c>
      <x:c r="M1057" s="10" t="n">
        <x:f>ROUND((L1057-J1057)*H1057/G1057,2)</x:f>
        <x:v>0</x:v>
      </x:c>
      <x:c r="N1057" s="10" t="n">
        <x:f>L1057-J1057-M1057</x:f>
        <x:v>29.660000000000004</x:v>
      </x:c>
      <x:c r="O1057" s="10" t="n">
        <x:f>(G1057-H1057)*K1057</x:f>
        <x:v>12</x:v>
      </x:c>
      <x:c r="P1057" s="10" t="n">
        <x:f>N1057-O1057</x:f>
        <x:v>17.660000000000004</x:v>
      </x:c>
      <x:c r="Q1057" s="9" t="n">
        <x:f>A1057-WEEKDAY(A1057,2)+1</x:f>
        <x:v>46300</x:v>
      </x:c>
      <x:c r="R1057" s="2" t="str">
        <x:f>IF(AND(A1057&gt;='Review'!$B$4,A1057&lt;='Review'!$D$4),"Selected","Outside")</x:f>
        <x:v>Selected</x:v>
      </x:c>
    </x:row>
    <x:row r="1058" ht="20" customHeight="1">
      <x:c r="A1058" s="9" t="n">
        <x:v>46305</x:v>
      </x:c>
      <x:c r="B1058" s="2" t="str">
        <x:v>MM-1752</x:v>
      </x:c>
      <x:c r="C1058" s="2" t="str">
        <x:v>Direct</x:v>
      </x:c>
      <x:c r="D1058" s="2" t="str">
        <x:v>BOT-001</x:v>
      </x:c>
      <x:c r="E1058" s="2" t="str">
        <x:f>_xlfn.IFNA(VLOOKUP(D1058,'Products'!$A$7:$I$22,2,FALSE),"Unmapped")</x:f>
        <x:v>Trail water bottle</x:v>
      </x:c>
      <x:c r="F1058" s="2" t="str">
        <x:f>_xlfn.IFNA(VLOOKUP(D1058,'Products'!$A$7:$I$22,3,FALSE),"Unmapped")</x:f>
        <x:v>Drinkware</x:v>
      </x:c>
      <x:c r="G1058" s="2" t="n">
        <x:v>1</x:v>
      </x:c>
      <x:c r="H1058" s="2" t="n">
        <x:v>0</x:v>
      </x:c>
      <x:c r="I1058" s="10" t="n">
        <x:v>34.95</x:v>
      </x:c>
      <x:c r="J1058" s="10" t="n">
        <x:v>0</x:v>
      </x:c>
      <x:c r="K1058" s="10" t="n">
        <x:v>13.5</x:v>
      </x:c>
      <x:c r="L1058" s="10" t="n">
        <x:f>G1058*I1058</x:f>
        <x:v>34.95</x:v>
      </x:c>
      <x:c r="M1058" s="10" t="n">
        <x:f>ROUND((L1058-J1058)*H1058/G1058,2)</x:f>
        <x:v>0</x:v>
      </x:c>
      <x:c r="N1058" s="10" t="n">
        <x:f>L1058-J1058-M1058</x:f>
        <x:v>34.95</x:v>
      </x:c>
      <x:c r="O1058" s="10" t="n">
        <x:f>(G1058-H1058)*K1058</x:f>
        <x:v>13.5</x:v>
      </x:c>
      <x:c r="P1058" s="10" t="n">
        <x:f>N1058-O1058</x:f>
        <x:v>21.450000000000003</x:v>
      </x:c>
      <x:c r="Q1058" s="9" t="n">
        <x:f>A1058-WEEKDAY(A1058,2)+1</x:f>
        <x:v>46300</x:v>
      </x:c>
      <x:c r="R1058" s="2" t="str">
        <x:f>IF(AND(A1058&gt;='Review'!$B$4,A1058&lt;='Review'!$D$4),"Selected","Outside")</x:f>
        <x:v>Selected</x:v>
      </x:c>
    </x:row>
    <x:row r="1059" ht="20" customHeight="1">
      <x:c r="A1059" s="9" t="n">
        <x:v>46305</x:v>
      </x:c>
      <x:c r="B1059" s="2" t="str">
        <x:v>MM-1752</x:v>
      </x:c>
      <x:c r="C1059" s="2" t="str">
        <x:v>Direct</x:v>
      </x:c>
      <x:c r="D1059" s="2" t="str">
        <x:v>MUG-002</x:v>
      </x:c>
      <x:c r="E1059" s="2" t="str">
        <x:f>_xlfn.IFNA(VLOOKUP(D1059,'Products'!$A$7:$I$22,2,FALSE),"Unmapped")</x:f>
        <x:v>Campfire enamel mug</x:v>
      </x:c>
      <x:c r="F1059" s="2" t="str">
        <x:f>_xlfn.IFNA(VLOOKUP(D1059,'Products'!$A$7:$I$22,3,FALSE),"Unmapped")</x:f>
        <x:v>Drinkware</x:v>
      </x:c>
      <x:c r="G1059" s="2" t="n">
        <x:v>1</x:v>
      </x:c>
      <x:c r="H1059" s="2" t="n">
        <x:v>0</x:v>
      </x:c>
      <x:c r="I1059" s="10" t="n">
        <x:v>22.95</x:v>
      </x:c>
      <x:c r="J1059" s="10" t="n">
        <x:v>0</x:v>
      </x:c>
      <x:c r="K1059" s="10" t="n">
        <x:v>8.5</x:v>
      </x:c>
      <x:c r="L1059" s="10" t="n">
        <x:f>G1059*I1059</x:f>
        <x:v>22.95</x:v>
      </x:c>
      <x:c r="M1059" s="10" t="n">
        <x:f>ROUND((L1059-J1059)*H1059/G1059,2)</x:f>
        <x:v>0</x:v>
      </x:c>
      <x:c r="N1059" s="10" t="n">
        <x:f>L1059-J1059-M1059</x:f>
        <x:v>22.95</x:v>
      </x:c>
      <x:c r="O1059" s="10" t="n">
        <x:f>(G1059-H1059)*K1059</x:f>
        <x:v>8.5</x:v>
      </x:c>
      <x:c r="P1059" s="10" t="n">
        <x:f>N1059-O1059</x:f>
        <x:v>14.45</x:v>
      </x:c>
      <x:c r="Q1059" s="9" t="n">
        <x:f>A1059-WEEKDAY(A1059,2)+1</x:f>
        <x:v>46300</x:v>
      </x:c>
      <x:c r="R1059" s="2" t="str">
        <x:f>IF(AND(A1059&gt;='Review'!$B$4,A1059&lt;='Review'!$D$4),"Selected","Outside")</x:f>
        <x:v>Selected</x:v>
      </x:c>
    </x:row>
    <x:row r="1060" ht="20" customHeight="1">
      <x:c r="A1060" s="9" t="n">
        <x:v>46305</x:v>
      </x:c>
      <x:c r="B1060" s="2" t="str">
        <x:v>MM-1746</x:v>
      </x:c>
      <x:c r="C1060" s="2" t="str">
        <x:v>Paid Social</x:v>
      </x:c>
      <x:c r="D1060" s="2" t="str">
        <x:v>MUG-001</x:v>
      </x:c>
      <x:c r="E1060" s="2" t="str">
        <x:f>_xlfn.IFNA(VLOOKUP(D1060,'Products'!$A$7:$I$22,2,FALSE),"Unmapped")</x:f>
        <x:v>Everyday ceramic mug</x:v>
      </x:c>
      <x:c r="F1060" s="2" t="str">
        <x:f>_xlfn.IFNA(VLOOKUP(D1060,'Products'!$A$7:$I$22,3,FALSE),"Unmapped")</x:f>
        <x:v>Drinkware</x:v>
      </x:c>
      <x:c r="G1060" s="2" t="n">
        <x:v>2</x:v>
      </x:c>
      <x:c r="H1060" s="2" t="n">
        <x:v>0</x:v>
      </x:c>
      <x:c r="I1060" s="10" t="n">
        <x:v>18.95</x:v>
      </x:c>
      <x:c r="J1060" s="10" t="n">
        <x:v>0</x:v>
      </x:c>
      <x:c r="K1060" s="10" t="n">
        <x:v>6.5</x:v>
      </x:c>
      <x:c r="L1060" s="10" t="n">
        <x:f>G1060*I1060</x:f>
        <x:v>37.9</x:v>
      </x:c>
      <x:c r="M1060" s="10" t="n">
        <x:f>ROUND((L1060-J1060)*H1060/G1060,2)</x:f>
        <x:v>0</x:v>
      </x:c>
      <x:c r="N1060" s="10" t="n">
        <x:f>L1060-J1060-M1060</x:f>
        <x:v>37.9</x:v>
      </x:c>
      <x:c r="O1060" s="10" t="n">
        <x:f>(G1060-H1060)*K1060</x:f>
        <x:v>13</x:v>
      </x:c>
      <x:c r="P1060" s="10" t="n">
        <x:f>N1060-O1060</x:f>
        <x:v>24.9</x:v>
      </x:c>
      <x:c r="Q1060" s="9" t="n">
        <x:f>A1060-WEEKDAY(A1060,2)+1</x:f>
        <x:v>46300</x:v>
      </x:c>
      <x:c r="R1060" s="2" t="str">
        <x:f>IF(AND(A1060&gt;='Review'!$B$4,A1060&lt;='Review'!$D$4),"Selected","Outside")</x:f>
        <x:v>Selected</x:v>
      </x:c>
    </x:row>
    <x:row r="1061" ht="20" customHeight="1">
      <x:c r="A1061" s="9" t="n">
        <x:v>46305</x:v>
      </x:c>
      <x:c r="B1061" s="2" t="str">
        <x:v>MM-1746</x:v>
      </x:c>
      <x:c r="C1061" s="2" t="str">
        <x:v>Paid Social</x:v>
      </x:c>
      <x:c r="D1061" s="2" t="str">
        <x:v>GFT-001</x:v>
      </x:c>
      <x:c r="E1061" s="2" t="str">
        <x:f>_xlfn.IFNA(VLOOKUP(D1061,'Products'!$A$7:$I$22,2,FALSE),"Unmapped")</x:f>
        <x:v>Morning ritual gift set</x:v>
      </x:c>
      <x:c r="F1061" s="2" t="str">
        <x:f>_xlfn.IFNA(VLOOKUP(D1061,'Products'!$A$7:$I$22,3,FALSE),"Unmapped")</x:f>
        <x:v>Gifts</x:v>
      </x:c>
      <x:c r="G1061" s="2" t="n">
        <x:v>2</x:v>
      </x:c>
      <x:c r="H1061" s="2" t="n">
        <x:v>0</x:v>
      </x:c>
      <x:c r="I1061" s="10" t="n">
        <x:v>59.95</x:v>
      </x:c>
      <x:c r="J1061" s="10" t="n">
        <x:v>0</x:v>
      </x:c>
      <x:c r="K1061" s="10" t="n">
        <x:v>24</x:v>
      </x:c>
      <x:c r="L1061" s="10" t="n">
        <x:f>G1061*I1061</x:f>
        <x:v>119.9</x:v>
      </x:c>
      <x:c r="M1061" s="10" t="n">
        <x:f>ROUND((L1061-J1061)*H1061/G1061,2)</x:f>
        <x:v>0</x:v>
      </x:c>
      <x:c r="N1061" s="10" t="n">
        <x:f>L1061-J1061-M1061</x:f>
        <x:v>119.9</x:v>
      </x:c>
      <x:c r="O1061" s="10" t="n">
        <x:f>(G1061-H1061)*K1061</x:f>
        <x:v>48</x:v>
      </x:c>
      <x:c r="P1061" s="10" t="n">
        <x:f>N1061-O1061</x:f>
        <x:v>71.9</x:v>
      </x:c>
      <x:c r="Q1061" s="9" t="n">
        <x:f>A1061-WEEKDAY(A1061,2)+1</x:f>
        <x:v>46300</x:v>
      </x:c>
      <x:c r="R1061" s="2" t="str">
        <x:f>IF(AND(A1061&gt;='Review'!$B$4,A1061&lt;='Review'!$D$4),"Selected","Outside")</x:f>
        <x:v>Selected</x:v>
      </x:c>
    </x:row>
    <x:row r="1062" ht="20" customHeight="1">
      <x:c r="A1062" s="9" t="n">
        <x:v>46305</x:v>
      </x:c>
      <x:c r="B1062" s="2" t="str">
        <x:v>MM-1746</x:v>
      </x:c>
      <x:c r="C1062" s="2" t="str">
        <x:v>Paid Social</x:v>
      </x:c>
      <x:c r="D1062" s="2" t="str">
        <x:v>APP-003</x:v>
      </x:c>
      <x:c r="E1062" s="2" t="str">
        <x:f>_xlfn.IFNA(VLOOKUP(D1062,'Products'!$A$7:$I$22,2,FALSE),"Unmapped")</x:f>
        <x:v>Coffee club tee</x:v>
      </x:c>
      <x:c r="F1062" s="2" t="str">
        <x:f>_xlfn.IFNA(VLOOKUP(D1062,'Products'!$A$7:$I$22,3,FALSE),"Unmapped")</x:f>
        <x:v>Apparel</x:v>
      </x:c>
      <x:c r="G1062" s="2" t="n">
        <x:v>1</x:v>
      </x:c>
      <x:c r="H1062" s="2" t="n">
        <x:v>1</x:v>
      </x:c>
      <x:c r="I1062" s="10" t="n">
        <x:v>29.95</x:v>
      </x:c>
      <x:c r="J1062" s="10" t="n">
        <x:v>0</x:v>
      </x:c>
      <x:c r="K1062" s="10" t="n">
        <x:v>10</x:v>
      </x:c>
      <x:c r="L1062" s="10" t="n">
        <x:f>G1062*I1062</x:f>
        <x:v>29.95</x:v>
      </x:c>
      <x:c r="M1062" s="10" t="n">
        <x:f>ROUND((L1062-J1062)*H1062/G1062,2)</x:f>
        <x:v>29.95</x:v>
      </x:c>
      <x:c r="N1062" s="10" t="n">
        <x:f>L1062-J1062-M1062</x:f>
        <x:v>0</x:v>
      </x:c>
      <x:c r="O1062" s="10" t="n">
        <x:f>(G1062-H1062)*K1062</x:f>
        <x:v>0</x:v>
      </x:c>
      <x:c r="P1062" s="10" t="n">
        <x:f>N1062-O1062</x:f>
        <x:v>0</x:v>
      </x:c>
      <x:c r="Q1062" s="9" t="n">
        <x:f>A1062-WEEKDAY(A1062,2)+1</x:f>
        <x:v>46300</x:v>
      </x:c>
      <x:c r="R1062" s="2" t="str">
        <x:f>IF(AND(A1062&gt;='Review'!$B$4,A1062&lt;='Review'!$D$4),"Selected","Outside")</x:f>
        <x:v>Selected</x:v>
      </x:c>
    </x:row>
    <x:row r="1063" ht="20" customHeight="1">
      <x:c r="A1063" s="9" t="n">
        <x:v>46306</x:v>
      </x:c>
      <x:c r="B1063" s="2" t="str">
        <x:v>MM-1757</x:v>
      </x:c>
      <x:c r="C1063" s="2" t="str">
        <x:v>Organic Search</x:v>
      </x:c>
      <x:c r="D1063" s="2" t="str">
        <x:v>PIN-001</x:v>
      </x:c>
      <x:c r="E1063" s="2" t="str">
        <x:f>_xlfn.IFNA(VLOOKUP(D1063,'Products'!$A$7:$I$22,2,FALSE),"Unmapped")</x:f>
        <x:v>Coffee enamel pin</x:v>
      </x:c>
      <x:c r="F1063" s="2" t="str">
        <x:f>_xlfn.IFNA(VLOOKUP(D1063,'Products'!$A$7:$I$22,3,FALSE),"Unmapped")</x:f>
        <x:v>Accessories</x:v>
      </x:c>
      <x:c r="G1063" s="2" t="n">
        <x:v>3</x:v>
      </x:c>
      <x:c r="H1063" s="2" t="n">
        <x:v>1</x:v>
      </x:c>
      <x:c r="I1063" s="10" t="n">
        <x:v>9.95</x:v>
      </x:c>
      <x:c r="J1063" s="10" t="n">
        <x:v>0</x:v>
      </x:c>
      <x:c r="K1063" s="10" t="n">
        <x:v>2.5</x:v>
      </x:c>
      <x:c r="L1063" s="10" t="n">
        <x:f>G1063*I1063</x:f>
        <x:v>29.849999999999998</x:v>
      </x:c>
      <x:c r="M1063" s="10" t="n">
        <x:f>ROUND((L1063-J1063)*H1063/G1063,2)</x:f>
        <x:v>9.95</x:v>
      </x:c>
      <x:c r="N1063" s="10" t="n">
        <x:f>L1063-J1063-M1063</x:f>
        <x:v>19.9</x:v>
      </x:c>
      <x:c r="O1063" s="10" t="n">
        <x:f>(G1063-H1063)*K1063</x:f>
        <x:v>5</x:v>
      </x:c>
      <x:c r="P1063" s="10" t="n">
        <x:f>N1063-O1063</x:f>
        <x:v>14.899999999999999</x:v>
      </x:c>
      <x:c r="Q1063" s="9" t="n">
        <x:f>A1063-WEEKDAY(A1063,2)+1</x:f>
        <x:v>46300</x:v>
      </x:c>
      <x:c r="R1063" s="2" t="str">
        <x:f>IF(AND(A1063&gt;='Review'!$B$4,A1063&lt;='Review'!$D$4),"Selected","Outside")</x:f>
        <x:v>Selected</x:v>
      </x:c>
    </x:row>
    <x:row r="1064" ht="20" customHeight="1">
      <x:c r="A1064" s="9" t="n">
        <x:v>46306</x:v>
      </x:c>
      <x:c r="B1064" s="2" t="str">
        <x:v>MM-1757</x:v>
      </x:c>
      <x:c r="C1064" s="2" t="str">
        <x:v>Organic Search</x:v>
      </x:c>
      <x:c r="D1064" s="2" t="str">
        <x:v>GFT-001</x:v>
      </x:c>
      <x:c r="E1064" s="2" t="str">
        <x:f>_xlfn.IFNA(VLOOKUP(D1064,'Products'!$A$7:$I$22,2,FALSE),"Unmapped")</x:f>
        <x:v>Morning ritual gift set</x:v>
      </x:c>
      <x:c r="F1064" s="2" t="str">
        <x:f>_xlfn.IFNA(VLOOKUP(D1064,'Products'!$A$7:$I$22,3,FALSE),"Unmapped")</x:f>
        <x:v>Gifts</x:v>
      </x:c>
      <x:c r="G1064" s="2" t="n">
        <x:v>1</x:v>
      </x:c>
      <x:c r="H1064" s="2" t="n">
        <x:v>0</x:v>
      </x:c>
      <x:c r="I1064" s="10" t="n">
        <x:v>59.95</x:v>
      </x:c>
      <x:c r="J1064" s="10" t="n">
        <x:v>0</x:v>
      </x:c>
      <x:c r="K1064" s="10" t="n">
        <x:v>24</x:v>
      </x:c>
      <x:c r="L1064" s="10" t="n">
        <x:f>G1064*I1064</x:f>
        <x:v>59.95</x:v>
      </x:c>
      <x:c r="M1064" s="10" t="n">
        <x:f>ROUND((L1064-J1064)*H1064/G1064,2)</x:f>
        <x:v>0</x:v>
      </x:c>
      <x:c r="N1064" s="10" t="n">
        <x:f>L1064-J1064-M1064</x:f>
        <x:v>59.95</x:v>
      </x:c>
      <x:c r="O1064" s="10" t="n">
        <x:f>(G1064-H1064)*K1064</x:f>
        <x:v>24</x:v>
      </x:c>
      <x:c r="P1064" s="10" t="n">
        <x:f>N1064-O1064</x:f>
        <x:v>35.95</x:v>
      </x:c>
      <x:c r="Q1064" s="9" t="n">
        <x:f>A1064-WEEKDAY(A1064,2)+1</x:f>
        <x:v>46300</x:v>
      </x:c>
      <x:c r="R1064" s="2" t="str">
        <x:f>IF(AND(A1064&gt;='Review'!$B$4,A1064&lt;='Review'!$D$4),"Selected","Outside")</x:f>
        <x:v>Selected</x:v>
      </x:c>
    </x:row>
    <x:row r="1065" ht="20" customHeight="1">
      <x:c r="A1065" s="9" t="n">
        <x:v>46306</x:v>
      </x:c>
      <x:c r="B1065" s="2" t="str">
        <x:v>MM-1771</x:v>
      </x:c>
      <x:c r="C1065" s="2" t="str">
        <x:v>Paid Social</x:v>
      </x:c>
      <x:c r="D1065" s="2" t="str">
        <x:v>MUG-001</x:v>
      </x:c>
      <x:c r="E1065" s="2" t="str">
        <x:f>_xlfn.IFNA(VLOOKUP(D1065,'Products'!$A$7:$I$22,2,FALSE),"Unmapped")</x:f>
        <x:v>Everyday ceramic mug</x:v>
      </x:c>
      <x:c r="F1065" s="2" t="str">
        <x:f>_xlfn.IFNA(VLOOKUP(D1065,'Products'!$A$7:$I$22,3,FALSE),"Unmapped")</x:f>
        <x:v>Drinkware</x:v>
      </x:c>
      <x:c r="G1065" s="2" t="n">
        <x:v>1</x:v>
      </x:c>
      <x:c r="H1065" s="2" t="n">
        <x:v>0</x:v>
      </x:c>
      <x:c r="I1065" s="10" t="n">
        <x:v>18.95</x:v>
      </x:c>
      <x:c r="J1065" s="10" t="n">
        <x:v>0</x:v>
      </x:c>
      <x:c r="K1065" s="10" t="n">
        <x:v>6.5</x:v>
      </x:c>
      <x:c r="L1065" s="10" t="n">
        <x:f>G1065*I1065</x:f>
        <x:v>18.95</x:v>
      </x:c>
      <x:c r="M1065" s="10" t="n">
        <x:f>ROUND((L1065-J1065)*H1065/G1065,2)</x:f>
        <x:v>0</x:v>
      </x:c>
      <x:c r="N1065" s="10" t="n">
        <x:f>L1065-J1065-M1065</x:f>
        <x:v>18.95</x:v>
      </x:c>
      <x:c r="O1065" s="10" t="n">
        <x:f>(G1065-H1065)*K1065</x:f>
        <x:v>6.5</x:v>
      </x:c>
      <x:c r="P1065" s="10" t="n">
        <x:f>N1065-O1065</x:f>
        <x:v>12.45</x:v>
      </x:c>
      <x:c r="Q1065" s="9" t="n">
        <x:f>A1065-WEEKDAY(A1065,2)+1</x:f>
        <x:v>46300</x:v>
      </x:c>
      <x:c r="R1065" s="2" t="str">
        <x:f>IF(AND(A1065&gt;='Review'!$B$4,A1065&lt;='Review'!$D$4),"Selected","Outside")</x:f>
        <x:v>Selected</x:v>
      </x:c>
    </x:row>
    <x:row r="1066" ht="20" customHeight="1">
      <x:c r="A1066" s="9" t="n">
        <x:v>46306</x:v>
      </x:c>
      <x:c r="B1066" s="2" t="str">
        <x:v>MM-1771</x:v>
      </x:c>
      <x:c r="C1066" s="2" t="str">
        <x:v>Paid Social</x:v>
      </x:c>
      <x:c r="D1066" s="2" t="str">
        <x:v>KEY-001</x:v>
      </x:c>
      <x:c r="E1066" s="2" t="str">
        <x:f>_xlfn.IFNA(VLOOKUP(D1066,'Products'!$A$7:$I$22,2,FALSE),"Unmapped")</x:f>
        <x:v>Maple keyring</x:v>
      </x:c>
      <x:c r="F1066" s="2" t="str">
        <x:f>_xlfn.IFNA(VLOOKUP(D1066,'Products'!$A$7:$I$22,3,FALSE),"Unmapped")</x:f>
        <x:v>Accessories</x:v>
      </x:c>
      <x:c r="G1066" s="2" t="n">
        <x:v>1</x:v>
      </x:c>
      <x:c r="H1066" s="2" t="n">
        <x:v>0</x:v>
      </x:c>
      <x:c r="I1066" s="10" t="n">
        <x:v>12.95</x:v>
      </x:c>
      <x:c r="J1066" s="10" t="n">
        <x:v>0</x:v>
      </x:c>
      <x:c r="K1066" s="10" t="n">
        <x:v>3.5</x:v>
      </x:c>
      <x:c r="L1066" s="10" t="n">
        <x:f>G1066*I1066</x:f>
        <x:v>12.95</x:v>
      </x:c>
      <x:c r="M1066" s="10" t="n">
        <x:f>ROUND((L1066-J1066)*H1066/G1066,2)</x:f>
        <x:v>0</x:v>
      </x:c>
      <x:c r="N1066" s="10" t="n">
        <x:f>L1066-J1066-M1066</x:f>
        <x:v>12.95</x:v>
      </x:c>
      <x:c r="O1066" s="10" t="n">
        <x:f>(G1066-H1066)*K1066</x:f>
        <x:v>3.5</x:v>
      </x:c>
      <x:c r="P1066" s="10" t="n">
        <x:f>N1066-O1066</x:f>
        <x:v>9.45</x:v>
      </x:c>
      <x:c r="Q1066" s="9" t="n">
        <x:f>A1066-WEEKDAY(A1066,2)+1</x:f>
        <x:v>46300</x:v>
      </x:c>
      <x:c r="R1066" s="2" t="str">
        <x:f>IF(AND(A1066&gt;='Review'!$B$4,A1066&lt;='Review'!$D$4),"Selected","Outside")</x:f>
        <x:v>Selected</x:v>
      </x:c>
    </x:row>
    <x:row r="1067" ht="20" customHeight="1">
      <x:c r="A1067" s="9" t="n">
        <x:v>46306</x:v>
      </x:c>
      <x:c r="B1067" s="2" t="str">
        <x:v>MM-1756</x:v>
      </x:c>
      <x:c r="C1067" s="2" t="str">
        <x:v>Paid Social</x:v>
      </x:c>
      <x:c r="D1067" s="2" t="str">
        <x:v>MUG-002</x:v>
      </x:c>
      <x:c r="E1067" s="2" t="str">
        <x:f>_xlfn.IFNA(VLOOKUP(D1067,'Products'!$A$7:$I$22,2,FALSE),"Unmapped")</x:f>
        <x:v>Campfire enamel mug</x:v>
      </x:c>
      <x:c r="F1067" s="2" t="str">
        <x:f>_xlfn.IFNA(VLOOKUP(D1067,'Products'!$A$7:$I$22,3,FALSE),"Unmapped")</x:f>
        <x:v>Drinkware</x:v>
      </x:c>
      <x:c r="G1067" s="2" t="n">
        <x:v>2</x:v>
      </x:c>
      <x:c r="H1067" s="2" t="n">
        <x:v>0</x:v>
      </x:c>
      <x:c r="I1067" s="10" t="n">
        <x:v>22.95</x:v>
      </x:c>
      <x:c r="J1067" s="10" t="n">
        <x:v>0</x:v>
      </x:c>
      <x:c r="K1067" s="10" t="n">
        <x:v>8.5</x:v>
      </x:c>
      <x:c r="L1067" s="10" t="n">
        <x:f>G1067*I1067</x:f>
        <x:v>45.9</x:v>
      </x:c>
      <x:c r="M1067" s="10" t="n">
        <x:f>ROUND((L1067-J1067)*H1067/G1067,2)</x:f>
        <x:v>0</x:v>
      </x:c>
      <x:c r="N1067" s="10" t="n">
        <x:f>L1067-J1067-M1067</x:f>
        <x:v>45.9</x:v>
      </x:c>
      <x:c r="O1067" s="10" t="n">
        <x:f>(G1067-H1067)*K1067</x:f>
        <x:v>17</x:v>
      </x:c>
      <x:c r="P1067" s="10" t="n">
        <x:f>N1067-O1067</x:f>
        <x:v>28.9</x:v>
      </x:c>
      <x:c r="Q1067" s="9" t="n">
        <x:f>A1067-WEEKDAY(A1067,2)+1</x:f>
        <x:v>46300</x:v>
      </x:c>
      <x:c r="R1067" s="2" t="str">
        <x:f>IF(AND(A1067&gt;='Review'!$B$4,A1067&lt;='Review'!$D$4),"Selected","Outside")</x:f>
        <x:v>Selected</x:v>
      </x:c>
    </x:row>
    <x:row r="1068" ht="20" customHeight="1">
      <x:c r="A1068" s="9" t="n">
        <x:v>46306</x:v>
      </x:c>
      <x:c r="B1068" s="2" t="str">
        <x:v>MM-1766</x:v>
      </x:c>
      <x:c r="C1068" s="2" t="str">
        <x:v>Organic Search</x:v>
      </x:c>
      <x:c r="D1068" s="2" t="str">
        <x:v>MUG-001</x:v>
      </x:c>
      <x:c r="E1068" s="2" t="str">
        <x:f>_xlfn.IFNA(VLOOKUP(D1068,'Products'!$A$7:$I$22,2,FALSE),"Unmapped")</x:f>
        <x:v>Everyday ceramic mug</x:v>
      </x:c>
      <x:c r="F1068" s="2" t="str">
        <x:f>_xlfn.IFNA(VLOOKUP(D1068,'Products'!$A$7:$I$22,3,FALSE),"Unmapped")</x:f>
        <x:v>Drinkware</x:v>
      </x:c>
      <x:c r="G1068" s="2" t="n">
        <x:v>1</x:v>
      </x:c>
      <x:c r="H1068" s="2" t="n">
        <x:v>0</x:v>
      </x:c>
      <x:c r="I1068" s="10" t="n">
        <x:v>18.95</x:v>
      </x:c>
      <x:c r="J1068" s="10" t="n">
        <x:v>0</x:v>
      </x:c>
      <x:c r="K1068" s="10" t="n">
        <x:v>6.5</x:v>
      </x:c>
      <x:c r="L1068" s="10" t="n">
        <x:f>G1068*I1068</x:f>
        <x:v>18.95</x:v>
      </x:c>
      <x:c r="M1068" s="10" t="n">
        <x:f>ROUND((L1068-J1068)*H1068/G1068,2)</x:f>
        <x:v>0</x:v>
      </x:c>
      <x:c r="N1068" s="10" t="n">
        <x:f>L1068-J1068-M1068</x:f>
        <x:v>18.95</x:v>
      </x:c>
      <x:c r="O1068" s="10" t="n">
        <x:f>(G1068-H1068)*K1068</x:f>
        <x:v>6.5</x:v>
      </x:c>
      <x:c r="P1068" s="10" t="n">
        <x:f>N1068-O1068</x:f>
        <x:v>12.45</x:v>
      </x:c>
      <x:c r="Q1068" s="9" t="n">
        <x:f>A1068-WEEKDAY(A1068,2)+1</x:f>
        <x:v>46300</x:v>
      </x:c>
      <x:c r="R1068" s="2" t="str">
        <x:f>IF(AND(A1068&gt;='Review'!$B$4,A1068&lt;='Review'!$D$4),"Selected","Outside")</x:f>
        <x:v>Selected</x:v>
      </x:c>
    </x:row>
    <x:row r="1069" ht="20" customHeight="1">
      <x:c r="A1069" s="9" t="n">
        <x:v>46306</x:v>
      </x:c>
      <x:c r="B1069" s="2" t="str">
        <x:v>MM-1764</x:v>
      </x:c>
      <x:c r="C1069" s="2" t="str">
        <x:v>Organic Search</x:v>
      </x:c>
      <x:c r="D1069" s="2" t="str">
        <x:v>MUG-002</x:v>
      </x:c>
      <x:c r="E1069" s="2" t="str">
        <x:f>_xlfn.IFNA(VLOOKUP(D1069,'Products'!$A$7:$I$22,2,FALSE),"Unmapped")</x:f>
        <x:v>Campfire enamel mug</x:v>
      </x:c>
      <x:c r="F1069" s="2" t="str">
        <x:f>_xlfn.IFNA(VLOOKUP(D1069,'Products'!$A$7:$I$22,3,FALSE),"Unmapped")</x:f>
        <x:v>Drinkware</x:v>
      </x:c>
      <x:c r="G1069" s="2" t="n">
        <x:v>1</x:v>
      </x:c>
      <x:c r="H1069" s="2" t="n">
        <x:v>0</x:v>
      </x:c>
      <x:c r="I1069" s="10" t="n">
        <x:v>22.95</x:v>
      </x:c>
      <x:c r="J1069" s="10" t="n">
        <x:v>0</x:v>
      </x:c>
      <x:c r="K1069" s="10" t="n">
        <x:v>8.5</x:v>
      </x:c>
      <x:c r="L1069" s="10" t="n">
        <x:f>G1069*I1069</x:f>
        <x:v>22.95</x:v>
      </x:c>
      <x:c r="M1069" s="10" t="n">
        <x:f>ROUND((L1069-J1069)*H1069/G1069,2)</x:f>
        <x:v>0</x:v>
      </x:c>
      <x:c r="N1069" s="10" t="n">
        <x:f>L1069-J1069-M1069</x:f>
        <x:v>22.95</x:v>
      </x:c>
      <x:c r="O1069" s="10" t="n">
        <x:f>(G1069-H1069)*K1069</x:f>
        <x:v>8.5</x:v>
      </x:c>
      <x:c r="P1069" s="10" t="n">
        <x:f>N1069-O1069</x:f>
        <x:v>14.45</x:v>
      </x:c>
      <x:c r="Q1069" s="9" t="n">
        <x:f>A1069-WEEKDAY(A1069,2)+1</x:f>
        <x:v>46300</x:v>
      </x:c>
      <x:c r="R1069" s="2" t="str">
        <x:f>IF(AND(A1069&gt;='Review'!$B$4,A1069&lt;='Review'!$D$4),"Selected","Outside")</x:f>
        <x:v>Selected</x:v>
      </x:c>
    </x:row>
    <x:row r="1070" ht="20" customHeight="1">
      <x:c r="A1070" s="9" t="n">
        <x:v>46306</x:v>
      </x:c>
      <x:c r="B1070" s="2" t="str">
        <x:v>MM-1764</x:v>
      </x:c>
      <x:c r="C1070" s="2" t="str">
        <x:v>Organic Search</x:v>
      </x:c>
      <x:c r="D1070" s="2" t="str">
        <x:v>MUG-001</x:v>
      </x:c>
      <x:c r="E1070" s="2" t="str">
        <x:f>_xlfn.IFNA(VLOOKUP(D1070,'Products'!$A$7:$I$22,2,FALSE),"Unmapped")</x:f>
        <x:v>Everyday ceramic mug</x:v>
      </x:c>
      <x:c r="F1070" s="2" t="str">
        <x:f>_xlfn.IFNA(VLOOKUP(D1070,'Products'!$A$7:$I$22,3,FALSE),"Unmapped")</x:f>
        <x:v>Drinkware</x:v>
      </x:c>
      <x:c r="G1070" s="2" t="n">
        <x:v>1</x:v>
      </x:c>
      <x:c r="H1070" s="2" t="n">
        <x:v>0</x:v>
      </x:c>
      <x:c r="I1070" s="10" t="n">
        <x:v>18.95</x:v>
      </x:c>
      <x:c r="J1070" s="10" t="n">
        <x:v>0</x:v>
      </x:c>
      <x:c r="K1070" s="10" t="n">
        <x:v>6.5</x:v>
      </x:c>
      <x:c r="L1070" s="10" t="n">
        <x:f>G1070*I1070</x:f>
        <x:v>18.95</x:v>
      </x:c>
      <x:c r="M1070" s="10" t="n">
        <x:f>ROUND((L1070-J1070)*H1070/G1070,2)</x:f>
        <x:v>0</x:v>
      </x:c>
      <x:c r="N1070" s="10" t="n">
        <x:f>L1070-J1070-M1070</x:f>
        <x:v>18.95</x:v>
      </x:c>
      <x:c r="O1070" s="10" t="n">
        <x:f>(G1070-H1070)*K1070</x:f>
        <x:v>6.5</x:v>
      </x:c>
      <x:c r="P1070" s="10" t="n">
        <x:f>N1070-O1070</x:f>
        <x:v>12.45</x:v>
      </x:c>
      <x:c r="Q1070" s="9" t="n">
        <x:f>A1070-WEEKDAY(A1070,2)+1</x:f>
        <x:v>46300</x:v>
      </x:c>
      <x:c r="R1070" s="2" t="str">
        <x:f>IF(AND(A1070&gt;='Review'!$B$4,A1070&lt;='Review'!$D$4),"Selected","Outside")</x:f>
        <x:v>Selected</x:v>
      </x:c>
    </x:row>
    <x:row r="1071" ht="20" customHeight="1">
      <x:c r="A1071" s="9" t="n">
        <x:v>46306</x:v>
      </x:c>
      <x:c r="B1071" s="2" t="str">
        <x:v>MM-1769</x:v>
      </x:c>
      <x:c r="C1071" s="2" t="str">
        <x:v>Email</x:v>
      </x:c>
      <x:c r="D1071" s="2" t="str">
        <x:v>GFT-001</x:v>
      </x:c>
      <x:c r="E1071" s="2" t="str">
        <x:f>_xlfn.IFNA(VLOOKUP(D1071,'Products'!$A$7:$I$22,2,FALSE),"Unmapped")</x:f>
        <x:v>Morning ritual gift set</x:v>
      </x:c>
      <x:c r="F1071" s="2" t="str">
        <x:f>_xlfn.IFNA(VLOOKUP(D1071,'Products'!$A$7:$I$22,3,FALSE),"Unmapped")</x:f>
        <x:v>Gifts</x:v>
      </x:c>
      <x:c r="G1071" s="2" t="n">
        <x:v>2</x:v>
      </x:c>
      <x:c r="H1071" s="2" t="n">
        <x:v>0</x:v>
      </x:c>
      <x:c r="I1071" s="10" t="n">
        <x:v>59.95</x:v>
      </x:c>
      <x:c r="J1071" s="10" t="n">
        <x:v>11.99</x:v>
      </x:c>
      <x:c r="K1071" s="10" t="n">
        <x:v>24</x:v>
      </x:c>
      <x:c r="L1071" s="10" t="n">
        <x:f>G1071*I1071</x:f>
        <x:v>119.9</x:v>
      </x:c>
      <x:c r="M1071" s="10" t="n">
        <x:f>ROUND((L1071-J1071)*H1071/G1071,2)</x:f>
        <x:v>0</x:v>
      </x:c>
      <x:c r="N1071" s="10" t="n">
        <x:f>L1071-J1071-M1071</x:f>
        <x:v>107.91000000000001</x:v>
      </x:c>
      <x:c r="O1071" s="10" t="n">
        <x:f>(G1071-H1071)*K1071</x:f>
        <x:v>48</x:v>
      </x:c>
      <x:c r="P1071" s="10" t="n">
        <x:f>N1071-O1071</x:f>
        <x:v>59.91000000000001</x:v>
      </x:c>
      <x:c r="Q1071" s="9" t="n">
        <x:f>A1071-WEEKDAY(A1071,2)+1</x:f>
        <x:v>46300</x:v>
      </x:c>
      <x:c r="R1071" s="2" t="str">
        <x:f>IF(AND(A1071&gt;='Review'!$B$4,A1071&lt;='Review'!$D$4),"Selected","Outside")</x:f>
        <x:v>Selected</x:v>
      </x:c>
    </x:row>
    <x:row r="1072" ht="20" customHeight="1">
      <x:c r="A1072" s="9" t="n">
        <x:v>46306</x:v>
      </x:c>
      <x:c r="B1072" s="2" t="str">
        <x:v>MM-1761</x:v>
      </x:c>
      <x:c r="C1072" s="2" t="str">
        <x:v>Organic Search</x:v>
      </x:c>
      <x:c r="D1072" s="2" t="str">
        <x:v>PIN-001</x:v>
      </x:c>
      <x:c r="E1072" s="2" t="str">
        <x:f>_xlfn.IFNA(VLOOKUP(D1072,'Products'!$A$7:$I$22,2,FALSE),"Unmapped")</x:f>
        <x:v>Coffee enamel pin</x:v>
      </x:c>
      <x:c r="F1072" s="2" t="str">
        <x:f>_xlfn.IFNA(VLOOKUP(D1072,'Products'!$A$7:$I$22,3,FALSE),"Unmapped")</x:f>
        <x:v>Accessories</x:v>
      </x:c>
      <x:c r="G1072" s="2" t="n">
        <x:v>1</x:v>
      </x:c>
      <x:c r="H1072" s="2" t="n">
        <x:v>0</x:v>
      </x:c>
      <x:c r="I1072" s="10" t="n">
        <x:v>9.95</x:v>
      </x:c>
      <x:c r="J1072" s="10" t="n">
        <x:v>0</x:v>
      </x:c>
      <x:c r="K1072" s="10" t="n">
        <x:v>2.5</x:v>
      </x:c>
      <x:c r="L1072" s="10" t="n">
        <x:f>G1072*I1072</x:f>
        <x:v>9.95</x:v>
      </x:c>
      <x:c r="M1072" s="10" t="n">
        <x:f>ROUND((L1072-J1072)*H1072/G1072,2)</x:f>
        <x:v>0</x:v>
      </x:c>
      <x:c r="N1072" s="10" t="n">
        <x:f>L1072-J1072-M1072</x:f>
        <x:v>9.95</x:v>
      </x:c>
      <x:c r="O1072" s="10" t="n">
        <x:f>(G1072-H1072)*K1072</x:f>
        <x:v>2.5</x:v>
      </x:c>
      <x:c r="P1072" s="10" t="n">
        <x:f>N1072-O1072</x:f>
        <x:v>7.449999999999999</x:v>
      </x:c>
      <x:c r="Q1072" s="9" t="n">
        <x:f>A1072-WEEKDAY(A1072,2)+1</x:f>
        <x:v>46300</x:v>
      </x:c>
      <x:c r="R1072" s="2" t="str">
        <x:f>IF(AND(A1072&gt;='Review'!$B$4,A1072&lt;='Review'!$D$4),"Selected","Outside")</x:f>
        <x:v>Selected</x:v>
      </x:c>
    </x:row>
    <x:row r="1073" ht="20" customHeight="1">
      <x:c r="A1073" s="9" t="n">
        <x:v>46306</x:v>
      </x:c>
      <x:c r="B1073" s="2" t="str">
        <x:v>MM-1767</x:v>
      </x:c>
      <x:c r="C1073" s="2" t="str">
        <x:v>Paid Social</x:v>
      </x:c>
      <x:c r="D1073" s="2" t="str">
        <x:v>MUG-001</x:v>
      </x:c>
      <x:c r="E1073" s="2" t="str">
        <x:f>_xlfn.IFNA(VLOOKUP(D1073,'Products'!$A$7:$I$22,2,FALSE),"Unmapped")</x:f>
        <x:v>Everyday ceramic mug</x:v>
      </x:c>
      <x:c r="F1073" s="2" t="str">
        <x:f>_xlfn.IFNA(VLOOKUP(D1073,'Products'!$A$7:$I$22,3,FALSE),"Unmapped")</x:f>
        <x:v>Drinkware</x:v>
      </x:c>
      <x:c r="G1073" s="2" t="n">
        <x:v>1</x:v>
      </x:c>
      <x:c r="H1073" s="2" t="n">
        <x:v>0</x:v>
      </x:c>
      <x:c r="I1073" s="10" t="n">
        <x:v>18.95</x:v>
      </x:c>
      <x:c r="J1073" s="10" t="n">
        <x:v>1.89</x:v>
      </x:c>
      <x:c r="K1073" s="10" t="n">
        <x:v>6.5</x:v>
      </x:c>
      <x:c r="L1073" s="10" t="n">
        <x:f>G1073*I1073</x:f>
        <x:v>18.95</x:v>
      </x:c>
      <x:c r="M1073" s="10" t="n">
        <x:f>ROUND((L1073-J1073)*H1073/G1073,2)</x:f>
        <x:v>0</x:v>
      </x:c>
      <x:c r="N1073" s="10" t="n">
        <x:f>L1073-J1073-M1073</x:f>
        <x:v>17.06</x:v>
      </x:c>
      <x:c r="O1073" s="10" t="n">
        <x:f>(G1073-H1073)*K1073</x:f>
        <x:v>6.5</x:v>
      </x:c>
      <x:c r="P1073" s="10" t="n">
        <x:f>N1073-O1073</x:f>
        <x:v>10.559999999999999</x:v>
      </x:c>
      <x:c r="Q1073" s="9" t="n">
        <x:f>A1073-WEEKDAY(A1073,2)+1</x:f>
        <x:v>46300</x:v>
      </x:c>
      <x:c r="R1073" s="2" t="str">
        <x:f>IF(AND(A1073&gt;='Review'!$B$4,A1073&lt;='Review'!$D$4),"Selected","Outside")</x:f>
        <x:v>Selected</x:v>
      </x:c>
    </x:row>
    <x:row r="1074" ht="20" customHeight="1">
      <x:c r="A1074" s="9" t="n">
        <x:v>46306</x:v>
      </x:c>
      <x:c r="B1074" s="2" t="str">
        <x:v>MM-1767</x:v>
      </x:c>
      <x:c r="C1074" s="2" t="str">
        <x:v>Paid Social</x:v>
      </x:c>
      <x:c r="D1074" s="2" t="str">
        <x:v>TUM-002</x:v>
      </x:c>
      <x:c r="E1074" s="2" t="str">
        <x:f>_xlfn.IFNA(VLOOKUP(D1074,'Products'!$A$7:$I$22,2,FALSE),"Unmapped")</x:f>
        <x:v>Cold brew glass cup</x:v>
      </x:c>
      <x:c r="F1074" s="2" t="str">
        <x:f>_xlfn.IFNA(VLOOKUP(D1074,'Products'!$A$7:$I$22,3,FALSE),"Unmapped")</x:f>
        <x:v>Drinkware</x:v>
      </x:c>
      <x:c r="G1074" s="2" t="n">
        <x:v>3</x:v>
      </x:c>
      <x:c r="H1074" s="2" t="n">
        <x:v>0</x:v>
      </x:c>
      <x:c r="I1074" s="10" t="n">
        <x:v>24.95</x:v>
      </x:c>
      <x:c r="J1074" s="10" t="n">
        <x:v>0</x:v>
      </x:c>
      <x:c r="K1074" s="10" t="n">
        <x:v>9</x:v>
      </x:c>
      <x:c r="L1074" s="10" t="n">
        <x:f>G1074*I1074</x:f>
        <x:v>74.85</x:v>
      </x:c>
      <x:c r="M1074" s="10" t="n">
        <x:f>ROUND((L1074-J1074)*H1074/G1074,2)</x:f>
        <x:v>0</x:v>
      </x:c>
      <x:c r="N1074" s="10" t="n">
        <x:f>L1074-J1074-M1074</x:f>
        <x:v>74.85</x:v>
      </x:c>
      <x:c r="O1074" s="10" t="n">
        <x:f>(G1074-H1074)*K1074</x:f>
        <x:v>27</x:v>
      </x:c>
      <x:c r="P1074" s="10" t="n">
        <x:f>N1074-O1074</x:f>
        <x:v>47.849999999999994</x:v>
      </x:c>
      <x:c r="Q1074" s="9" t="n">
        <x:f>A1074-WEEKDAY(A1074,2)+1</x:f>
        <x:v>46300</x:v>
      </x:c>
      <x:c r="R1074" s="2" t="str">
        <x:f>IF(AND(A1074&gt;='Review'!$B$4,A1074&lt;='Review'!$D$4),"Selected","Outside")</x:f>
        <x:v>Selected</x:v>
      </x:c>
    </x:row>
    <x:row r="1075" ht="20" customHeight="1">
      <x:c r="A1075" s="9" t="n">
        <x:v>46306</x:v>
      </x:c>
      <x:c r="B1075" s="2" t="str">
        <x:v>MM-1768</x:v>
      </x:c>
      <x:c r="C1075" s="2" t="str">
        <x:v>Organic Search</x:v>
      </x:c>
      <x:c r="D1075" s="2" t="str">
        <x:v>HAT-001</x:v>
      </x:c>
      <x:c r="E1075" s="2" t="str">
        <x:f>_xlfn.IFNA(VLOOKUP(D1075,'Products'!$A$7:$I$22,2,FALSE),"Unmapped")</x:f>
        <x:v>Classic canvas cap</x:v>
      </x:c>
      <x:c r="F1075" s="2" t="str">
        <x:f>_xlfn.IFNA(VLOOKUP(D1075,'Products'!$A$7:$I$22,3,FALSE),"Unmapped")</x:f>
        <x:v>Accessories</x:v>
      </x:c>
      <x:c r="G1075" s="2" t="n">
        <x:v>3</x:v>
      </x:c>
      <x:c r="H1075" s="2" t="n">
        <x:v>0</x:v>
      </x:c>
      <x:c r="I1075" s="10" t="n">
        <x:v>24.95</x:v>
      </x:c>
      <x:c r="J1075" s="10" t="n">
        <x:v>0</x:v>
      </x:c>
      <x:c r="K1075" s="10" t="n">
        <x:v>8.5</x:v>
      </x:c>
      <x:c r="L1075" s="10" t="n">
        <x:f>G1075*I1075</x:f>
        <x:v>74.85</x:v>
      </x:c>
      <x:c r="M1075" s="10" t="n">
        <x:f>ROUND((L1075-J1075)*H1075/G1075,2)</x:f>
        <x:v>0</x:v>
      </x:c>
      <x:c r="N1075" s="10" t="n">
        <x:f>L1075-J1075-M1075</x:f>
        <x:v>74.85</x:v>
      </x:c>
      <x:c r="O1075" s="10" t="n">
        <x:f>(G1075-H1075)*K1075</x:f>
        <x:v>25.5</x:v>
      </x:c>
      <x:c r="P1075" s="10" t="n">
        <x:f>N1075-O1075</x:f>
        <x:v>49.349999999999994</x:v>
      </x:c>
      <x:c r="Q1075" s="9" t="n">
        <x:f>A1075-WEEKDAY(A1075,2)+1</x:f>
        <x:v>46300</x:v>
      </x:c>
      <x:c r="R1075" s="2" t="str">
        <x:f>IF(AND(A1075&gt;='Review'!$B$4,A1075&lt;='Review'!$D$4),"Selected","Outside")</x:f>
        <x:v>Selected</x:v>
      </x:c>
    </x:row>
    <x:row r="1076" ht="20" customHeight="1">
      <x:c r="A1076" s="9" t="n">
        <x:v>46306</x:v>
      </x:c>
      <x:c r="B1076" s="2" t="str">
        <x:v>MM-1768</x:v>
      </x:c>
      <x:c r="C1076" s="2" t="str">
        <x:v>Organic Search</x:v>
      </x:c>
      <x:c r="D1076" s="2" t="str">
        <x:v>KEY-001</x:v>
      </x:c>
      <x:c r="E1076" s="2" t="str">
        <x:f>_xlfn.IFNA(VLOOKUP(D1076,'Products'!$A$7:$I$22,2,FALSE),"Unmapped")</x:f>
        <x:v>Maple keyring</x:v>
      </x:c>
      <x:c r="F1076" s="2" t="str">
        <x:f>_xlfn.IFNA(VLOOKUP(D1076,'Products'!$A$7:$I$22,3,FALSE),"Unmapped")</x:f>
        <x:v>Accessories</x:v>
      </x:c>
      <x:c r="G1076" s="2" t="n">
        <x:v>1</x:v>
      </x:c>
      <x:c r="H1076" s="2" t="n">
        <x:v>0</x:v>
      </x:c>
      <x:c r="I1076" s="10" t="n">
        <x:v>12.95</x:v>
      </x:c>
      <x:c r="J1076" s="10" t="n">
        <x:v>0</x:v>
      </x:c>
      <x:c r="K1076" s="10" t="n">
        <x:v>3.5</x:v>
      </x:c>
      <x:c r="L1076" s="10" t="n">
        <x:f>G1076*I1076</x:f>
        <x:v>12.95</x:v>
      </x:c>
      <x:c r="M1076" s="10" t="n">
        <x:f>ROUND((L1076-J1076)*H1076/G1076,2)</x:f>
        <x:v>0</x:v>
      </x:c>
      <x:c r="N1076" s="10" t="n">
        <x:f>L1076-J1076-M1076</x:f>
        <x:v>12.95</x:v>
      </x:c>
      <x:c r="O1076" s="10" t="n">
        <x:f>(G1076-H1076)*K1076</x:f>
        <x:v>3.5</x:v>
      </x:c>
      <x:c r="P1076" s="10" t="n">
        <x:f>N1076-O1076</x:f>
        <x:v>9.45</x:v>
      </x:c>
      <x:c r="Q1076" s="9" t="n">
        <x:f>A1076-WEEKDAY(A1076,2)+1</x:f>
        <x:v>46300</x:v>
      </x:c>
      <x:c r="R1076" s="2" t="str">
        <x:f>IF(AND(A1076&gt;='Review'!$B$4,A1076&lt;='Review'!$D$4),"Selected","Outside")</x:f>
        <x:v>Selected</x:v>
      </x:c>
    </x:row>
    <x:row r="1077" ht="20" customHeight="1">
      <x:c r="A1077" s="9" t="n">
        <x:v>46306</x:v>
      </x:c>
      <x:c r="B1077" s="2" t="str">
        <x:v>MM-1760</x:v>
      </x:c>
      <x:c r="C1077" s="2" t="str">
        <x:v>Paid Social</x:v>
      </x:c>
      <x:c r="D1077" s="2" t="str">
        <x:v>TUM-001</x:v>
      </x:c>
      <x:c r="E1077" s="2" t="str">
        <x:f>_xlfn.IFNA(VLOOKUP(D1077,'Products'!$A$7:$I$22,2,FALSE),"Unmapped")</x:f>
        <x:v>Maple travel tumbler</x:v>
      </x:c>
      <x:c r="F1077" s="2" t="str">
        <x:f>_xlfn.IFNA(VLOOKUP(D1077,'Products'!$A$7:$I$22,3,FALSE),"Unmapped")</x:f>
        <x:v>Drinkware</x:v>
      </x:c>
      <x:c r="G1077" s="2" t="n">
        <x:v>1</x:v>
      </x:c>
      <x:c r="H1077" s="2" t="n">
        <x:v>0</x:v>
      </x:c>
      <x:c r="I1077" s="10" t="n">
        <x:v>32.95</x:v>
      </x:c>
      <x:c r="J1077" s="10" t="n">
        <x:v>0</x:v>
      </x:c>
      <x:c r="K1077" s="10" t="n">
        <x:v>12</x:v>
      </x:c>
      <x:c r="L1077" s="10" t="n">
        <x:f>G1077*I1077</x:f>
        <x:v>32.95</x:v>
      </x:c>
      <x:c r="M1077" s="10" t="n">
        <x:f>ROUND((L1077-J1077)*H1077/G1077,2)</x:f>
        <x:v>0</x:v>
      </x:c>
      <x:c r="N1077" s="10" t="n">
        <x:f>L1077-J1077-M1077</x:f>
        <x:v>32.95</x:v>
      </x:c>
      <x:c r="O1077" s="10" t="n">
        <x:f>(G1077-H1077)*K1077</x:f>
        <x:v>12</x:v>
      </x:c>
      <x:c r="P1077" s="10" t="n">
        <x:f>N1077-O1077</x:f>
        <x:v>20.950000000000003</x:v>
      </x:c>
      <x:c r="Q1077" s="9" t="n">
        <x:f>A1077-WEEKDAY(A1077,2)+1</x:f>
        <x:v>46300</x:v>
      </x:c>
      <x:c r="R1077" s="2" t="str">
        <x:f>IF(AND(A1077&gt;='Review'!$B$4,A1077&lt;='Review'!$D$4),"Selected","Outside")</x:f>
        <x:v>Selected</x:v>
      </x:c>
    </x:row>
    <x:row r="1078" ht="20" customHeight="1">
      <x:c r="A1078" s="9" t="n">
        <x:v>46306</x:v>
      </x:c>
      <x:c r="B1078" s="2" t="str">
        <x:v>MM-1762</x:v>
      </x:c>
      <x:c r="C1078" s="2" t="str">
        <x:v>Organic Search</x:v>
      </x:c>
      <x:c r="D1078" s="2" t="str">
        <x:v>HAT-001</x:v>
      </x:c>
      <x:c r="E1078" s="2" t="str">
        <x:f>_xlfn.IFNA(VLOOKUP(D1078,'Products'!$A$7:$I$22,2,FALSE),"Unmapped")</x:f>
        <x:v>Classic canvas cap</x:v>
      </x:c>
      <x:c r="F1078" s="2" t="str">
        <x:f>_xlfn.IFNA(VLOOKUP(D1078,'Products'!$A$7:$I$22,3,FALSE),"Unmapped")</x:f>
        <x:v>Accessories</x:v>
      </x:c>
      <x:c r="G1078" s="2" t="n">
        <x:v>1</x:v>
      </x:c>
      <x:c r="H1078" s="2" t="n">
        <x:v>0</x:v>
      </x:c>
      <x:c r="I1078" s="10" t="n">
        <x:v>24.95</x:v>
      </x:c>
      <x:c r="J1078" s="10" t="n">
        <x:v>0</x:v>
      </x:c>
      <x:c r="K1078" s="10" t="n">
        <x:v>8.5</x:v>
      </x:c>
      <x:c r="L1078" s="10" t="n">
        <x:f>G1078*I1078</x:f>
        <x:v>24.95</x:v>
      </x:c>
      <x:c r="M1078" s="10" t="n">
        <x:f>ROUND((L1078-J1078)*H1078/G1078,2)</x:f>
        <x:v>0</x:v>
      </x:c>
      <x:c r="N1078" s="10" t="n">
        <x:f>L1078-J1078-M1078</x:f>
        <x:v>24.95</x:v>
      </x:c>
      <x:c r="O1078" s="10" t="n">
        <x:f>(G1078-H1078)*K1078</x:f>
        <x:v>8.5</x:v>
      </x:c>
      <x:c r="P1078" s="10" t="n">
        <x:f>N1078-O1078</x:f>
        <x:v>16.45</x:v>
      </x:c>
      <x:c r="Q1078" s="9" t="n">
        <x:f>A1078-WEEKDAY(A1078,2)+1</x:f>
        <x:v>46300</x:v>
      </x:c>
      <x:c r="R1078" s="2" t="str">
        <x:f>IF(AND(A1078&gt;='Review'!$B$4,A1078&lt;='Review'!$D$4),"Selected","Outside")</x:f>
        <x:v>Selected</x:v>
      </x:c>
    </x:row>
    <x:row r="1079" ht="20" customHeight="1">
      <x:c r="A1079" s="9" t="n">
        <x:v>46306</x:v>
      </x:c>
      <x:c r="B1079" s="2" t="str">
        <x:v>MM-1755</x:v>
      </x:c>
      <x:c r="C1079" s="2" t="str">
        <x:v>Organic Search</x:v>
      </x:c>
      <x:c r="D1079" s="2" t="str">
        <x:v>HAT-001</x:v>
      </x:c>
      <x:c r="E1079" s="2" t="str">
        <x:f>_xlfn.IFNA(VLOOKUP(D1079,'Products'!$A$7:$I$22,2,FALSE),"Unmapped")</x:f>
        <x:v>Classic canvas cap</x:v>
      </x:c>
      <x:c r="F1079" s="2" t="str">
        <x:f>_xlfn.IFNA(VLOOKUP(D1079,'Products'!$A$7:$I$22,3,FALSE),"Unmapped")</x:f>
        <x:v>Accessories</x:v>
      </x:c>
      <x:c r="G1079" s="2" t="n">
        <x:v>3</x:v>
      </x:c>
      <x:c r="H1079" s="2" t="n">
        <x:v>0</x:v>
      </x:c>
      <x:c r="I1079" s="10" t="n">
        <x:v>24.95</x:v>
      </x:c>
      <x:c r="J1079" s="10" t="n">
        <x:v>0</x:v>
      </x:c>
      <x:c r="K1079" s="10" t="n">
        <x:v>8.5</x:v>
      </x:c>
      <x:c r="L1079" s="10" t="n">
        <x:f>G1079*I1079</x:f>
        <x:v>74.85</x:v>
      </x:c>
      <x:c r="M1079" s="10" t="n">
        <x:f>ROUND((L1079-J1079)*H1079/G1079,2)</x:f>
        <x:v>0</x:v>
      </x:c>
      <x:c r="N1079" s="10" t="n">
        <x:f>L1079-J1079-M1079</x:f>
        <x:v>74.85</x:v>
      </x:c>
      <x:c r="O1079" s="10" t="n">
        <x:f>(G1079-H1079)*K1079</x:f>
        <x:v>25.5</x:v>
      </x:c>
      <x:c r="P1079" s="10" t="n">
        <x:f>N1079-O1079</x:f>
        <x:v>49.349999999999994</x:v>
      </x:c>
      <x:c r="Q1079" s="9" t="n">
        <x:f>A1079-WEEKDAY(A1079,2)+1</x:f>
        <x:v>46300</x:v>
      </x:c>
      <x:c r="R1079" s="2" t="str">
        <x:f>IF(AND(A1079&gt;='Review'!$B$4,A1079&lt;='Review'!$D$4),"Selected","Outside")</x:f>
        <x:v>Selected</x:v>
      </x:c>
    </x:row>
    <x:row r="1080" ht="20" customHeight="1">
      <x:c r="A1080" s="9" t="n">
        <x:v>46306</x:v>
      </x:c>
      <x:c r="B1080" s="2" t="str">
        <x:v>MM-1763</x:v>
      </x:c>
      <x:c r="C1080" s="2" t="str">
        <x:v>Organic Search</x:v>
      </x:c>
      <x:c r="D1080" s="2" t="str">
        <x:v>TOTE-001</x:v>
      </x:c>
      <x:c r="E1080" s="2" t="str">
        <x:f>_xlfn.IFNA(VLOOKUP(D1080,'Products'!$A$7:$I$22,2,FALSE),"Unmapped")</x:f>
        <x:v>Market canvas tote</x:v>
      </x:c>
      <x:c r="F1080" s="2" t="str">
        <x:f>_xlfn.IFNA(VLOOKUP(D1080,'Products'!$A$7:$I$22,3,FALSE),"Unmapped")</x:f>
        <x:v>Accessories</x:v>
      </x:c>
      <x:c r="G1080" s="2" t="n">
        <x:v>1</x:v>
      </x:c>
      <x:c r="H1080" s="2" t="n">
        <x:v>0</x:v>
      </x:c>
      <x:c r="I1080" s="10" t="n">
        <x:v>19.95</x:v>
      </x:c>
      <x:c r="J1080" s="10" t="n">
        <x:v>0</x:v>
      </x:c>
      <x:c r="K1080" s="10" t="n">
        <x:v>6</x:v>
      </x:c>
      <x:c r="L1080" s="10" t="n">
        <x:f>G1080*I1080</x:f>
        <x:v>19.95</x:v>
      </x:c>
      <x:c r="M1080" s="10" t="n">
        <x:f>ROUND((L1080-J1080)*H1080/G1080,2)</x:f>
        <x:v>0</x:v>
      </x:c>
      <x:c r="N1080" s="10" t="n">
        <x:f>L1080-J1080-M1080</x:f>
        <x:v>19.95</x:v>
      </x:c>
      <x:c r="O1080" s="10" t="n">
        <x:f>(G1080-H1080)*K1080</x:f>
        <x:v>6</x:v>
      </x:c>
      <x:c r="P1080" s="10" t="n">
        <x:f>N1080-O1080</x:f>
        <x:v>13.95</x:v>
      </x:c>
      <x:c r="Q1080" s="9" t="n">
        <x:f>A1080-WEEKDAY(A1080,2)+1</x:f>
        <x:v>46300</x:v>
      </x:c>
      <x:c r="R1080" s="2" t="str">
        <x:f>IF(AND(A1080&gt;='Review'!$B$4,A1080&lt;='Review'!$D$4),"Selected","Outside")</x:f>
        <x:v>Selected</x:v>
      </x:c>
    </x:row>
    <x:row r="1081" ht="20" customHeight="1">
      <x:c r="A1081" s="9" t="n">
        <x:v>46306</x:v>
      </x:c>
      <x:c r="B1081" s="2" t="str">
        <x:v>MM-1765</x:v>
      </x:c>
      <x:c r="C1081" s="2" t="str">
        <x:v>Organic Search</x:v>
      </x:c>
      <x:c r="D1081" s="2" t="str">
        <x:v>KEY-001</x:v>
      </x:c>
      <x:c r="E1081" s="2" t="str">
        <x:f>_xlfn.IFNA(VLOOKUP(D1081,'Products'!$A$7:$I$22,2,FALSE),"Unmapped")</x:f>
        <x:v>Maple keyring</x:v>
      </x:c>
      <x:c r="F1081" s="2" t="str">
        <x:f>_xlfn.IFNA(VLOOKUP(D1081,'Products'!$A$7:$I$22,3,FALSE),"Unmapped")</x:f>
        <x:v>Accessories</x:v>
      </x:c>
      <x:c r="G1081" s="2" t="n">
        <x:v>1</x:v>
      </x:c>
      <x:c r="H1081" s="2" t="n">
        <x:v>0</x:v>
      </x:c>
      <x:c r="I1081" s="10" t="n">
        <x:v>12.95</x:v>
      </x:c>
      <x:c r="J1081" s="10" t="n">
        <x:v>1.29</x:v>
      </x:c>
      <x:c r="K1081" s="10" t="n">
        <x:v>3.5</x:v>
      </x:c>
      <x:c r="L1081" s="10" t="n">
        <x:f>G1081*I1081</x:f>
        <x:v>12.95</x:v>
      </x:c>
      <x:c r="M1081" s="10" t="n">
        <x:f>ROUND((L1081-J1081)*H1081/G1081,2)</x:f>
        <x:v>0</x:v>
      </x:c>
      <x:c r="N1081" s="10" t="n">
        <x:f>L1081-J1081-M1081</x:f>
        <x:v>11.66</x:v>
      </x:c>
      <x:c r="O1081" s="10" t="n">
        <x:f>(G1081-H1081)*K1081</x:f>
        <x:v>3.5</x:v>
      </x:c>
      <x:c r="P1081" s="10" t="n">
        <x:f>N1081-O1081</x:f>
        <x:v>8.16</x:v>
      </x:c>
      <x:c r="Q1081" s="9" t="n">
        <x:f>A1081-WEEKDAY(A1081,2)+1</x:f>
        <x:v>46300</x:v>
      </x:c>
      <x:c r="R1081" s="2" t="str">
        <x:f>IF(AND(A1081&gt;='Review'!$B$4,A1081&lt;='Review'!$D$4),"Selected","Outside")</x:f>
        <x:v>Selected</x:v>
      </x:c>
    </x:row>
    <x:row r="1082" ht="20" customHeight="1">
      <x:c r="A1082" s="9" t="n">
        <x:v>46306</x:v>
      </x:c>
      <x:c r="B1082" s="2" t="str">
        <x:v>MM-1758</x:v>
      </x:c>
      <x:c r="C1082" s="2" t="str">
        <x:v>Paid Social</x:v>
      </x:c>
      <x:c r="D1082" s="2" t="str">
        <x:v>MUG-002</x:v>
      </x:c>
      <x:c r="E1082" s="2" t="str">
        <x:f>_xlfn.IFNA(VLOOKUP(D1082,'Products'!$A$7:$I$22,2,FALSE),"Unmapped")</x:f>
        <x:v>Campfire enamel mug</x:v>
      </x:c>
      <x:c r="F1082" s="2" t="str">
        <x:f>_xlfn.IFNA(VLOOKUP(D1082,'Products'!$A$7:$I$22,3,FALSE),"Unmapped")</x:f>
        <x:v>Drinkware</x:v>
      </x:c>
      <x:c r="G1082" s="2" t="n">
        <x:v>1</x:v>
      </x:c>
      <x:c r="H1082" s="2" t="n">
        <x:v>0</x:v>
      </x:c>
      <x:c r="I1082" s="10" t="n">
        <x:v>22.95</x:v>
      </x:c>
      <x:c r="J1082" s="10" t="n">
        <x:v>0</x:v>
      </x:c>
      <x:c r="K1082" s="10" t="n">
        <x:v>8.5</x:v>
      </x:c>
      <x:c r="L1082" s="10" t="n">
        <x:f>G1082*I1082</x:f>
        <x:v>22.95</x:v>
      </x:c>
      <x:c r="M1082" s="10" t="n">
        <x:f>ROUND((L1082-J1082)*H1082/G1082,2)</x:f>
        <x:v>0</x:v>
      </x:c>
      <x:c r="N1082" s="10" t="n">
        <x:f>L1082-J1082-M1082</x:f>
        <x:v>22.95</x:v>
      </x:c>
      <x:c r="O1082" s="10" t="n">
        <x:f>(G1082-H1082)*K1082</x:f>
        <x:v>8.5</x:v>
      </x:c>
      <x:c r="P1082" s="10" t="n">
        <x:f>N1082-O1082</x:f>
        <x:v>14.45</x:v>
      </x:c>
      <x:c r="Q1082" s="9" t="n">
        <x:f>A1082-WEEKDAY(A1082,2)+1</x:f>
        <x:v>46300</x:v>
      </x:c>
      <x:c r="R1082" s="2" t="str">
        <x:f>IF(AND(A1082&gt;='Review'!$B$4,A1082&lt;='Review'!$D$4),"Selected","Outside")</x:f>
        <x:v>Selected</x:v>
      </x:c>
    </x:row>
    <x:row r="1083" ht="20" customHeight="1">
      <x:c r="A1083" s="9" t="n">
        <x:v>46306</x:v>
      </x:c>
      <x:c r="B1083" s="2" t="str">
        <x:v>MM-1758</x:v>
      </x:c>
      <x:c r="C1083" s="2" t="str">
        <x:v>Paid Social</x:v>
      </x:c>
      <x:c r="D1083" s="2" t="str">
        <x:v>PIN-001</x:v>
      </x:c>
      <x:c r="E1083" s="2" t="str">
        <x:f>_xlfn.IFNA(VLOOKUP(D1083,'Products'!$A$7:$I$22,2,FALSE),"Unmapped")</x:f>
        <x:v>Coffee enamel pin</x:v>
      </x:c>
      <x:c r="F1083" s="2" t="str">
        <x:f>_xlfn.IFNA(VLOOKUP(D1083,'Products'!$A$7:$I$22,3,FALSE),"Unmapped")</x:f>
        <x:v>Accessories</x:v>
      </x:c>
      <x:c r="G1083" s="2" t="n">
        <x:v>3</x:v>
      </x:c>
      <x:c r="H1083" s="2" t="n">
        <x:v>0</x:v>
      </x:c>
      <x:c r="I1083" s="10" t="n">
        <x:v>9.95</x:v>
      </x:c>
      <x:c r="J1083" s="10" t="n">
        <x:v>0</x:v>
      </x:c>
      <x:c r="K1083" s="10" t="n">
        <x:v>2.5</x:v>
      </x:c>
      <x:c r="L1083" s="10" t="n">
        <x:f>G1083*I1083</x:f>
        <x:v>29.849999999999998</x:v>
      </x:c>
      <x:c r="M1083" s="10" t="n">
        <x:f>ROUND((L1083-J1083)*H1083/G1083,2)</x:f>
        <x:v>0</x:v>
      </x:c>
      <x:c r="N1083" s="10" t="n">
        <x:f>L1083-J1083-M1083</x:f>
        <x:v>29.849999999999998</x:v>
      </x:c>
      <x:c r="O1083" s="10" t="n">
        <x:f>(G1083-H1083)*K1083</x:f>
        <x:v>7.5</x:v>
      </x:c>
      <x:c r="P1083" s="10" t="n">
        <x:f>N1083-O1083</x:f>
        <x:v>22.349999999999998</x:v>
      </x:c>
      <x:c r="Q1083" s="9" t="n">
        <x:f>A1083-WEEKDAY(A1083,2)+1</x:f>
        <x:v>46300</x:v>
      </x:c>
      <x:c r="R1083" s="2" t="str">
        <x:f>IF(AND(A1083&gt;='Review'!$B$4,A1083&lt;='Review'!$D$4),"Selected","Outside")</x:f>
        <x:v>Selected</x:v>
      </x:c>
    </x:row>
    <x:row r="1084" ht="20" customHeight="1">
      <x:c r="A1084" s="9" t="n">
        <x:v>46306</x:v>
      </x:c>
      <x:c r="B1084" s="2" t="str">
        <x:v>MM-1770</x:v>
      </x:c>
      <x:c r="C1084" s="2" t="str">
        <x:v>Paid Social</x:v>
      </x:c>
      <x:c r="D1084" s="2" t="str">
        <x:v>APP-003</x:v>
      </x:c>
      <x:c r="E1084" s="2" t="str">
        <x:f>_xlfn.IFNA(VLOOKUP(D1084,'Products'!$A$7:$I$22,2,FALSE),"Unmapped")</x:f>
        <x:v>Coffee club tee</x:v>
      </x:c>
      <x:c r="F1084" s="2" t="str">
        <x:f>_xlfn.IFNA(VLOOKUP(D1084,'Products'!$A$7:$I$22,3,FALSE),"Unmapped")</x:f>
        <x:v>Apparel</x:v>
      </x:c>
      <x:c r="G1084" s="2" t="n">
        <x:v>1</x:v>
      </x:c>
      <x:c r="H1084" s="2" t="n">
        <x:v>0</x:v>
      </x:c>
      <x:c r="I1084" s="10" t="n">
        <x:v>29.95</x:v>
      </x:c>
      <x:c r="J1084" s="10" t="n">
        <x:v>0</x:v>
      </x:c>
      <x:c r="K1084" s="10" t="n">
        <x:v>10</x:v>
      </x:c>
      <x:c r="L1084" s="10" t="n">
        <x:f>G1084*I1084</x:f>
        <x:v>29.95</x:v>
      </x:c>
      <x:c r="M1084" s="10" t="n">
        <x:f>ROUND((L1084-J1084)*H1084/G1084,2)</x:f>
        <x:v>0</x:v>
      </x:c>
      <x:c r="N1084" s="10" t="n">
        <x:f>L1084-J1084-M1084</x:f>
        <x:v>29.95</x:v>
      </x:c>
      <x:c r="O1084" s="10" t="n">
        <x:f>(G1084-H1084)*K1084</x:f>
        <x:v>10</x:v>
      </x:c>
      <x:c r="P1084" s="10" t="n">
        <x:f>N1084-O1084</x:f>
        <x:v>19.95</x:v>
      </x:c>
      <x:c r="Q1084" s="9" t="n">
        <x:f>A1084-WEEKDAY(A1084,2)+1</x:f>
        <x:v>46300</x:v>
      </x:c>
      <x:c r="R1084" s="2" t="str">
        <x:f>IF(AND(A1084&gt;='Review'!$B$4,A1084&lt;='Review'!$D$4),"Selected","Outside")</x:f>
        <x:v>Selected</x:v>
      </x:c>
    </x:row>
    <x:row r="1085" ht="20" customHeight="1">
      <x:c r="A1085" s="9" t="n">
        <x:v>46306</x:v>
      </x:c>
      <x:c r="B1085" s="2" t="str">
        <x:v>MM-1770</x:v>
      </x:c>
      <x:c r="C1085" s="2" t="str">
        <x:v>Paid Social</x:v>
      </x:c>
      <x:c r="D1085" s="2" t="str">
        <x:v>BOT-001</x:v>
      </x:c>
      <x:c r="E1085" s="2" t="str">
        <x:f>_xlfn.IFNA(VLOOKUP(D1085,'Products'!$A$7:$I$22,2,FALSE),"Unmapped")</x:f>
        <x:v>Trail water bottle</x:v>
      </x:c>
      <x:c r="F1085" s="2" t="str">
        <x:f>_xlfn.IFNA(VLOOKUP(D1085,'Products'!$A$7:$I$22,3,FALSE),"Unmapped")</x:f>
        <x:v>Drinkware</x:v>
      </x:c>
      <x:c r="G1085" s="2" t="n">
        <x:v>1</x:v>
      </x:c>
      <x:c r="H1085" s="2" t="n">
        <x:v>0</x:v>
      </x:c>
      <x:c r="I1085" s="10" t="n">
        <x:v>34.95</x:v>
      </x:c>
      <x:c r="J1085" s="10" t="n">
        <x:v>0</x:v>
      </x:c>
      <x:c r="K1085" s="10" t="n">
        <x:v>13.5</x:v>
      </x:c>
      <x:c r="L1085" s="10" t="n">
        <x:f>G1085*I1085</x:f>
        <x:v>34.95</x:v>
      </x:c>
      <x:c r="M1085" s="10" t="n">
        <x:f>ROUND((L1085-J1085)*H1085/G1085,2)</x:f>
        <x:v>0</x:v>
      </x:c>
      <x:c r="N1085" s="10" t="n">
        <x:f>L1085-J1085-M1085</x:f>
        <x:v>34.95</x:v>
      </x:c>
      <x:c r="O1085" s="10" t="n">
        <x:f>(G1085-H1085)*K1085</x:f>
        <x:v>13.5</x:v>
      </x:c>
      <x:c r="P1085" s="10" t="n">
        <x:f>N1085-O1085</x:f>
        <x:v>21.450000000000003</x:v>
      </x:c>
      <x:c r="Q1085" s="9" t="n">
        <x:f>A1085-WEEKDAY(A1085,2)+1</x:f>
        <x:v>46300</x:v>
      </x:c>
      <x:c r="R1085" s="2" t="str">
        <x:f>IF(AND(A1085&gt;='Review'!$B$4,A1085&lt;='Review'!$D$4),"Selected","Outside")</x:f>
        <x:v>Selected</x:v>
      </x:c>
    </x:row>
    <x:row r="1086" ht="20" customHeight="1">
      <x:c r="A1086" s="9" t="n">
        <x:v>46306</x:v>
      </x:c>
      <x:c r="B1086" s="2" t="str">
        <x:v>MM-1770</x:v>
      </x:c>
      <x:c r="C1086" s="2" t="str">
        <x:v>Paid Social</x:v>
      </x:c>
      <x:c r="D1086" s="2" t="str">
        <x:v>TUM-001</x:v>
      </x:c>
      <x:c r="E1086" s="2" t="str">
        <x:f>_xlfn.IFNA(VLOOKUP(D1086,'Products'!$A$7:$I$22,2,FALSE),"Unmapped")</x:f>
        <x:v>Maple travel tumbler</x:v>
      </x:c>
      <x:c r="F1086" s="2" t="str">
        <x:f>_xlfn.IFNA(VLOOKUP(D1086,'Products'!$A$7:$I$22,3,FALSE),"Unmapped")</x:f>
        <x:v>Drinkware</x:v>
      </x:c>
      <x:c r="G1086" s="2" t="n">
        <x:v>2</x:v>
      </x:c>
      <x:c r="H1086" s="2" t="n">
        <x:v>0</x:v>
      </x:c>
      <x:c r="I1086" s="10" t="n">
        <x:v>32.95</x:v>
      </x:c>
      <x:c r="J1086" s="10" t="n">
        <x:v>0</x:v>
      </x:c>
      <x:c r="K1086" s="10" t="n">
        <x:v>12</x:v>
      </x:c>
      <x:c r="L1086" s="10" t="n">
        <x:f>G1086*I1086</x:f>
        <x:v>65.9</x:v>
      </x:c>
      <x:c r="M1086" s="10" t="n">
        <x:f>ROUND((L1086-J1086)*H1086/G1086,2)</x:f>
        <x:v>0</x:v>
      </x:c>
      <x:c r="N1086" s="10" t="n">
        <x:f>L1086-J1086-M1086</x:f>
        <x:v>65.9</x:v>
      </x:c>
      <x:c r="O1086" s="10" t="n">
        <x:f>(G1086-H1086)*K1086</x:f>
        <x:v>24</x:v>
      </x:c>
      <x:c r="P1086" s="10" t="n">
        <x:f>N1086-O1086</x:f>
        <x:v>41.900000000000006</x:v>
      </x:c>
      <x:c r="Q1086" s="9" t="n">
        <x:f>A1086-WEEKDAY(A1086,2)+1</x:f>
        <x:v>46300</x:v>
      </x:c>
      <x:c r="R1086" s="2" t="str">
        <x:f>IF(AND(A1086&gt;='Review'!$B$4,A1086&lt;='Review'!$D$4),"Selected","Outside")</x:f>
        <x:v>Selected</x:v>
      </x:c>
    </x:row>
    <x:row r="1087" ht="20" customHeight="1">
      <x:c r="A1087" s="9" t="n">
        <x:v>46306</x:v>
      </x:c>
      <x:c r="B1087" s="2" t="str">
        <x:v>MM-1759</x:v>
      </x:c>
      <x:c r="C1087" s="2" t="str">
        <x:v>Organic Search</x:v>
      </x:c>
      <x:c r="D1087" s="2" t="str">
        <x:v>MUG-001</x:v>
      </x:c>
      <x:c r="E1087" s="2" t="str">
        <x:f>_xlfn.IFNA(VLOOKUP(D1087,'Products'!$A$7:$I$22,2,FALSE),"Unmapped")</x:f>
        <x:v>Everyday ceramic mug</x:v>
      </x:c>
      <x:c r="F1087" s="2" t="str">
        <x:f>_xlfn.IFNA(VLOOKUP(D1087,'Products'!$A$7:$I$22,3,FALSE),"Unmapped")</x:f>
        <x:v>Drinkware</x:v>
      </x:c>
      <x:c r="G1087" s="2" t="n">
        <x:v>1</x:v>
      </x:c>
      <x:c r="H1087" s="2" t="n">
        <x:v>0</x:v>
      </x:c>
      <x:c r="I1087" s="10" t="n">
        <x:v>18.95</x:v>
      </x:c>
      <x:c r="J1087" s="10" t="n">
        <x:v>0</x:v>
      </x:c>
      <x:c r="K1087" s="10" t="n">
        <x:v>6.5</x:v>
      </x:c>
      <x:c r="L1087" s="10" t="n">
        <x:f>G1087*I1087</x:f>
        <x:v>18.95</x:v>
      </x:c>
      <x:c r="M1087" s="10" t="n">
        <x:f>ROUND((L1087-J1087)*H1087/G1087,2)</x:f>
        <x:v>0</x:v>
      </x:c>
      <x:c r="N1087" s="10" t="n">
        <x:f>L1087-J1087-M1087</x:f>
        <x:v>18.95</x:v>
      </x:c>
      <x:c r="O1087" s="10" t="n">
        <x:f>(G1087-H1087)*K1087</x:f>
        <x:v>6.5</x:v>
      </x:c>
      <x:c r="P1087" s="10" t="n">
        <x:f>N1087-O1087</x:f>
        <x:v>12.45</x:v>
      </x:c>
      <x:c r="Q1087" s="9" t="n">
        <x:f>A1087-WEEKDAY(A1087,2)+1</x:f>
        <x:v>46300</x:v>
      </x:c>
      <x:c r="R1087" s="2" t="str">
        <x:f>IF(AND(A1087&gt;='Review'!$B$4,A1087&lt;='Review'!$D$4),"Selected","Outside")</x:f>
        <x:v>Selected</x:v>
      </x:c>
    </x:row>
    <x:row r="1088" ht="20" customHeight="1">
      <x:c r="A1088" s="9" t="n">
        <x:v>46306</x:v>
      </x:c>
      <x:c r="B1088" s="2" t="str">
        <x:v>MM-1772</x:v>
      </x:c>
      <x:c r="C1088" s="2" t="str">
        <x:v>Paid Social</x:v>
      </x:c>
      <x:c r="D1088" s="2" t="str">
        <x:v>APP-003</x:v>
      </x:c>
      <x:c r="E1088" s="2" t="str">
        <x:f>_xlfn.IFNA(VLOOKUP(D1088,'Products'!$A$7:$I$22,2,FALSE),"Unmapped")</x:f>
        <x:v>Coffee club tee</x:v>
      </x:c>
      <x:c r="F1088" s="2" t="str">
        <x:f>_xlfn.IFNA(VLOOKUP(D1088,'Products'!$A$7:$I$22,3,FALSE),"Unmapped")</x:f>
        <x:v>Apparel</x:v>
      </x:c>
      <x:c r="G1088" s="2" t="n">
        <x:v>3</x:v>
      </x:c>
      <x:c r="H1088" s="2" t="n">
        <x:v>0</x:v>
      </x:c>
      <x:c r="I1088" s="10" t="n">
        <x:v>29.95</x:v>
      </x:c>
      <x:c r="J1088" s="10" t="n">
        <x:v>8.98</x:v>
      </x:c>
      <x:c r="K1088" s="10" t="n">
        <x:v>10</x:v>
      </x:c>
      <x:c r="L1088" s="10" t="n">
        <x:f>G1088*I1088</x:f>
        <x:v>89.85</x:v>
      </x:c>
      <x:c r="M1088" s="10" t="n">
        <x:f>ROUND((L1088-J1088)*H1088/G1088,2)</x:f>
        <x:v>0</x:v>
      </x:c>
      <x:c r="N1088" s="10" t="n">
        <x:f>L1088-J1088-M1088</x:f>
        <x:v>80.86999999999999</x:v>
      </x:c>
      <x:c r="O1088" s="10" t="n">
        <x:f>(G1088-H1088)*K1088</x:f>
        <x:v>30</x:v>
      </x:c>
      <x:c r="P1088" s="10" t="n">
        <x:f>N1088-O1088</x:f>
        <x:v>50.86999999999999</x:v>
      </x:c>
      <x:c r="Q1088" s="9" t="n">
        <x:f>A1088-WEEKDAY(A1088,2)+1</x:f>
        <x:v>46300</x:v>
      </x:c>
      <x:c r="R1088" s="2" t="str">
        <x:f>IF(AND(A1088&gt;='Review'!$B$4,A1088&lt;='Review'!$D$4),"Selected","Outside")</x:f>
        <x:v>Selected</x:v>
      </x:c>
    </x:row>
    <x:row r="1089" ht="20" customHeight="1">
      <x:c r="A1089" s="9" t="n">
        <x:v>46307</x:v>
      </x:c>
      <x:c r="B1089" s="2" t="str">
        <x:v>MM-1773</x:v>
      </x:c>
      <x:c r="C1089" s="2" t="str">
        <x:v>Organic Search</x:v>
      </x:c>
      <x:c r="D1089" s="2" t="str">
        <x:v>KEY-001</x:v>
      </x:c>
      <x:c r="E1089" s="2" t="str">
        <x:f>_xlfn.IFNA(VLOOKUP(D1089,'Products'!$A$7:$I$22,2,FALSE),"Unmapped")</x:f>
        <x:v>Maple keyring</x:v>
      </x:c>
      <x:c r="F1089" s="2" t="str">
        <x:f>_xlfn.IFNA(VLOOKUP(D1089,'Products'!$A$7:$I$22,3,FALSE),"Unmapped")</x:f>
        <x:v>Accessories</x:v>
      </x:c>
      <x:c r="G1089" s="2" t="n">
        <x:v>1</x:v>
      </x:c>
      <x:c r="H1089" s="2" t="n">
        <x:v>0</x:v>
      </x:c>
      <x:c r="I1089" s="10" t="n">
        <x:v>12.95</x:v>
      </x:c>
      <x:c r="J1089" s="10" t="n">
        <x:v>0</x:v>
      </x:c>
      <x:c r="K1089" s="10" t="n">
        <x:v>3.5</x:v>
      </x:c>
      <x:c r="L1089" s="10" t="n">
        <x:f>G1089*I1089</x:f>
        <x:v>12.95</x:v>
      </x:c>
      <x:c r="M1089" s="10" t="n">
        <x:f>ROUND((L1089-J1089)*H1089/G1089,2)</x:f>
        <x:v>0</x:v>
      </x:c>
      <x:c r="N1089" s="10" t="n">
        <x:f>L1089-J1089-M1089</x:f>
        <x:v>12.95</x:v>
      </x:c>
      <x:c r="O1089" s="10" t="n">
        <x:f>(G1089-H1089)*K1089</x:f>
        <x:v>3.5</x:v>
      </x:c>
      <x:c r="P1089" s="10" t="n">
        <x:f>N1089-O1089</x:f>
        <x:v>9.45</x:v>
      </x:c>
      <x:c r="Q1089" s="9" t="n">
        <x:f>A1089-WEEKDAY(A1089,2)+1</x:f>
        <x:v>46307</x:v>
      </x:c>
      <x:c r="R1089" s="2" t="str">
        <x:f>IF(AND(A1089&gt;='Review'!$B$4,A1089&lt;='Review'!$D$4),"Selected","Outside")</x:f>
        <x:v>Selected</x:v>
      </x:c>
    </x:row>
    <x:row r="1090" ht="20" customHeight="1">
      <x:c r="A1090" s="9" t="n">
        <x:v>46307</x:v>
      </x:c>
      <x:c r="B1090" s="2" t="str">
        <x:v>MM-1773</x:v>
      </x:c>
      <x:c r="C1090" s="2" t="str">
        <x:v>Organic Search</x:v>
      </x:c>
      <x:c r="D1090" s="2" t="str">
        <x:v>BOT-001</x:v>
      </x:c>
      <x:c r="E1090" s="2" t="str">
        <x:f>_xlfn.IFNA(VLOOKUP(D1090,'Products'!$A$7:$I$22,2,FALSE),"Unmapped")</x:f>
        <x:v>Trail water bottle</x:v>
      </x:c>
      <x:c r="F1090" s="2" t="str">
        <x:f>_xlfn.IFNA(VLOOKUP(D1090,'Products'!$A$7:$I$22,3,FALSE),"Unmapped")</x:f>
        <x:v>Drinkware</x:v>
      </x:c>
      <x:c r="G1090" s="2" t="n">
        <x:v>1</x:v>
      </x:c>
      <x:c r="H1090" s="2" t="n">
        <x:v>0</x:v>
      </x:c>
      <x:c r="I1090" s="10" t="n">
        <x:v>34.95</x:v>
      </x:c>
      <x:c r="J1090" s="10" t="n">
        <x:v>3.49</x:v>
      </x:c>
      <x:c r="K1090" s="10" t="n">
        <x:v>13.5</x:v>
      </x:c>
      <x:c r="L1090" s="10" t="n">
        <x:f>G1090*I1090</x:f>
        <x:v>34.95</x:v>
      </x:c>
      <x:c r="M1090" s="10" t="n">
        <x:f>ROUND((L1090-J1090)*H1090/G1090,2)</x:f>
        <x:v>0</x:v>
      </x:c>
      <x:c r="N1090" s="10" t="n">
        <x:f>L1090-J1090-M1090</x:f>
        <x:v>31.46</x:v>
      </x:c>
      <x:c r="O1090" s="10" t="n">
        <x:f>(G1090-H1090)*K1090</x:f>
        <x:v>13.5</x:v>
      </x:c>
      <x:c r="P1090" s="10" t="n">
        <x:f>N1090-O1090</x:f>
        <x:v>17.96</x:v>
      </x:c>
      <x:c r="Q1090" s="9" t="n">
        <x:f>A1090-WEEKDAY(A1090,2)+1</x:f>
        <x:v>46307</x:v>
      </x:c>
      <x:c r="R1090" s="2" t="str">
        <x:f>IF(AND(A1090&gt;='Review'!$B$4,A1090&lt;='Review'!$D$4),"Selected","Outside")</x:f>
        <x:v>Selected</x:v>
      </x:c>
    </x:row>
    <x:row r="1091" ht="20" customHeight="1">
      <x:c r="A1091" s="9" t="n">
        <x:v>46307</x:v>
      </x:c>
      <x:c r="B1091" s="2" t="str">
        <x:v>MM-1792</x:v>
      </x:c>
      <x:c r="C1091" s="2" t="str">
        <x:v>Email</x:v>
      </x:c>
      <x:c r="D1091" s="2" t="str">
        <x:v>APP-002</x:v>
      </x:c>
      <x:c r="E1091" s="2" t="str">
        <x:f>_xlfn.IFNA(VLOOKUP(D1091,'Products'!$A$7:$I$22,2,FALSE),"Unmapped")</x:f>
        <x:v>Weekend hoodie</x:v>
      </x:c>
      <x:c r="F1091" s="2" t="str">
        <x:f>_xlfn.IFNA(VLOOKUP(D1091,'Products'!$A$7:$I$22,3,FALSE),"Unmapped")</x:f>
        <x:v>Apparel</x:v>
      </x:c>
      <x:c r="G1091" s="2" t="n">
        <x:v>1</x:v>
      </x:c>
      <x:c r="H1091" s="2" t="n">
        <x:v>0</x:v>
      </x:c>
      <x:c r="I1091" s="10" t="n">
        <x:v>69.95</x:v>
      </x:c>
      <x:c r="J1091" s="10" t="n">
        <x:v>6.99</x:v>
      </x:c>
      <x:c r="K1091" s="10" t="n">
        <x:v>28</x:v>
      </x:c>
      <x:c r="L1091" s="10" t="n">
        <x:f>G1091*I1091</x:f>
        <x:v>69.95</x:v>
      </x:c>
      <x:c r="M1091" s="10" t="n">
        <x:f>ROUND((L1091-J1091)*H1091/G1091,2)</x:f>
        <x:v>0</x:v>
      </x:c>
      <x:c r="N1091" s="10" t="n">
        <x:f>L1091-J1091-M1091</x:f>
        <x:v>62.96</x:v>
      </x:c>
      <x:c r="O1091" s="10" t="n">
        <x:f>(G1091-H1091)*K1091</x:f>
        <x:v>28</x:v>
      </x:c>
      <x:c r="P1091" s="10" t="n">
        <x:f>N1091-O1091</x:f>
        <x:v>34.96</x:v>
      </x:c>
      <x:c r="Q1091" s="9" t="n">
        <x:f>A1091-WEEKDAY(A1091,2)+1</x:f>
        <x:v>46307</x:v>
      </x:c>
      <x:c r="R1091" s="2" t="str">
        <x:f>IF(AND(A1091&gt;='Review'!$B$4,A1091&lt;='Review'!$D$4),"Selected","Outside")</x:f>
        <x:v>Selected</x:v>
      </x:c>
    </x:row>
    <x:row r="1092" ht="20" customHeight="1">
      <x:c r="A1092" s="9" t="n">
        <x:v>46307</x:v>
      </x:c>
      <x:c r="B1092" s="2" t="str">
        <x:v>MM-1793</x:v>
      </x:c>
      <x:c r="C1092" s="2" t="str">
        <x:v>Paid Social</x:v>
      </x:c>
      <x:c r="D1092" s="2" t="str">
        <x:v>APP-001</x:v>
      </x:c>
      <x:c r="E1092" s="2" t="str">
        <x:f>_xlfn.IFNA(VLOOKUP(D1092,'Products'!$A$7:$I$22,2,FALSE),"Unmapped")</x:f>
        <x:v>Everyday crewneck</x:v>
      </x:c>
      <x:c r="F1092" s="2" t="str">
        <x:f>_xlfn.IFNA(VLOOKUP(D1092,'Products'!$A$7:$I$22,3,FALSE),"Unmapped")</x:f>
        <x:v>Apparel</x:v>
      </x:c>
      <x:c r="G1092" s="2" t="n">
        <x:v>1</x:v>
      </x:c>
      <x:c r="H1092" s="2" t="n">
        <x:v>0</x:v>
      </x:c>
      <x:c r="I1092" s="10" t="n">
        <x:v>54.95</x:v>
      </x:c>
      <x:c r="J1092" s="10" t="n">
        <x:v>0</x:v>
      </x:c>
      <x:c r="K1092" s="10" t="n">
        <x:v>22</x:v>
      </x:c>
      <x:c r="L1092" s="10" t="n">
        <x:f>G1092*I1092</x:f>
        <x:v>54.95</x:v>
      </x:c>
      <x:c r="M1092" s="10" t="n">
        <x:f>ROUND((L1092-J1092)*H1092/G1092,2)</x:f>
        <x:v>0</x:v>
      </x:c>
      <x:c r="N1092" s="10" t="n">
        <x:f>L1092-J1092-M1092</x:f>
        <x:v>54.95</x:v>
      </x:c>
      <x:c r="O1092" s="10" t="n">
        <x:f>(G1092-H1092)*K1092</x:f>
        <x:v>22</x:v>
      </x:c>
      <x:c r="P1092" s="10" t="n">
        <x:f>N1092-O1092</x:f>
        <x:v>32.95</x:v>
      </x:c>
      <x:c r="Q1092" s="9" t="n">
        <x:f>A1092-WEEKDAY(A1092,2)+1</x:f>
        <x:v>46307</x:v>
      </x:c>
      <x:c r="R1092" s="2" t="str">
        <x:f>IF(AND(A1092&gt;='Review'!$B$4,A1092&lt;='Review'!$D$4),"Selected","Outside")</x:f>
        <x:v>Selected</x:v>
      </x:c>
    </x:row>
    <x:row r="1093" ht="20" customHeight="1">
      <x:c r="A1093" s="9" t="n">
        <x:v>46307</x:v>
      </x:c>
      <x:c r="B1093" s="2" t="str">
        <x:v>MM-1779</x:v>
      </x:c>
      <x:c r="C1093" s="2" t="str">
        <x:v>Organic Search</x:v>
      </x:c>
      <x:c r="D1093" s="2" t="str">
        <x:v>KEY-001</x:v>
      </x:c>
      <x:c r="E1093" s="2" t="str">
        <x:f>_xlfn.IFNA(VLOOKUP(D1093,'Products'!$A$7:$I$22,2,FALSE),"Unmapped")</x:f>
        <x:v>Maple keyring</x:v>
      </x:c>
      <x:c r="F1093" s="2" t="str">
        <x:f>_xlfn.IFNA(VLOOKUP(D1093,'Products'!$A$7:$I$22,3,FALSE),"Unmapped")</x:f>
        <x:v>Accessories</x:v>
      </x:c>
      <x:c r="G1093" s="2" t="n">
        <x:v>3</x:v>
      </x:c>
      <x:c r="H1093" s="2" t="n">
        <x:v>0</x:v>
      </x:c>
      <x:c r="I1093" s="10" t="n">
        <x:v>12.95</x:v>
      </x:c>
      <x:c r="J1093" s="10" t="n">
        <x:v>3.88</x:v>
      </x:c>
      <x:c r="K1093" s="10" t="n">
        <x:v>3.5</x:v>
      </x:c>
      <x:c r="L1093" s="10" t="n">
        <x:f>G1093*I1093</x:f>
        <x:v>38.849999999999994</x:v>
      </x:c>
      <x:c r="M1093" s="10" t="n">
        <x:f>ROUND((L1093-J1093)*H1093/G1093,2)</x:f>
        <x:v>0</x:v>
      </x:c>
      <x:c r="N1093" s="10" t="n">
        <x:f>L1093-J1093-M1093</x:f>
        <x:v>34.96999999999999</x:v>
      </x:c>
      <x:c r="O1093" s="10" t="n">
        <x:f>(G1093-H1093)*K1093</x:f>
        <x:v>10.5</x:v>
      </x:c>
      <x:c r="P1093" s="10" t="n">
        <x:f>N1093-O1093</x:f>
        <x:v>24.46999999999999</x:v>
      </x:c>
      <x:c r="Q1093" s="9" t="n">
        <x:f>A1093-WEEKDAY(A1093,2)+1</x:f>
        <x:v>46307</x:v>
      </x:c>
      <x:c r="R1093" s="2" t="str">
        <x:f>IF(AND(A1093&gt;='Review'!$B$4,A1093&lt;='Review'!$D$4),"Selected","Outside")</x:f>
        <x:v>Selected</x:v>
      </x:c>
    </x:row>
    <x:row r="1094" ht="20" customHeight="1">
      <x:c r="A1094" s="9" t="n">
        <x:v>46307</x:v>
      </x:c>
      <x:c r="B1094" s="2" t="str">
        <x:v>MM-1778</x:v>
      </x:c>
      <x:c r="C1094" s="2" t="str">
        <x:v>Paid Social</x:v>
      </x:c>
      <x:c r="D1094" s="2" t="str">
        <x:v>APP-001</x:v>
      </x:c>
      <x:c r="E1094" s="2" t="str">
        <x:f>_xlfn.IFNA(VLOOKUP(D1094,'Products'!$A$7:$I$22,2,FALSE),"Unmapped")</x:f>
        <x:v>Everyday crewneck</x:v>
      </x:c>
      <x:c r="F1094" s="2" t="str">
        <x:f>_xlfn.IFNA(VLOOKUP(D1094,'Products'!$A$7:$I$22,3,FALSE),"Unmapped")</x:f>
        <x:v>Apparel</x:v>
      </x:c>
      <x:c r="G1094" s="2" t="n">
        <x:v>1</x:v>
      </x:c>
      <x:c r="H1094" s="2" t="n">
        <x:v>0</x:v>
      </x:c>
      <x:c r="I1094" s="10" t="n">
        <x:v>54.95</x:v>
      </x:c>
      <x:c r="J1094" s="10" t="n">
        <x:v>0</x:v>
      </x:c>
      <x:c r="K1094" s="10" t="n">
        <x:v>22</x:v>
      </x:c>
      <x:c r="L1094" s="10" t="n">
        <x:f>G1094*I1094</x:f>
        <x:v>54.95</x:v>
      </x:c>
      <x:c r="M1094" s="10" t="n">
        <x:f>ROUND((L1094-J1094)*H1094/G1094,2)</x:f>
        <x:v>0</x:v>
      </x:c>
      <x:c r="N1094" s="10" t="n">
        <x:f>L1094-J1094-M1094</x:f>
        <x:v>54.95</x:v>
      </x:c>
      <x:c r="O1094" s="10" t="n">
        <x:f>(G1094-H1094)*K1094</x:f>
        <x:v>22</x:v>
      </x:c>
      <x:c r="P1094" s="10" t="n">
        <x:f>N1094-O1094</x:f>
        <x:v>32.95</x:v>
      </x:c>
      <x:c r="Q1094" s="9" t="n">
        <x:f>A1094-WEEKDAY(A1094,2)+1</x:f>
        <x:v>46307</x:v>
      </x:c>
      <x:c r="R1094" s="2" t="str">
        <x:f>IF(AND(A1094&gt;='Review'!$B$4,A1094&lt;='Review'!$D$4),"Selected","Outside")</x:f>
        <x:v>Selected</x:v>
      </x:c>
    </x:row>
    <x:row r="1095" ht="20" customHeight="1">
      <x:c r="A1095" s="9" t="n">
        <x:v>46307</x:v>
      </x:c>
      <x:c r="B1095" s="2" t="str">
        <x:v>MM-1780</x:v>
      </x:c>
      <x:c r="C1095" s="2" t="str">
        <x:v>Direct</x:v>
      </x:c>
      <x:c r="D1095" s="2" t="str">
        <x:v>TUM-001</x:v>
      </x:c>
      <x:c r="E1095" s="2" t="str">
        <x:f>_xlfn.IFNA(VLOOKUP(D1095,'Products'!$A$7:$I$22,2,FALSE),"Unmapped")</x:f>
        <x:v>Maple travel tumbler</x:v>
      </x:c>
      <x:c r="F1095" s="2" t="str">
        <x:f>_xlfn.IFNA(VLOOKUP(D1095,'Products'!$A$7:$I$22,3,FALSE),"Unmapped")</x:f>
        <x:v>Drinkware</x:v>
      </x:c>
      <x:c r="G1095" s="2" t="n">
        <x:v>1</x:v>
      </x:c>
      <x:c r="H1095" s="2" t="n">
        <x:v>0</x:v>
      </x:c>
      <x:c r="I1095" s="10" t="n">
        <x:v>32.95</x:v>
      </x:c>
      <x:c r="J1095" s="10" t="n">
        <x:v>0</x:v>
      </x:c>
      <x:c r="K1095" s="10" t="n">
        <x:v>12</x:v>
      </x:c>
      <x:c r="L1095" s="10" t="n">
        <x:f>G1095*I1095</x:f>
        <x:v>32.95</x:v>
      </x:c>
      <x:c r="M1095" s="10" t="n">
        <x:f>ROUND((L1095-J1095)*H1095/G1095,2)</x:f>
        <x:v>0</x:v>
      </x:c>
      <x:c r="N1095" s="10" t="n">
        <x:f>L1095-J1095-M1095</x:f>
        <x:v>32.95</x:v>
      </x:c>
      <x:c r="O1095" s="10" t="n">
        <x:f>(G1095-H1095)*K1095</x:f>
        <x:v>12</x:v>
      </x:c>
      <x:c r="P1095" s="10" t="n">
        <x:f>N1095-O1095</x:f>
        <x:v>20.950000000000003</x:v>
      </x:c>
      <x:c r="Q1095" s="9" t="n">
        <x:f>A1095-WEEKDAY(A1095,2)+1</x:f>
        <x:v>46307</x:v>
      </x:c>
      <x:c r="R1095" s="2" t="str">
        <x:f>IF(AND(A1095&gt;='Review'!$B$4,A1095&lt;='Review'!$D$4),"Selected","Outside")</x:f>
        <x:v>Selected</x:v>
      </x:c>
    </x:row>
    <x:row r="1096" ht="20" customHeight="1">
      <x:c r="A1096" s="9" t="n">
        <x:v>46307</x:v>
      </x:c>
      <x:c r="B1096" s="2" t="str">
        <x:v>MM-1784</x:v>
      </x:c>
      <x:c r="C1096" s="2" t="str">
        <x:v>Paid Social</x:v>
      </x:c>
      <x:c r="D1096" s="2" t="str">
        <x:v>TOTE-001</x:v>
      </x:c>
      <x:c r="E1096" s="2" t="str">
        <x:f>_xlfn.IFNA(VLOOKUP(D1096,'Products'!$A$7:$I$22,2,FALSE),"Unmapped")</x:f>
        <x:v>Market canvas tote</x:v>
      </x:c>
      <x:c r="F1096" s="2" t="str">
        <x:f>_xlfn.IFNA(VLOOKUP(D1096,'Products'!$A$7:$I$22,3,FALSE),"Unmapped")</x:f>
        <x:v>Accessories</x:v>
      </x:c>
      <x:c r="G1096" s="2" t="n">
        <x:v>1</x:v>
      </x:c>
      <x:c r="H1096" s="2" t="n">
        <x:v>0</x:v>
      </x:c>
      <x:c r="I1096" s="10" t="n">
        <x:v>19.95</x:v>
      </x:c>
      <x:c r="J1096" s="10" t="n">
        <x:v>1.99</x:v>
      </x:c>
      <x:c r="K1096" s="10" t="n">
        <x:v>6</x:v>
      </x:c>
      <x:c r="L1096" s="10" t="n">
        <x:f>G1096*I1096</x:f>
        <x:v>19.95</x:v>
      </x:c>
      <x:c r="M1096" s="10" t="n">
        <x:f>ROUND((L1096-J1096)*H1096/G1096,2)</x:f>
        <x:v>0</x:v>
      </x:c>
      <x:c r="N1096" s="10" t="n">
        <x:f>L1096-J1096-M1096</x:f>
        <x:v>17.96</x:v>
      </x:c>
      <x:c r="O1096" s="10" t="n">
        <x:f>(G1096-H1096)*K1096</x:f>
        <x:v>6</x:v>
      </x:c>
      <x:c r="P1096" s="10" t="n">
        <x:f>N1096-O1096</x:f>
        <x:v>11.96</x:v>
      </x:c>
      <x:c r="Q1096" s="9" t="n">
        <x:f>A1096-WEEKDAY(A1096,2)+1</x:f>
        <x:v>46307</x:v>
      </x:c>
      <x:c r="R1096" s="2" t="str">
        <x:f>IF(AND(A1096&gt;='Review'!$B$4,A1096&lt;='Review'!$D$4),"Selected","Outside")</x:f>
        <x:v>Selected</x:v>
      </x:c>
    </x:row>
    <x:row r="1097" ht="20" customHeight="1">
      <x:c r="A1097" s="9" t="n">
        <x:v>46307</x:v>
      </x:c>
      <x:c r="B1097" s="2" t="str">
        <x:v>MM-1784</x:v>
      </x:c>
      <x:c r="C1097" s="2" t="str">
        <x:v>Paid Social</x:v>
      </x:c>
      <x:c r="D1097" s="2" t="str">
        <x:v>GFT-002</x:v>
      </x:c>
      <x:c r="E1097" s="2" t="str">
        <x:f>_xlfn.IFNA(VLOOKUP(D1097,'Products'!$A$7:$I$22,2,FALSE),"Unmapped")</x:f>
        <x:v>Cozy weekend gift box</x:v>
      </x:c>
      <x:c r="F1097" s="2" t="str">
        <x:f>_xlfn.IFNA(VLOOKUP(D1097,'Products'!$A$7:$I$22,3,FALSE),"Unmapped")</x:f>
        <x:v>Gifts</x:v>
      </x:c>
      <x:c r="G1097" s="2" t="n">
        <x:v>1</x:v>
      </x:c>
      <x:c r="H1097" s="2" t="n">
        <x:v>0</x:v>
      </x:c>
      <x:c r="I1097" s="10" t="n">
        <x:v>79.95</x:v>
      </x:c>
      <x:c r="J1097" s="10" t="n">
        <x:v>0</x:v>
      </x:c>
      <x:c r="K1097" s="10" t="n">
        <x:v>32</x:v>
      </x:c>
      <x:c r="L1097" s="10" t="n">
        <x:f>G1097*I1097</x:f>
        <x:v>79.95</x:v>
      </x:c>
      <x:c r="M1097" s="10" t="n">
        <x:f>ROUND((L1097-J1097)*H1097/G1097,2)</x:f>
        <x:v>0</x:v>
      </x:c>
      <x:c r="N1097" s="10" t="n">
        <x:f>L1097-J1097-M1097</x:f>
        <x:v>79.95</x:v>
      </x:c>
      <x:c r="O1097" s="10" t="n">
        <x:f>(G1097-H1097)*K1097</x:f>
        <x:v>32</x:v>
      </x:c>
      <x:c r="P1097" s="10" t="n">
        <x:f>N1097-O1097</x:f>
        <x:v>47.95</x:v>
      </x:c>
      <x:c r="Q1097" s="9" t="n">
        <x:f>A1097-WEEKDAY(A1097,2)+1</x:f>
        <x:v>46307</x:v>
      </x:c>
      <x:c r="R1097" s="2" t="str">
        <x:f>IF(AND(A1097&gt;='Review'!$B$4,A1097&lt;='Review'!$D$4),"Selected","Outside")</x:f>
        <x:v>Selected</x:v>
      </x:c>
    </x:row>
    <x:row r="1098" ht="20" customHeight="1">
      <x:c r="A1098" s="9" t="n">
        <x:v>46307</x:v>
      </x:c>
      <x:c r="B1098" s="2" t="str">
        <x:v>MM-1785</x:v>
      </x:c>
      <x:c r="C1098" s="2" t="str">
        <x:v>Organic Search</x:v>
      </x:c>
      <x:c r="D1098" s="2" t="str">
        <x:v>KEY-001</x:v>
      </x:c>
      <x:c r="E1098" s="2" t="str">
        <x:f>_xlfn.IFNA(VLOOKUP(D1098,'Products'!$A$7:$I$22,2,FALSE),"Unmapped")</x:f>
        <x:v>Maple keyring</x:v>
      </x:c>
      <x:c r="F1098" s="2" t="str">
        <x:f>_xlfn.IFNA(VLOOKUP(D1098,'Products'!$A$7:$I$22,3,FALSE),"Unmapped")</x:f>
        <x:v>Accessories</x:v>
      </x:c>
      <x:c r="G1098" s="2" t="n">
        <x:v>1</x:v>
      </x:c>
      <x:c r="H1098" s="2" t="n">
        <x:v>0</x:v>
      </x:c>
      <x:c r="I1098" s="10" t="n">
        <x:v>12.95</x:v>
      </x:c>
      <x:c r="J1098" s="10" t="n">
        <x:v>1.29</x:v>
      </x:c>
      <x:c r="K1098" s="10" t="n">
        <x:v>3.5</x:v>
      </x:c>
      <x:c r="L1098" s="10" t="n">
        <x:f>G1098*I1098</x:f>
        <x:v>12.95</x:v>
      </x:c>
      <x:c r="M1098" s="10" t="n">
        <x:f>ROUND((L1098-J1098)*H1098/G1098,2)</x:f>
        <x:v>0</x:v>
      </x:c>
      <x:c r="N1098" s="10" t="n">
        <x:f>L1098-J1098-M1098</x:f>
        <x:v>11.66</x:v>
      </x:c>
      <x:c r="O1098" s="10" t="n">
        <x:f>(G1098-H1098)*K1098</x:f>
        <x:v>3.5</x:v>
      </x:c>
      <x:c r="P1098" s="10" t="n">
        <x:f>N1098-O1098</x:f>
        <x:v>8.16</x:v>
      </x:c>
      <x:c r="Q1098" s="9" t="n">
        <x:f>A1098-WEEKDAY(A1098,2)+1</x:f>
        <x:v>46307</x:v>
      </x:c>
      <x:c r="R1098" s="2" t="str">
        <x:f>IF(AND(A1098&gt;='Review'!$B$4,A1098&lt;='Review'!$D$4),"Selected","Outside")</x:f>
        <x:v>Selected</x:v>
      </x:c>
    </x:row>
    <x:row r="1099" ht="20" customHeight="1">
      <x:c r="A1099" s="9" t="n">
        <x:v>46307</x:v>
      </x:c>
      <x:c r="B1099" s="2" t="str">
        <x:v>MM-1783</x:v>
      </x:c>
      <x:c r="C1099" s="2" t="str">
        <x:v>Direct</x:v>
      </x:c>
      <x:c r="D1099" s="2" t="str">
        <x:v>APP-002</x:v>
      </x:c>
      <x:c r="E1099" s="2" t="str">
        <x:f>_xlfn.IFNA(VLOOKUP(D1099,'Products'!$A$7:$I$22,2,FALSE),"Unmapped")</x:f>
        <x:v>Weekend hoodie</x:v>
      </x:c>
      <x:c r="F1099" s="2" t="str">
        <x:f>_xlfn.IFNA(VLOOKUP(D1099,'Products'!$A$7:$I$22,3,FALSE),"Unmapped")</x:f>
        <x:v>Apparel</x:v>
      </x:c>
      <x:c r="G1099" s="2" t="n">
        <x:v>1</x:v>
      </x:c>
      <x:c r="H1099" s="2" t="n">
        <x:v>0</x:v>
      </x:c>
      <x:c r="I1099" s="10" t="n">
        <x:v>69.95</x:v>
      </x:c>
      <x:c r="J1099" s="10" t="n">
        <x:v>0</x:v>
      </x:c>
      <x:c r="K1099" s="10" t="n">
        <x:v>28</x:v>
      </x:c>
      <x:c r="L1099" s="10" t="n">
        <x:f>G1099*I1099</x:f>
        <x:v>69.95</x:v>
      </x:c>
      <x:c r="M1099" s="10" t="n">
        <x:f>ROUND((L1099-J1099)*H1099/G1099,2)</x:f>
        <x:v>0</x:v>
      </x:c>
      <x:c r="N1099" s="10" t="n">
        <x:f>L1099-J1099-M1099</x:f>
        <x:v>69.95</x:v>
      </x:c>
      <x:c r="O1099" s="10" t="n">
        <x:f>(G1099-H1099)*K1099</x:f>
        <x:v>28</x:v>
      </x:c>
      <x:c r="P1099" s="10" t="n">
        <x:f>N1099-O1099</x:f>
        <x:v>41.95</x:v>
      </x:c>
      <x:c r="Q1099" s="9" t="n">
        <x:f>A1099-WEEKDAY(A1099,2)+1</x:f>
        <x:v>46307</x:v>
      </x:c>
      <x:c r="R1099" s="2" t="str">
        <x:f>IF(AND(A1099&gt;='Review'!$B$4,A1099&lt;='Review'!$D$4),"Selected","Outside")</x:f>
        <x:v>Selected</x:v>
      </x:c>
    </x:row>
    <x:row r="1100" ht="20" customHeight="1">
      <x:c r="A1100" s="9" t="n">
        <x:v>46307</x:v>
      </x:c>
      <x:c r="B1100" s="2" t="str">
        <x:v>MM-1783</x:v>
      </x:c>
      <x:c r="C1100" s="2" t="str">
        <x:v>Direct</x:v>
      </x:c>
      <x:c r="D1100" s="2" t="str">
        <x:v>HAT-001</x:v>
      </x:c>
      <x:c r="E1100" s="2" t="str">
        <x:f>_xlfn.IFNA(VLOOKUP(D1100,'Products'!$A$7:$I$22,2,FALSE),"Unmapped")</x:f>
        <x:v>Classic canvas cap</x:v>
      </x:c>
      <x:c r="F1100" s="2" t="str">
        <x:f>_xlfn.IFNA(VLOOKUP(D1100,'Products'!$A$7:$I$22,3,FALSE),"Unmapped")</x:f>
        <x:v>Accessories</x:v>
      </x:c>
      <x:c r="G1100" s="2" t="n">
        <x:v>3</x:v>
      </x:c>
      <x:c r="H1100" s="2" t="n">
        <x:v>0</x:v>
      </x:c>
      <x:c r="I1100" s="10" t="n">
        <x:v>24.95</x:v>
      </x:c>
      <x:c r="J1100" s="10" t="n">
        <x:v>0</x:v>
      </x:c>
      <x:c r="K1100" s="10" t="n">
        <x:v>8.5</x:v>
      </x:c>
      <x:c r="L1100" s="10" t="n">
        <x:f>G1100*I1100</x:f>
        <x:v>74.85</x:v>
      </x:c>
      <x:c r="M1100" s="10" t="n">
        <x:f>ROUND((L1100-J1100)*H1100/G1100,2)</x:f>
        <x:v>0</x:v>
      </x:c>
      <x:c r="N1100" s="10" t="n">
        <x:f>L1100-J1100-M1100</x:f>
        <x:v>74.85</x:v>
      </x:c>
      <x:c r="O1100" s="10" t="n">
        <x:f>(G1100-H1100)*K1100</x:f>
        <x:v>25.5</x:v>
      </x:c>
      <x:c r="P1100" s="10" t="n">
        <x:f>N1100-O1100</x:f>
        <x:v>49.349999999999994</x:v>
      </x:c>
      <x:c r="Q1100" s="9" t="n">
        <x:f>A1100-WEEKDAY(A1100,2)+1</x:f>
        <x:v>46307</x:v>
      </x:c>
      <x:c r="R1100" s="2" t="str">
        <x:f>IF(AND(A1100&gt;='Review'!$B$4,A1100&lt;='Review'!$D$4),"Selected","Outside")</x:f>
        <x:v>Selected</x:v>
      </x:c>
    </x:row>
    <x:row r="1101" ht="20" customHeight="1">
      <x:c r="A1101" s="9" t="n">
        <x:v>46307</x:v>
      </x:c>
      <x:c r="B1101" s="2" t="str">
        <x:v>MM-1787</x:v>
      </x:c>
      <x:c r="C1101" s="2" t="str">
        <x:v>Organic Search</x:v>
      </x:c>
      <x:c r="D1101" s="2" t="str">
        <x:v>HAT-001</x:v>
      </x:c>
      <x:c r="E1101" s="2" t="str">
        <x:f>_xlfn.IFNA(VLOOKUP(D1101,'Products'!$A$7:$I$22,2,FALSE),"Unmapped")</x:f>
        <x:v>Classic canvas cap</x:v>
      </x:c>
      <x:c r="F1101" s="2" t="str">
        <x:f>_xlfn.IFNA(VLOOKUP(D1101,'Products'!$A$7:$I$22,3,FALSE),"Unmapped")</x:f>
        <x:v>Accessories</x:v>
      </x:c>
      <x:c r="G1101" s="2" t="n">
        <x:v>1</x:v>
      </x:c>
      <x:c r="H1101" s="2" t="n">
        <x:v>0</x:v>
      </x:c>
      <x:c r="I1101" s="10" t="n">
        <x:v>24.95</x:v>
      </x:c>
      <x:c r="J1101" s="10" t="n">
        <x:v>0</x:v>
      </x:c>
      <x:c r="K1101" s="10" t="n">
        <x:v>8.5</x:v>
      </x:c>
      <x:c r="L1101" s="10" t="n">
        <x:f>G1101*I1101</x:f>
        <x:v>24.95</x:v>
      </x:c>
      <x:c r="M1101" s="10" t="n">
        <x:f>ROUND((L1101-J1101)*H1101/G1101,2)</x:f>
        <x:v>0</x:v>
      </x:c>
      <x:c r="N1101" s="10" t="n">
        <x:f>L1101-J1101-M1101</x:f>
        <x:v>24.95</x:v>
      </x:c>
      <x:c r="O1101" s="10" t="n">
        <x:f>(G1101-H1101)*K1101</x:f>
        <x:v>8.5</x:v>
      </x:c>
      <x:c r="P1101" s="10" t="n">
        <x:f>N1101-O1101</x:f>
        <x:v>16.45</x:v>
      </x:c>
      <x:c r="Q1101" s="9" t="n">
        <x:f>A1101-WEEKDAY(A1101,2)+1</x:f>
        <x:v>46307</x:v>
      </x:c>
      <x:c r="R1101" s="2" t="str">
        <x:f>IF(AND(A1101&gt;='Review'!$B$4,A1101&lt;='Review'!$D$4),"Selected","Outside")</x:f>
        <x:v>Selected</x:v>
      </x:c>
    </x:row>
    <x:row r="1102" ht="20" customHeight="1">
      <x:c r="A1102" s="9" t="n">
        <x:v>46307</x:v>
      </x:c>
      <x:c r="B1102" s="2" t="str">
        <x:v>MM-1775</x:v>
      </x:c>
      <x:c r="C1102" s="2" t="str">
        <x:v>Direct</x:v>
      </x:c>
      <x:c r="D1102" s="2" t="str">
        <x:v>GFT-002</x:v>
      </x:c>
      <x:c r="E1102" s="2" t="str">
        <x:f>_xlfn.IFNA(VLOOKUP(D1102,'Products'!$A$7:$I$22,2,FALSE),"Unmapped")</x:f>
        <x:v>Cozy weekend gift box</x:v>
      </x:c>
      <x:c r="F1102" s="2" t="str">
        <x:f>_xlfn.IFNA(VLOOKUP(D1102,'Products'!$A$7:$I$22,3,FALSE),"Unmapped")</x:f>
        <x:v>Gifts</x:v>
      </x:c>
      <x:c r="G1102" s="2" t="n">
        <x:v>1</x:v>
      </x:c>
      <x:c r="H1102" s="2" t="n">
        <x:v>0</x:v>
      </x:c>
      <x:c r="I1102" s="10" t="n">
        <x:v>79.95</x:v>
      </x:c>
      <x:c r="J1102" s="10" t="n">
        <x:v>0</x:v>
      </x:c>
      <x:c r="K1102" s="10" t="n">
        <x:v>32</x:v>
      </x:c>
      <x:c r="L1102" s="10" t="n">
        <x:f>G1102*I1102</x:f>
        <x:v>79.95</x:v>
      </x:c>
      <x:c r="M1102" s="10" t="n">
        <x:f>ROUND((L1102-J1102)*H1102/G1102,2)</x:f>
        <x:v>0</x:v>
      </x:c>
      <x:c r="N1102" s="10" t="n">
        <x:f>L1102-J1102-M1102</x:f>
        <x:v>79.95</x:v>
      </x:c>
      <x:c r="O1102" s="10" t="n">
        <x:f>(G1102-H1102)*K1102</x:f>
        <x:v>32</x:v>
      </x:c>
      <x:c r="P1102" s="10" t="n">
        <x:f>N1102-O1102</x:f>
        <x:v>47.95</x:v>
      </x:c>
      <x:c r="Q1102" s="9" t="n">
        <x:f>A1102-WEEKDAY(A1102,2)+1</x:f>
        <x:v>46307</x:v>
      </x:c>
      <x:c r="R1102" s="2" t="str">
        <x:f>IF(AND(A1102&gt;='Review'!$B$4,A1102&lt;='Review'!$D$4),"Selected","Outside")</x:f>
        <x:v>Selected</x:v>
      </x:c>
    </x:row>
    <x:row r="1103" ht="20" customHeight="1">
      <x:c r="A1103" s="9" t="n">
        <x:v>46307</x:v>
      </x:c>
      <x:c r="B1103" s="2" t="str">
        <x:v>MM-1791</x:v>
      </x:c>
      <x:c r="C1103" s="2" t="str">
        <x:v>Paid Social</x:v>
      </x:c>
      <x:c r="D1103" s="2" t="str">
        <x:v>TUM-002</x:v>
      </x:c>
      <x:c r="E1103" s="2" t="str">
        <x:f>_xlfn.IFNA(VLOOKUP(D1103,'Products'!$A$7:$I$22,2,FALSE),"Unmapped")</x:f>
        <x:v>Cold brew glass cup</x:v>
      </x:c>
      <x:c r="F1103" s="2" t="str">
        <x:f>_xlfn.IFNA(VLOOKUP(D1103,'Products'!$A$7:$I$22,3,FALSE),"Unmapped")</x:f>
        <x:v>Drinkware</x:v>
      </x:c>
      <x:c r="G1103" s="2" t="n">
        <x:v>1</x:v>
      </x:c>
      <x:c r="H1103" s="2" t="n">
        <x:v>1</x:v>
      </x:c>
      <x:c r="I1103" s="10" t="n">
        <x:v>24.95</x:v>
      </x:c>
      <x:c r="J1103" s="10" t="n">
        <x:v>0</x:v>
      </x:c>
      <x:c r="K1103" s="10" t="n">
        <x:v>9</x:v>
      </x:c>
      <x:c r="L1103" s="10" t="n">
        <x:f>G1103*I1103</x:f>
        <x:v>24.95</x:v>
      </x:c>
      <x:c r="M1103" s="10" t="n">
        <x:f>ROUND((L1103-J1103)*H1103/G1103,2)</x:f>
        <x:v>24.95</x:v>
      </x:c>
      <x:c r="N1103" s="10" t="n">
        <x:f>L1103-J1103-M1103</x:f>
        <x:v>0</x:v>
      </x:c>
      <x:c r="O1103" s="10" t="n">
        <x:f>(G1103-H1103)*K1103</x:f>
        <x:v>0</x:v>
      </x:c>
      <x:c r="P1103" s="10" t="n">
        <x:f>N1103-O1103</x:f>
        <x:v>0</x:v>
      </x:c>
      <x:c r="Q1103" s="9" t="n">
        <x:f>A1103-WEEKDAY(A1103,2)+1</x:f>
        <x:v>46307</x:v>
      </x:c>
      <x:c r="R1103" s="2" t="str">
        <x:f>IF(AND(A1103&gt;='Review'!$B$4,A1103&lt;='Review'!$D$4),"Selected","Outside")</x:f>
        <x:v>Selected</x:v>
      </x:c>
    </x:row>
    <x:row r="1104" ht="20" customHeight="1">
      <x:c r="A1104" s="9" t="n">
        <x:v>46307</x:v>
      </x:c>
      <x:c r="B1104" s="2" t="str">
        <x:v>MM-1791</x:v>
      </x:c>
      <x:c r="C1104" s="2" t="str">
        <x:v>Paid Social</x:v>
      </x:c>
      <x:c r="D1104" s="2" t="str">
        <x:v>APP-002</x:v>
      </x:c>
      <x:c r="E1104" s="2" t="str">
        <x:f>_xlfn.IFNA(VLOOKUP(D1104,'Products'!$A$7:$I$22,2,FALSE),"Unmapped")</x:f>
        <x:v>Weekend hoodie</x:v>
      </x:c>
      <x:c r="F1104" s="2" t="str">
        <x:f>_xlfn.IFNA(VLOOKUP(D1104,'Products'!$A$7:$I$22,3,FALSE),"Unmapped")</x:f>
        <x:v>Apparel</x:v>
      </x:c>
      <x:c r="G1104" s="2" t="n">
        <x:v>1</x:v>
      </x:c>
      <x:c r="H1104" s="2" t="n">
        <x:v>0</x:v>
      </x:c>
      <x:c r="I1104" s="10" t="n">
        <x:v>69.95</x:v>
      </x:c>
      <x:c r="J1104" s="10" t="n">
        <x:v>0</x:v>
      </x:c>
      <x:c r="K1104" s="10" t="n">
        <x:v>28</x:v>
      </x:c>
      <x:c r="L1104" s="10" t="n">
        <x:f>G1104*I1104</x:f>
        <x:v>69.95</x:v>
      </x:c>
      <x:c r="M1104" s="10" t="n">
        <x:f>ROUND((L1104-J1104)*H1104/G1104,2)</x:f>
        <x:v>0</x:v>
      </x:c>
      <x:c r="N1104" s="10" t="n">
        <x:f>L1104-J1104-M1104</x:f>
        <x:v>69.95</x:v>
      </x:c>
      <x:c r="O1104" s="10" t="n">
        <x:f>(G1104-H1104)*K1104</x:f>
        <x:v>28</x:v>
      </x:c>
      <x:c r="P1104" s="10" t="n">
        <x:f>N1104-O1104</x:f>
        <x:v>41.95</x:v>
      </x:c>
      <x:c r="Q1104" s="9" t="n">
        <x:f>A1104-WEEKDAY(A1104,2)+1</x:f>
        <x:v>46307</x:v>
      </x:c>
      <x:c r="R1104" s="2" t="str">
        <x:f>IF(AND(A1104&gt;='Review'!$B$4,A1104&lt;='Review'!$D$4),"Selected","Outside")</x:f>
        <x:v>Selected</x:v>
      </x:c>
    </x:row>
    <x:row r="1105" ht="20" customHeight="1">
      <x:c r="A1105" s="9" t="n">
        <x:v>46307</x:v>
      </x:c>
      <x:c r="B1105" s="2" t="str">
        <x:v>MM-1791</x:v>
      </x:c>
      <x:c r="C1105" s="2" t="str">
        <x:v>Paid Social</x:v>
      </x:c>
      <x:c r="D1105" s="2" t="str">
        <x:v>TUM-001</x:v>
      </x:c>
      <x:c r="E1105" s="2" t="str">
        <x:f>_xlfn.IFNA(VLOOKUP(D1105,'Products'!$A$7:$I$22,2,FALSE),"Unmapped")</x:f>
        <x:v>Maple travel tumbler</x:v>
      </x:c>
      <x:c r="F1105" s="2" t="str">
        <x:f>_xlfn.IFNA(VLOOKUP(D1105,'Products'!$A$7:$I$22,3,FALSE),"Unmapped")</x:f>
        <x:v>Drinkware</x:v>
      </x:c>
      <x:c r="G1105" s="2" t="n">
        <x:v>1</x:v>
      </x:c>
      <x:c r="H1105" s="2" t="n">
        <x:v>1</x:v>
      </x:c>
      <x:c r="I1105" s="10" t="n">
        <x:v>32.95</x:v>
      </x:c>
      <x:c r="J1105" s="10" t="n">
        <x:v>0</x:v>
      </x:c>
      <x:c r="K1105" s="10" t="n">
        <x:v>12</x:v>
      </x:c>
      <x:c r="L1105" s="10" t="n">
        <x:f>G1105*I1105</x:f>
        <x:v>32.95</x:v>
      </x:c>
      <x:c r="M1105" s="10" t="n">
        <x:f>ROUND((L1105-J1105)*H1105/G1105,2)</x:f>
        <x:v>32.95</x:v>
      </x:c>
      <x:c r="N1105" s="10" t="n">
        <x:f>L1105-J1105-M1105</x:f>
        <x:v>0</x:v>
      </x:c>
      <x:c r="O1105" s="10" t="n">
        <x:f>(G1105-H1105)*K1105</x:f>
        <x:v>0</x:v>
      </x:c>
      <x:c r="P1105" s="10" t="n">
        <x:f>N1105-O1105</x:f>
        <x:v>0</x:v>
      </x:c>
      <x:c r="Q1105" s="9" t="n">
        <x:f>A1105-WEEKDAY(A1105,2)+1</x:f>
        <x:v>46307</x:v>
      </x:c>
      <x:c r="R1105" s="2" t="str">
        <x:f>IF(AND(A1105&gt;='Review'!$B$4,A1105&lt;='Review'!$D$4),"Selected","Outside")</x:f>
        <x:v>Selected</x:v>
      </x:c>
    </x:row>
    <x:row r="1106" ht="20" customHeight="1">
      <x:c r="A1106" s="9" t="n">
        <x:v>46307</x:v>
      </x:c>
      <x:c r="B1106" s="2" t="str">
        <x:v>MM-1774</x:v>
      </x:c>
      <x:c r="C1106" s="2" t="str">
        <x:v>Organic Search</x:v>
      </x:c>
      <x:c r="D1106" s="2" t="str">
        <x:v>TUM-001</x:v>
      </x:c>
      <x:c r="E1106" s="2" t="str">
        <x:f>_xlfn.IFNA(VLOOKUP(D1106,'Products'!$A$7:$I$22,2,FALSE),"Unmapped")</x:f>
        <x:v>Maple travel tumbler</x:v>
      </x:c>
      <x:c r="F1106" s="2" t="str">
        <x:f>_xlfn.IFNA(VLOOKUP(D1106,'Products'!$A$7:$I$22,3,FALSE),"Unmapped")</x:f>
        <x:v>Drinkware</x:v>
      </x:c>
      <x:c r="G1106" s="2" t="n">
        <x:v>1</x:v>
      </x:c>
      <x:c r="H1106" s="2" t="n">
        <x:v>0</x:v>
      </x:c>
      <x:c r="I1106" s="10" t="n">
        <x:v>32.95</x:v>
      </x:c>
      <x:c r="J1106" s="10" t="n">
        <x:v>0</x:v>
      </x:c>
      <x:c r="K1106" s="10" t="n">
        <x:v>12</x:v>
      </x:c>
      <x:c r="L1106" s="10" t="n">
        <x:f>G1106*I1106</x:f>
        <x:v>32.95</x:v>
      </x:c>
      <x:c r="M1106" s="10" t="n">
        <x:f>ROUND((L1106-J1106)*H1106/G1106,2)</x:f>
        <x:v>0</x:v>
      </x:c>
      <x:c r="N1106" s="10" t="n">
        <x:f>L1106-J1106-M1106</x:f>
        <x:v>32.95</x:v>
      </x:c>
      <x:c r="O1106" s="10" t="n">
        <x:f>(G1106-H1106)*K1106</x:f>
        <x:v>12</x:v>
      </x:c>
      <x:c r="P1106" s="10" t="n">
        <x:f>N1106-O1106</x:f>
        <x:v>20.950000000000003</x:v>
      </x:c>
      <x:c r="Q1106" s="9" t="n">
        <x:f>A1106-WEEKDAY(A1106,2)+1</x:f>
        <x:v>46307</x:v>
      </x:c>
      <x:c r="R1106" s="2" t="str">
        <x:f>IF(AND(A1106&gt;='Review'!$B$4,A1106&lt;='Review'!$D$4),"Selected","Outside")</x:f>
        <x:v>Selected</x:v>
      </x:c>
    </x:row>
    <x:row r="1107" ht="20" customHeight="1">
      <x:c r="A1107" s="9" t="n">
        <x:v>46307</x:v>
      </x:c>
      <x:c r="B1107" s="2" t="str">
        <x:v>MM-1781</x:v>
      </x:c>
      <x:c r="C1107" s="2" t="str">
        <x:v>Paid Social</x:v>
      </x:c>
      <x:c r="D1107" s="2" t="str">
        <x:v>TOTE-001</x:v>
      </x:c>
      <x:c r="E1107" s="2" t="str">
        <x:f>_xlfn.IFNA(VLOOKUP(D1107,'Products'!$A$7:$I$22,2,FALSE),"Unmapped")</x:f>
        <x:v>Market canvas tote</x:v>
      </x:c>
      <x:c r="F1107" s="2" t="str">
        <x:f>_xlfn.IFNA(VLOOKUP(D1107,'Products'!$A$7:$I$22,3,FALSE),"Unmapped")</x:f>
        <x:v>Accessories</x:v>
      </x:c>
      <x:c r="G1107" s="2" t="n">
        <x:v>1</x:v>
      </x:c>
      <x:c r="H1107" s="2" t="n">
        <x:v>0</x:v>
      </x:c>
      <x:c r="I1107" s="10" t="n">
        <x:v>19.95</x:v>
      </x:c>
      <x:c r="J1107" s="10" t="n">
        <x:v>1.99</x:v>
      </x:c>
      <x:c r="K1107" s="10" t="n">
        <x:v>6</x:v>
      </x:c>
      <x:c r="L1107" s="10" t="n">
        <x:f>G1107*I1107</x:f>
        <x:v>19.95</x:v>
      </x:c>
      <x:c r="M1107" s="10" t="n">
        <x:f>ROUND((L1107-J1107)*H1107/G1107,2)</x:f>
        <x:v>0</x:v>
      </x:c>
      <x:c r="N1107" s="10" t="n">
        <x:f>L1107-J1107-M1107</x:f>
        <x:v>17.96</x:v>
      </x:c>
      <x:c r="O1107" s="10" t="n">
        <x:f>(G1107-H1107)*K1107</x:f>
        <x:v>6</x:v>
      </x:c>
      <x:c r="P1107" s="10" t="n">
        <x:f>N1107-O1107</x:f>
        <x:v>11.96</x:v>
      </x:c>
      <x:c r="Q1107" s="9" t="n">
        <x:f>A1107-WEEKDAY(A1107,2)+1</x:f>
        <x:v>46307</x:v>
      </x:c>
      <x:c r="R1107" s="2" t="str">
        <x:f>IF(AND(A1107&gt;='Review'!$B$4,A1107&lt;='Review'!$D$4),"Selected","Outside")</x:f>
        <x:v>Selected</x:v>
      </x:c>
    </x:row>
    <x:row r="1108" ht="20" customHeight="1">
      <x:c r="A1108" s="9" t="n">
        <x:v>46307</x:v>
      </x:c>
      <x:c r="B1108" s="2" t="str">
        <x:v>MM-1781</x:v>
      </x:c>
      <x:c r="C1108" s="2" t="str">
        <x:v>Paid Social</x:v>
      </x:c>
      <x:c r="D1108" s="2" t="str">
        <x:v>PIN-001</x:v>
      </x:c>
      <x:c r="E1108" s="2" t="str">
        <x:f>_xlfn.IFNA(VLOOKUP(D1108,'Products'!$A$7:$I$22,2,FALSE),"Unmapped")</x:f>
        <x:v>Coffee enamel pin</x:v>
      </x:c>
      <x:c r="F1108" s="2" t="str">
        <x:f>_xlfn.IFNA(VLOOKUP(D1108,'Products'!$A$7:$I$22,3,FALSE),"Unmapped")</x:f>
        <x:v>Accessories</x:v>
      </x:c>
      <x:c r="G1108" s="2" t="n">
        <x:v>1</x:v>
      </x:c>
      <x:c r="H1108" s="2" t="n">
        <x:v>0</x:v>
      </x:c>
      <x:c r="I1108" s="10" t="n">
        <x:v>9.95</x:v>
      </x:c>
      <x:c r="J1108" s="10" t="n">
        <x:v>0.99</x:v>
      </x:c>
      <x:c r="K1108" s="10" t="n">
        <x:v>2.5</x:v>
      </x:c>
      <x:c r="L1108" s="10" t="n">
        <x:f>G1108*I1108</x:f>
        <x:v>9.95</x:v>
      </x:c>
      <x:c r="M1108" s="10" t="n">
        <x:f>ROUND((L1108-J1108)*H1108/G1108,2)</x:f>
        <x:v>0</x:v>
      </x:c>
      <x:c r="N1108" s="10" t="n">
        <x:f>L1108-J1108-M1108</x:f>
        <x:v>8.959999999999999</x:v>
      </x:c>
      <x:c r="O1108" s="10" t="n">
        <x:f>(G1108-H1108)*K1108</x:f>
        <x:v>2.5</x:v>
      </x:c>
      <x:c r="P1108" s="10" t="n">
        <x:f>N1108-O1108</x:f>
        <x:v>6.459999999999999</x:v>
      </x:c>
      <x:c r="Q1108" s="9" t="n">
        <x:f>A1108-WEEKDAY(A1108,2)+1</x:f>
        <x:v>46307</x:v>
      </x:c>
      <x:c r="R1108" s="2" t="str">
        <x:f>IF(AND(A1108&gt;='Review'!$B$4,A1108&lt;='Review'!$D$4),"Selected","Outside")</x:f>
        <x:v>Selected</x:v>
      </x:c>
    </x:row>
    <x:row r="1109" ht="20" customHeight="1">
      <x:c r="A1109" s="9" t="n">
        <x:v>46307</x:v>
      </x:c>
      <x:c r="B1109" s="2" t="str">
        <x:v>MM-1781</x:v>
      </x:c>
      <x:c r="C1109" s="2" t="str">
        <x:v>Paid Social</x:v>
      </x:c>
      <x:c r="D1109" s="2" t="str">
        <x:v>APP-003</x:v>
      </x:c>
      <x:c r="E1109" s="2" t="str">
        <x:f>_xlfn.IFNA(VLOOKUP(D1109,'Products'!$A$7:$I$22,2,FALSE),"Unmapped")</x:f>
        <x:v>Coffee club tee</x:v>
      </x:c>
      <x:c r="F1109" s="2" t="str">
        <x:f>_xlfn.IFNA(VLOOKUP(D1109,'Products'!$A$7:$I$22,3,FALSE),"Unmapped")</x:f>
        <x:v>Apparel</x:v>
      </x:c>
      <x:c r="G1109" s="2" t="n">
        <x:v>1</x:v>
      </x:c>
      <x:c r="H1109" s="2" t="n">
        <x:v>0</x:v>
      </x:c>
      <x:c r="I1109" s="10" t="n">
        <x:v>29.95</x:v>
      </x:c>
      <x:c r="J1109" s="10" t="n">
        <x:v>0</x:v>
      </x:c>
      <x:c r="K1109" s="10" t="n">
        <x:v>10</x:v>
      </x:c>
      <x:c r="L1109" s="10" t="n">
        <x:f>G1109*I1109</x:f>
        <x:v>29.95</x:v>
      </x:c>
      <x:c r="M1109" s="10" t="n">
        <x:f>ROUND((L1109-J1109)*H1109/G1109,2)</x:f>
        <x:v>0</x:v>
      </x:c>
      <x:c r="N1109" s="10" t="n">
        <x:f>L1109-J1109-M1109</x:f>
        <x:v>29.95</x:v>
      </x:c>
      <x:c r="O1109" s="10" t="n">
        <x:f>(G1109-H1109)*K1109</x:f>
        <x:v>10</x:v>
      </x:c>
      <x:c r="P1109" s="10" t="n">
        <x:f>N1109-O1109</x:f>
        <x:v>19.95</x:v>
      </x:c>
      <x:c r="Q1109" s="9" t="n">
        <x:f>A1109-WEEKDAY(A1109,2)+1</x:f>
        <x:v>46307</x:v>
      </x:c>
      <x:c r="R1109" s="2" t="str">
        <x:f>IF(AND(A1109&gt;='Review'!$B$4,A1109&lt;='Review'!$D$4),"Selected","Outside")</x:f>
        <x:v>Selected</x:v>
      </x:c>
    </x:row>
    <x:row r="1110" ht="20" customHeight="1">
      <x:c r="A1110" s="9" t="n">
        <x:v>46307</x:v>
      </x:c>
      <x:c r="B1110" s="2" t="str">
        <x:v>MM-1789</x:v>
      </x:c>
      <x:c r="C1110" s="2" t="str">
        <x:v>Email</x:v>
      </x:c>
      <x:c r="D1110" s="2" t="str">
        <x:v>HAT-001</x:v>
      </x:c>
      <x:c r="E1110" s="2" t="str">
        <x:f>_xlfn.IFNA(VLOOKUP(D1110,'Products'!$A$7:$I$22,2,FALSE),"Unmapped")</x:f>
        <x:v>Classic canvas cap</x:v>
      </x:c>
      <x:c r="F1110" s="2" t="str">
        <x:f>_xlfn.IFNA(VLOOKUP(D1110,'Products'!$A$7:$I$22,3,FALSE),"Unmapped")</x:f>
        <x:v>Accessories</x:v>
      </x:c>
      <x:c r="G1110" s="2" t="n">
        <x:v>1</x:v>
      </x:c>
      <x:c r="H1110" s="2" t="n">
        <x:v>0</x:v>
      </x:c>
      <x:c r="I1110" s="10" t="n">
        <x:v>24.95</x:v>
      </x:c>
      <x:c r="J1110" s="10" t="n">
        <x:v>2.49</x:v>
      </x:c>
      <x:c r="K1110" s="10" t="n">
        <x:v>8.5</x:v>
      </x:c>
      <x:c r="L1110" s="10" t="n">
        <x:f>G1110*I1110</x:f>
        <x:v>24.95</x:v>
      </x:c>
      <x:c r="M1110" s="10" t="n">
        <x:f>ROUND((L1110-J1110)*H1110/G1110,2)</x:f>
        <x:v>0</x:v>
      </x:c>
      <x:c r="N1110" s="10" t="n">
        <x:f>L1110-J1110-M1110</x:f>
        <x:v>22.46</x:v>
      </x:c>
      <x:c r="O1110" s="10" t="n">
        <x:f>(G1110-H1110)*K1110</x:f>
        <x:v>8.5</x:v>
      </x:c>
      <x:c r="P1110" s="10" t="n">
        <x:f>N1110-O1110</x:f>
        <x:v>13.96</x:v>
      </x:c>
      <x:c r="Q1110" s="9" t="n">
        <x:f>A1110-WEEKDAY(A1110,2)+1</x:f>
        <x:v>46307</x:v>
      </x:c>
      <x:c r="R1110" s="2" t="str">
        <x:f>IF(AND(A1110&gt;='Review'!$B$4,A1110&lt;='Review'!$D$4),"Selected","Outside")</x:f>
        <x:v>Selected</x:v>
      </x:c>
    </x:row>
    <x:row r="1111" ht="20" customHeight="1">
      <x:c r="A1111" s="9" t="n">
        <x:v>46307</x:v>
      </x:c>
      <x:c r="B1111" s="2" t="str">
        <x:v>MM-1789</x:v>
      </x:c>
      <x:c r="C1111" s="2" t="str">
        <x:v>Email</x:v>
      </x:c>
      <x:c r="D1111" s="2" t="str">
        <x:v>GFT-001</x:v>
      </x:c>
      <x:c r="E1111" s="2" t="str">
        <x:f>_xlfn.IFNA(VLOOKUP(D1111,'Products'!$A$7:$I$22,2,FALSE),"Unmapped")</x:f>
        <x:v>Morning ritual gift set</x:v>
      </x:c>
      <x:c r="F1111" s="2" t="str">
        <x:f>_xlfn.IFNA(VLOOKUP(D1111,'Products'!$A$7:$I$22,3,FALSE),"Unmapped")</x:f>
        <x:v>Gifts</x:v>
      </x:c>
      <x:c r="G1111" s="2" t="n">
        <x:v>3</x:v>
      </x:c>
      <x:c r="H1111" s="2" t="n">
        <x:v>0</x:v>
      </x:c>
      <x:c r="I1111" s="10" t="n">
        <x:v>59.95</x:v>
      </x:c>
      <x:c r="J1111" s="10" t="n">
        <x:v>17.98</x:v>
      </x:c>
      <x:c r="K1111" s="10" t="n">
        <x:v>24</x:v>
      </x:c>
      <x:c r="L1111" s="10" t="n">
        <x:f>G1111*I1111</x:f>
        <x:v>179.85000000000002</x:v>
      </x:c>
      <x:c r="M1111" s="10" t="n">
        <x:f>ROUND((L1111-J1111)*H1111/G1111,2)</x:f>
        <x:v>0</x:v>
      </x:c>
      <x:c r="N1111" s="10" t="n">
        <x:f>L1111-J1111-M1111</x:f>
        <x:v>161.87000000000003</x:v>
      </x:c>
      <x:c r="O1111" s="10" t="n">
        <x:f>(G1111-H1111)*K1111</x:f>
        <x:v>72</x:v>
      </x:c>
      <x:c r="P1111" s="10" t="n">
        <x:f>N1111-O1111</x:f>
        <x:v>89.87000000000003</x:v>
      </x:c>
      <x:c r="Q1111" s="9" t="n">
        <x:f>A1111-WEEKDAY(A1111,2)+1</x:f>
        <x:v>46307</x:v>
      </x:c>
      <x:c r="R1111" s="2" t="str">
        <x:f>IF(AND(A1111&gt;='Review'!$B$4,A1111&lt;='Review'!$D$4),"Selected","Outside")</x:f>
        <x:v>Selected</x:v>
      </x:c>
    </x:row>
    <x:row r="1112" ht="20" customHeight="1">
      <x:c r="A1112" s="9" t="n">
        <x:v>46307</x:v>
      </x:c>
      <x:c r="B1112" s="2" t="str">
        <x:v>MM-1776</x:v>
      </x:c>
      <x:c r="C1112" s="2" t="str">
        <x:v>Organic Search</x:v>
      </x:c>
      <x:c r="D1112" s="2" t="str">
        <x:v>HAT-001</x:v>
      </x:c>
      <x:c r="E1112" s="2" t="str">
        <x:f>_xlfn.IFNA(VLOOKUP(D1112,'Products'!$A$7:$I$22,2,FALSE),"Unmapped")</x:f>
        <x:v>Classic canvas cap</x:v>
      </x:c>
      <x:c r="F1112" s="2" t="str">
        <x:f>_xlfn.IFNA(VLOOKUP(D1112,'Products'!$A$7:$I$22,3,FALSE),"Unmapped")</x:f>
        <x:v>Accessories</x:v>
      </x:c>
      <x:c r="G1112" s="2" t="n">
        <x:v>2</x:v>
      </x:c>
      <x:c r="H1112" s="2" t="n">
        <x:v>0</x:v>
      </x:c>
      <x:c r="I1112" s="10" t="n">
        <x:v>24.95</x:v>
      </x:c>
      <x:c r="J1112" s="10" t="n">
        <x:v>0</x:v>
      </x:c>
      <x:c r="K1112" s="10" t="n">
        <x:v>8.5</x:v>
      </x:c>
      <x:c r="L1112" s="10" t="n">
        <x:f>G1112*I1112</x:f>
        <x:v>49.9</x:v>
      </x:c>
      <x:c r="M1112" s="10" t="n">
        <x:f>ROUND((L1112-J1112)*H1112/G1112,2)</x:f>
        <x:v>0</x:v>
      </x:c>
      <x:c r="N1112" s="10" t="n">
        <x:f>L1112-J1112-M1112</x:f>
        <x:v>49.9</x:v>
      </x:c>
      <x:c r="O1112" s="10" t="n">
        <x:f>(G1112-H1112)*K1112</x:f>
        <x:v>17</x:v>
      </x:c>
      <x:c r="P1112" s="10" t="n">
        <x:f>N1112-O1112</x:f>
        <x:v>32.9</x:v>
      </x:c>
      <x:c r="Q1112" s="9" t="n">
        <x:f>A1112-WEEKDAY(A1112,2)+1</x:f>
        <x:v>46307</x:v>
      </x:c>
      <x:c r="R1112" s="2" t="str">
        <x:f>IF(AND(A1112&gt;='Review'!$B$4,A1112&lt;='Review'!$D$4),"Selected","Outside")</x:f>
        <x:v>Selected</x:v>
      </x:c>
    </x:row>
    <x:row r="1113" ht="20" customHeight="1">
      <x:c r="A1113" s="9" t="n">
        <x:v>46307</x:v>
      </x:c>
      <x:c r="B1113" s="2" t="str">
        <x:v>MM-1777</x:v>
      </x:c>
      <x:c r="C1113" s="2" t="str">
        <x:v>Direct</x:v>
      </x:c>
      <x:c r="D1113" s="2" t="str">
        <x:v>APP-003</x:v>
      </x:c>
      <x:c r="E1113" s="2" t="str">
        <x:f>_xlfn.IFNA(VLOOKUP(D1113,'Products'!$A$7:$I$22,2,FALSE),"Unmapped")</x:f>
        <x:v>Coffee club tee</x:v>
      </x:c>
      <x:c r="F1113" s="2" t="str">
        <x:f>_xlfn.IFNA(VLOOKUP(D1113,'Products'!$A$7:$I$22,3,FALSE),"Unmapped")</x:f>
        <x:v>Apparel</x:v>
      </x:c>
      <x:c r="G1113" s="2" t="n">
        <x:v>2</x:v>
      </x:c>
      <x:c r="H1113" s="2" t="n">
        <x:v>0</x:v>
      </x:c>
      <x:c r="I1113" s="10" t="n">
        <x:v>29.95</x:v>
      </x:c>
      <x:c r="J1113" s="10" t="n">
        <x:v>0</x:v>
      </x:c>
      <x:c r="K1113" s="10" t="n">
        <x:v>10</x:v>
      </x:c>
      <x:c r="L1113" s="10" t="n">
        <x:f>G1113*I1113</x:f>
        <x:v>59.9</x:v>
      </x:c>
      <x:c r="M1113" s="10" t="n">
        <x:f>ROUND((L1113-J1113)*H1113/G1113,2)</x:f>
        <x:v>0</x:v>
      </x:c>
      <x:c r="N1113" s="10" t="n">
        <x:f>L1113-J1113-M1113</x:f>
        <x:v>59.9</x:v>
      </x:c>
      <x:c r="O1113" s="10" t="n">
        <x:f>(G1113-H1113)*K1113</x:f>
        <x:v>20</x:v>
      </x:c>
      <x:c r="P1113" s="10" t="n">
        <x:f>N1113-O1113</x:f>
        <x:v>39.9</x:v>
      </x:c>
      <x:c r="Q1113" s="9" t="n">
        <x:f>A1113-WEEKDAY(A1113,2)+1</x:f>
        <x:v>46307</x:v>
      </x:c>
      <x:c r="R1113" s="2" t="str">
        <x:f>IF(AND(A1113&gt;='Review'!$B$4,A1113&lt;='Review'!$D$4),"Selected","Outside")</x:f>
        <x:v>Selected</x:v>
      </x:c>
    </x:row>
    <x:row r="1114" ht="20" customHeight="1">
      <x:c r="A1114" s="9" t="n">
        <x:v>46307</x:v>
      </x:c>
      <x:c r="B1114" s="2" t="str">
        <x:v>MM-1777</x:v>
      </x:c>
      <x:c r="C1114" s="2" t="str">
        <x:v>Direct</x:v>
      </x:c>
      <x:c r="D1114" s="2" t="str">
        <x:v>TUM-001</x:v>
      </x:c>
      <x:c r="E1114" s="2" t="str">
        <x:f>_xlfn.IFNA(VLOOKUP(D1114,'Products'!$A$7:$I$22,2,FALSE),"Unmapped")</x:f>
        <x:v>Maple travel tumbler</x:v>
      </x:c>
      <x:c r="F1114" s="2" t="str">
        <x:f>_xlfn.IFNA(VLOOKUP(D1114,'Products'!$A$7:$I$22,3,FALSE),"Unmapped")</x:f>
        <x:v>Drinkware</x:v>
      </x:c>
      <x:c r="G1114" s="2" t="n">
        <x:v>1</x:v>
      </x:c>
      <x:c r="H1114" s="2" t="n">
        <x:v>0</x:v>
      </x:c>
      <x:c r="I1114" s="10" t="n">
        <x:v>32.95</x:v>
      </x:c>
      <x:c r="J1114" s="10" t="n">
        <x:v>0</x:v>
      </x:c>
      <x:c r="K1114" s="10" t="n">
        <x:v>12</x:v>
      </x:c>
      <x:c r="L1114" s="10" t="n">
        <x:f>G1114*I1114</x:f>
        <x:v>32.95</x:v>
      </x:c>
      <x:c r="M1114" s="10" t="n">
        <x:f>ROUND((L1114-J1114)*H1114/G1114,2)</x:f>
        <x:v>0</x:v>
      </x:c>
      <x:c r="N1114" s="10" t="n">
        <x:f>L1114-J1114-M1114</x:f>
        <x:v>32.95</x:v>
      </x:c>
      <x:c r="O1114" s="10" t="n">
        <x:f>(G1114-H1114)*K1114</x:f>
        <x:v>12</x:v>
      </x:c>
      <x:c r="P1114" s="10" t="n">
        <x:f>N1114-O1114</x:f>
        <x:v>20.950000000000003</x:v>
      </x:c>
      <x:c r="Q1114" s="9" t="n">
        <x:f>A1114-WEEKDAY(A1114,2)+1</x:f>
        <x:v>46307</x:v>
      </x:c>
      <x:c r="R1114" s="2" t="str">
        <x:f>IF(AND(A1114&gt;='Review'!$B$4,A1114&lt;='Review'!$D$4),"Selected","Outside")</x:f>
        <x:v>Selected</x:v>
      </x:c>
    </x:row>
    <x:row r="1115" ht="20" customHeight="1">
      <x:c r="A1115" s="9" t="n">
        <x:v>46307</x:v>
      </x:c>
      <x:c r="B1115" s="2" t="str">
        <x:v>MM-1786</x:v>
      </x:c>
      <x:c r="C1115" s="2" t="str">
        <x:v>Email</x:v>
      </x:c>
      <x:c r="D1115" s="2" t="str">
        <x:v>PIN-001</x:v>
      </x:c>
      <x:c r="E1115" s="2" t="str">
        <x:f>_xlfn.IFNA(VLOOKUP(D1115,'Products'!$A$7:$I$22,2,FALSE),"Unmapped")</x:f>
        <x:v>Coffee enamel pin</x:v>
      </x:c>
      <x:c r="F1115" s="2" t="str">
        <x:f>_xlfn.IFNA(VLOOKUP(D1115,'Products'!$A$7:$I$22,3,FALSE),"Unmapped")</x:f>
        <x:v>Accessories</x:v>
      </x:c>
      <x:c r="G1115" s="2" t="n">
        <x:v>1</x:v>
      </x:c>
      <x:c r="H1115" s="2" t="n">
        <x:v>0</x:v>
      </x:c>
      <x:c r="I1115" s="10" t="n">
        <x:v>9.95</x:v>
      </x:c>
      <x:c r="J1115" s="10" t="n">
        <x:v>0.99</x:v>
      </x:c>
      <x:c r="K1115" s="10" t="n">
        <x:v>2.5</x:v>
      </x:c>
      <x:c r="L1115" s="10" t="n">
        <x:f>G1115*I1115</x:f>
        <x:v>9.95</x:v>
      </x:c>
      <x:c r="M1115" s="10" t="n">
        <x:f>ROUND((L1115-J1115)*H1115/G1115,2)</x:f>
        <x:v>0</x:v>
      </x:c>
      <x:c r="N1115" s="10" t="n">
        <x:f>L1115-J1115-M1115</x:f>
        <x:v>8.959999999999999</x:v>
      </x:c>
      <x:c r="O1115" s="10" t="n">
        <x:f>(G1115-H1115)*K1115</x:f>
        <x:v>2.5</x:v>
      </x:c>
      <x:c r="P1115" s="10" t="n">
        <x:f>N1115-O1115</x:f>
        <x:v>6.459999999999999</x:v>
      </x:c>
      <x:c r="Q1115" s="9" t="n">
        <x:f>A1115-WEEKDAY(A1115,2)+1</x:f>
        <x:v>46307</x:v>
      </x:c>
      <x:c r="R1115" s="2" t="str">
        <x:f>IF(AND(A1115&gt;='Review'!$B$4,A1115&lt;='Review'!$D$4),"Selected","Outside")</x:f>
        <x:v>Selected</x:v>
      </x:c>
    </x:row>
    <x:row r="1116" ht="20" customHeight="1">
      <x:c r="A1116" s="9" t="n">
        <x:v>46307</x:v>
      </x:c>
      <x:c r="B1116" s="2" t="str">
        <x:v>MM-1790</x:v>
      </x:c>
      <x:c r="C1116" s="2" t="str">
        <x:v>Email</x:v>
      </x:c>
      <x:c r="D1116" s="2" t="str">
        <x:v>APP-002</x:v>
      </x:c>
      <x:c r="E1116" s="2" t="str">
        <x:f>_xlfn.IFNA(VLOOKUP(D1116,'Products'!$A$7:$I$22,2,FALSE),"Unmapped")</x:f>
        <x:v>Weekend hoodie</x:v>
      </x:c>
      <x:c r="F1116" s="2" t="str">
        <x:f>_xlfn.IFNA(VLOOKUP(D1116,'Products'!$A$7:$I$22,3,FALSE),"Unmapped")</x:f>
        <x:v>Apparel</x:v>
      </x:c>
      <x:c r="G1116" s="2" t="n">
        <x:v>1</x:v>
      </x:c>
      <x:c r="H1116" s="2" t="n">
        <x:v>0</x:v>
      </x:c>
      <x:c r="I1116" s="10" t="n">
        <x:v>69.95</x:v>
      </x:c>
      <x:c r="J1116" s="10" t="n">
        <x:v>6.99</x:v>
      </x:c>
      <x:c r="K1116" s="10" t="n">
        <x:v>28</x:v>
      </x:c>
      <x:c r="L1116" s="10" t="n">
        <x:f>G1116*I1116</x:f>
        <x:v>69.95</x:v>
      </x:c>
      <x:c r="M1116" s="10" t="n">
        <x:f>ROUND((L1116-J1116)*H1116/G1116,2)</x:f>
        <x:v>0</x:v>
      </x:c>
      <x:c r="N1116" s="10" t="n">
        <x:f>L1116-J1116-M1116</x:f>
        <x:v>62.96</x:v>
      </x:c>
      <x:c r="O1116" s="10" t="n">
        <x:f>(G1116-H1116)*K1116</x:f>
        <x:v>28</x:v>
      </x:c>
      <x:c r="P1116" s="10" t="n">
        <x:f>N1116-O1116</x:f>
        <x:v>34.96</x:v>
      </x:c>
      <x:c r="Q1116" s="9" t="n">
        <x:f>A1116-WEEKDAY(A1116,2)+1</x:f>
        <x:v>46307</x:v>
      </x:c>
      <x:c r="R1116" s="2" t="str">
        <x:f>IF(AND(A1116&gt;='Review'!$B$4,A1116&lt;='Review'!$D$4),"Selected","Outside")</x:f>
        <x:v>Selected</x:v>
      </x:c>
    </x:row>
    <x:row r="1117" ht="20" customHeight="1">
      <x:c r="A1117" s="9" t="n">
        <x:v>46307</x:v>
      </x:c>
      <x:c r="B1117" s="2" t="str">
        <x:v>MM-1790</x:v>
      </x:c>
      <x:c r="C1117" s="2" t="str">
        <x:v>Email</x:v>
      </x:c>
      <x:c r="D1117" s="2" t="str">
        <x:v>PIN-001</x:v>
      </x:c>
      <x:c r="E1117" s="2" t="str">
        <x:f>_xlfn.IFNA(VLOOKUP(D1117,'Products'!$A$7:$I$22,2,FALSE),"Unmapped")</x:f>
        <x:v>Coffee enamel pin</x:v>
      </x:c>
      <x:c r="F1117" s="2" t="str">
        <x:f>_xlfn.IFNA(VLOOKUP(D1117,'Products'!$A$7:$I$22,3,FALSE),"Unmapped")</x:f>
        <x:v>Accessories</x:v>
      </x:c>
      <x:c r="G1117" s="2" t="n">
        <x:v>1</x:v>
      </x:c>
      <x:c r="H1117" s="2" t="n">
        <x:v>0</x:v>
      </x:c>
      <x:c r="I1117" s="10" t="n">
        <x:v>9.95</x:v>
      </x:c>
      <x:c r="J1117" s="10" t="n">
        <x:v>0.99</x:v>
      </x:c>
      <x:c r="K1117" s="10" t="n">
        <x:v>2.5</x:v>
      </x:c>
      <x:c r="L1117" s="10" t="n">
        <x:f>G1117*I1117</x:f>
        <x:v>9.95</x:v>
      </x:c>
      <x:c r="M1117" s="10" t="n">
        <x:f>ROUND((L1117-J1117)*H1117/G1117,2)</x:f>
        <x:v>0</x:v>
      </x:c>
      <x:c r="N1117" s="10" t="n">
        <x:f>L1117-J1117-M1117</x:f>
        <x:v>8.959999999999999</x:v>
      </x:c>
      <x:c r="O1117" s="10" t="n">
        <x:f>(G1117-H1117)*K1117</x:f>
        <x:v>2.5</x:v>
      </x:c>
      <x:c r="P1117" s="10" t="n">
        <x:f>N1117-O1117</x:f>
        <x:v>6.459999999999999</x:v>
      </x:c>
      <x:c r="Q1117" s="9" t="n">
        <x:f>A1117-WEEKDAY(A1117,2)+1</x:f>
        <x:v>46307</x:v>
      </x:c>
      <x:c r="R1117" s="2" t="str">
        <x:f>IF(AND(A1117&gt;='Review'!$B$4,A1117&lt;='Review'!$D$4),"Selected","Outside")</x:f>
        <x:v>Selected</x:v>
      </x:c>
    </x:row>
    <x:row r="1118" ht="20" customHeight="1">
      <x:c r="A1118" s="9" t="n">
        <x:v>46308</x:v>
      </x:c>
      <x:c r="B1118" s="2" t="str">
        <x:v>MM-1799</x:v>
      </x:c>
      <x:c r="C1118" s="2" t="str">
        <x:v>Paid Social</x:v>
      </x:c>
      <x:c r="D1118" s="2" t="str">
        <x:v>TOTE-001</x:v>
      </x:c>
      <x:c r="E1118" s="2" t="str">
        <x:f>_xlfn.IFNA(VLOOKUP(D1118,'Products'!$A$7:$I$22,2,FALSE),"Unmapped")</x:f>
        <x:v>Market canvas tote</x:v>
      </x:c>
      <x:c r="F1118" s="2" t="str">
        <x:f>_xlfn.IFNA(VLOOKUP(D1118,'Products'!$A$7:$I$22,3,FALSE),"Unmapped")</x:f>
        <x:v>Accessories</x:v>
      </x:c>
      <x:c r="G1118" s="2" t="n">
        <x:v>1</x:v>
      </x:c>
      <x:c r="H1118" s="2" t="n">
        <x:v>0</x:v>
      </x:c>
      <x:c r="I1118" s="10" t="n">
        <x:v>19.95</x:v>
      </x:c>
      <x:c r="J1118" s="10" t="n">
        <x:v>0</x:v>
      </x:c>
      <x:c r="K1118" s="10" t="n">
        <x:v>6</x:v>
      </x:c>
      <x:c r="L1118" s="10" t="n">
        <x:f>G1118*I1118</x:f>
        <x:v>19.95</x:v>
      </x:c>
      <x:c r="M1118" s="10" t="n">
        <x:f>ROUND((L1118-J1118)*H1118/G1118,2)</x:f>
        <x:v>0</x:v>
      </x:c>
      <x:c r="N1118" s="10" t="n">
        <x:f>L1118-J1118-M1118</x:f>
        <x:v>19.95</x:v>
      </x:c>
      <x:c r="O1118" s="10" t="n">
        <x:f>(G1118-H1118)*K1118</x:f>
        <x:v>6</x:v>
      </x:c>
      <x:c r="P1118" s="10" t="n">
        <x:f>N1118-O1118</x:f>
        <x:v>13.95</x:v>
      </x:c>
      <x:c r="Q1118" s="9" t="n">
        <x:f>A1118-WEEKDAY(A1118,2)+1</x:f>
        <x:v>46307</x:v>
      </x:c>
      <x:c r="R1118" s="2" t="str">
        <x:f>IF(AND(A1118&gt;='Review'!$B$4,A1118&lt;='Review'!$D$4),"Selected","Outside")</x:f>
        <x:v>Selected</x:v>
      </x:c>
    </x:row>
    <x:row r="1119" ht="20" customHeight="1">
      <x:c r="A1119" s="9" t="n">
        <x:v>46308</x:v>
      </x:c>
      <x:c r="B1119" s="2" t="str">
        <x:v>MM-1799</x:v>
      </x:c>
      <x:c r="C1119" s="2" t="str">
        <x:v>Paid Social</x:v>
      </x:c>
      <x:c r="D1119" s="2" t="str">
        <x:v>PIN-001</x:v>
      </x:c>
      <x:c r="E1119" s="2" t="str">
        <x:f>_xlfn.IFNA(VLOOKUP(D1119,'Products'!$A$7:$I$22,2,FALSE),"Unmapped")</x:f>
        <x:v>Coffee enamel pin</x:v>
      </x:c>
      <x:c r="F1119" s="2" t="str">
        <x:f>_xlfn.IFNA(VLOOKUP(D1119,'Products'!$A$7:$I$22,3,FALSE),"Unmapped")</x:f>
        <x:v>Accessories</x:v>
      </x:c>
      <x:c r="G1119" s="2" t="n">
        <x:v>1</x:v>
      </x:c>
      <x:c r="H1119" s="2" t="n">
        <x:v>0</x:v>
      </x:c>
      <x:c r="I1119" s="10" t="n">
        <x:v>9.95</x:v>
      </x:c>
      <x:c r="J1119" s="10" t="n">
        <x:v>0</x:v>
      </x:c>
      <x:c r="K1119" s="10" t="n">
        <x:v>2.5</x:v>
      </x:c>
      <x:c r="L1119" s="10" t="n">
        <x:f>G1119*I1119</x:f>
        <x:v>9.95</x:v>
      </x:c>
      <x:c r="M1119" s="10" t="n">
        <x:f>ROUND((L1119-J1119)*H1119/G1119,2)</x:f>
        <x:v>0</x:v>
      </x:c>
      <x:c r="N1119" s="10" t="n">
        <x:f>L1119-J1119-M1119</x:f>
        <x:v>9.95</x:v>
      </x:c>
      <x:c r="O1119" s="10" t="n">
        <x:f>(G1119-H1119)*K1119</x:f>
        <x:v>2.5</x:v>
      </x:c>
      <x:c r="P1119" s="10" t="n">
        <x:f>N1119-O1119</x:f>
        <x:v>7.449999999999999</x:v>
      </x:c>
      <x:c r="Q1119" s="9" t="n">
        <x:f>A1119-WEEKDAY(A1119,2)+1</x:f>
        <x:v>46307</x:v>
      </x:c>
      <x:c r="R1119" s="2" t="str">
        <x:f>IF(AND(A1119&gt;='Review'!$B$4,A1119&lt;='Review'!$D$4),"Selected","Outside")</x:f>
        <x:v>Selected</x:v>
      </x:c>
    </x:row>
    <x:row r="1120" ht="20" customHeight="1">
      <x:c r="A1120" s="9" t="n">
        <x:v>46308</x:v>
      </x:c>
      <x:c r="B1120" s="2" t="str">
        <x:v>MM-1811</x:v>
      </x:c>
      <x:c r="C1120" s="2" t="str">
        <x:v>Organic Search</x:v>
      </x:c>
      <x:c r="D1120" s="2" t="str">
        <x:v>TUM-001</x:v>
      </x:c>
      <x:c r="E1120" s="2" t="str">
        <x:f>_xlfn.IFNA(VLOOKUP(D1120,'Products'!$A$7:$I$22,2,FALSE),"Unmapped")</x:f>
        <x:v>Maple travel tumbler</x:v>
      </x:c>
      <x:c r="F1120" s="2" t="str">
        <x:f>_xlfn.IFNA(VLOOKUP(D1120,'Products'!$A$7:$I$22,3,FALSE),"Unmapped")</x:f>
        <x:v>Drinkware</x:v>
      </x:c>
      <x:c r="G1120" s="2" t="n">
        <x:v>1</x:v>
      </x:c>
      <x:c r="H1120" s="2" t="n">
        <x:v>0</x:v>
      </x:c>
      <x:c r="I1120" s="10" t="n">
        <x:v>32.95</x:v>
      </x:c>
      <x:c r="J1120" s="10" t="n">
        <x:v>0</x:v>
      </x:c>
      <x:c r="K1120" s="10" t="n">
        <x:v>12</x:v>
      </x:c>
      <x:c r="L1120" s="10" t="n">
        <x:f>G1120*I1120</x:f>
        <x:v>32.95</x:v>
      </x:c>
      <x:c r="M1120" s="10" t="n">
        <x:f>ROUND((L1120-J1120)*H1120/G1120,2)</x:f>
        <x:v>0</x:v>
      </x:c>
      <x:c r="N1120" s="10" t="n">
        <x:f>L1120-J1120-M1120</x:f>
        <x:v>32.95</x:v>
      </x:c>
      <x:c r="O1120" s="10" t="n">
        <x:f>(G1120-H1120)*K1120</x:f>
        <x:v>12</x:v>
      </x:c>
      <x:c r="P1120" s="10" t="n">
        <x:f>N1120-O1120</x:f>
        <x:v>20.950000000000003</x:v>
      </x:c>
      <x:c r="Q1120" s="9" t="n">
        <x:f>A1120-WEEKDAY(A1120,2)+1</x:f>
        <x:v>46307</x:v>
      </x:c>
      <x:c r="R1120" s="2" t="str">
        <x:f>IF(AND(A1120&gt;='Review'!$B$4,A1120&lt;='Review'!$D$4),"Selected","Outside")</x:f>
        <x:v>Selected</x:v>
      </x:c>
    </x:row>
    <x:row r="1121" ht="20" customHeight="1">
      <x:c r="A1121" s="9" t="n">
        <x:v>46308</x:v>
      </x:c>
      <x:c r="B1121" s="2" t="str">
        <x:v>MM-1811</x:v>
      </x:c>
      <x:c r="C1121" s="2" t="str">
        <x:v>Organic Search</x:v>
      </x:c>
      <x:c r="D1121" s="2" t="str">
        <x:v>HAT-001</x:v>
      </x:c>
      <x:c r="E1121" s="2" t="str">
        <x:f>_xlfn.IFNA(VLOOKUP(D1121,'Products'!$A$7:$I$22,2,FALSE),"Unmapped")</x:f>
        <x:v>Classic canvas cap</x:v>
      </x:c>
      <x:c r="F1121" s="2" t="str">
        <x:f>_xlfn.IFNA(VLOOKUP(D1121,'Products'!$A$7:$I$22,3,FALSE),"Unmapped")</x:f>
        <x:v>Accessories</x:v>
      </x:c>
      <x:c r="G1121" s="2" t="n">
        <x:v>1</x:v>
      </x:c>
      <x:c r="H1121" s="2" t="n">
        <x:v>0</x:v>
      </x:c>
      <x:c r="I1121" s="10" t="n">
        <x:v>24.95</x:v>
      </x:c>
      <x:c r="J1121" s="10" t="n">
        <x:v>0</x:v>
      </x:c>
      <x:c r="K1121" s="10" t="n">
        <x:v>8.5</x:v>
      </x:c>
      <x:c r="L1121" s="10" t="n">
        <x:f>G1121*I1121</x:f>
        <x:v>24.95</x:v>
      </x:c>
      <x:c r="M1121" s="10" t="n">
        <x:f>ROUND((L1121-J1121)*H1121/G1121,2)</x:f>
        <x:v>0</x:v>
      </x:c>
      <x:c r="N1121" s="10" t="n">
        <x:f>L1121-J1121-M1121</x:f>
        <x:v>24.95</x:v>
      </x:c>
      <x:c r="O1121" s="10" t="n">
        <x:f>(G1121-H1121)*K1121</x:f>
        <x:v>8.5</x:v>
      </x:c>
      <x:c r="P1121" s="10" t="n">
        <x:f>N1121-O1121</x:f>
        <x:v>16.45</x:v>
      </x:c>
      <x:c r="Q1121" s="9" t="n">
        <x:f>A1121-WEEKDAY(A1121,2)+1</x:f>
        <x:v>46307</x:v>
      </x:c>
      <x:c r="R1121" s="2" t="str">
        <x:f>IF(AND(A1121&gt;='Review'!$B$4,A1121&lt;='Review'!$D$4),"Selected","Outside")</x:f>
        <x:v>Selected</x:v>
      </x:c>
    </x:row>
    <x:row r="1122" ht="20" customHeight="1">
      <x:c r="A1122" s="9" t="n">
        <x:v>46308</x:v>
      </x:c>
      <x:c r="B1122" s="2" t="str">
        <x:v>MM-1811</x:v>
      </x:c>
      <x:c r="C1122" s="2" t="str">
        <x:v>Organic Search</x:v>
      </x:c>
      <x:c r="D1122" s="2" t="str">
        <x:v>BOT-001</x:v>
      </x:c>
      <x:c r="E1122" s="2" t="str">
        <x:f>_xlfn.IFNA(VLOOKUP(D1122,'Products'!$A$7:$I$22,2,FALSE),"Unmapped")</x:f>
        <x:v>Trail water bottle</x:v>
      </x:c>
      <x:c r="F1122" s="2" t="str">
        <x:f>_xlfn.IFNA(VLOOKUP(D1122,'Products'!$A$7:$I$22,3,FALSE),"Unmapped")</x:f>
        <x:v>Drinkware</x:v>
      </x:c>
      <x:c r="G1122" s="2" t="n">
        <x:v>1</x:v>
      </x:c>
      <x:c r="H1122" s="2" t="n">
        <x:v>0</x:v>
      </x:c>
      <x:c r="I1122" s="10" t="n">
        <x:v>34.95</x:v>
      </x:c>
      <x:c r="J1122" s="10" t="n">
        <x:v>0</x:v>
      </x:c>
      <x:c r="K1122" s="10" t="n">
        <x:v>13.5</x:v>
      </x:c>
      <x:c r="L1122" s="10" t="n">
        <x:f>G1122*I1122</x:f>
        <x:v>34.95</x:v>
      </x:c>
      <x:c r="M1122" s="10" t="n">
        <x:f>ROUND((L1122-J1122)*H1122/G1122,2)</x:f>
        <x:v>0</x:v>
      </x:c>
      <x:c r="N1122" s="10" t="n">
        <x:f>L1122-J1122-M1122</x:f>
        <x:v>34.95</x:v>
      </x:c>
      <x:c r="O1122" s="10" t="n">
        <x:f>(G1122-H1122)*K1122</x:f>
        <x:v>13.5</x:v>
      </x:c>
      <x:c r="P1122" s="10" t="n">
        <x:f>N1122-O1122</x:f>
        <x:v>21.450000000000003</x:v>
      </x:c>
      <x:c r="Q1122" s="9" t="n">
        <x:f>A1122-WEEKDAY(A1122,2)+1</x:f>
        <x:v>46307</x:v>
      </x:c>
      <x:c r="R1122" s="2" t="str">
        <x:f>IF(AND(A1122&gt;='Review'!$B$4,A1122&lt;='Review'!$D$4),"Selected","Outside")</x:f>
        <x:v>Selected</x:v>
      </x:c>
    </x:row>
    <x:row r="1123" ht="20" customHeight="1">
      <x:c r="A1123" s="9" t="n">
        <x:v>46308</x:v>
      </x:c>
      <x:c r="B1123" s="2" t="str">
        <x:v>MM-1810</x:v>
      </x:c>
      <x:c r="C1123" s="2" t="str">
        <x:v>Paid Social</x:v>
      </x:c>
      <x:c r="D1123" s="2" t="str">
        <x:v>MUG-002</x:v>
      </x:c>
      <x:c r="E1123" s="2" t="str">
        <x:f>_xlfn.IFNA(VLOOKUP(D1123,'Products'!$A$7:$I$22,2,FALSE),"Unmapped")</x:f>
        <x:v>Campfire enamel mug</x:v>
      </x:c>
      <x:c r="F1123" s="2" t="str">
        <x:f>_xlfn.IFNA(VLOOKUP(D1123,'Products'!$A$7:$I$22,3,FALSE),"Unmapped")</x:f>
        <x:v>Drinkware</x:v>
      </x:c>
      <x:c r="G1123" s="2" t="n">
        <x:v>2</x:v>
      </x:c>
      <x:c r="H1123" s="2" t="n">
        <x:v>1</x:v>
      </x:c>
      <x:c r="I1123" s="10" t="n">
        <x:v>22.95</x:v>
      </x:c>
      <x:c r="J1123" s="10" t="n">
        <x:v>0</x:v>
      </x:c>
      <x:c r="K1123" s="10" t="n">
        <x:v>8.5</x:v>
      </x:c>
      <x:c r="L1123" s="10" t="n">
        <x:f>G1123*I1123</x:f>
        <x:v>45.9</x:v>
      </x:c>
      <x:c r="M1123" s="10" t="n">
        <x:f>ROUND((L1123-J1123)*H1123/G1123,2)</x:f>
        <x:v>22.95</x:v>
      </x:c>
      <x:c r="N1123" s="10" t="n">
        <x:f>L1123-J1123-M1123</x:f>
        <x:v>22.95</x:v>
      </x:c>
      <x:c r="O1123" s="10" t="n">
        <x:f>(G1123-H1123)*K1123</x:f>
        <x:v>8.5</x:v>
      </x:c>
      <x:c r="P1123" s="10" t="n">
        <x:f>N1123-O1123</x:f>
        <x:v>14.45</x:v>
      </x:c>
      <x:c r="Q1123" s="9" t="n">
        <x:f>A1123-WEEKDAY(A1123,2)+1</x:f>
        <x:v>46307</x:v>
      </x:c>
      <x:c r="R1123" s="2" t="str">
        <x:f>IF(AND(A1123&gt;='Review'!$B$4,A1123&lt;='Review'!$D$4),"Selected","Outside")</x:f>
        <x:v>Selected</x:v>
      </x:c>
    </x:row>
    <x:row r="1124" ht="20" customHeight="1">
      <x:c r="A1124" s="9" t="n">
        <x:v>46308</x:v>
      </x:c>
      <x:c r="B1124" s="2" t="str">
        <x:v>MM-1810</x:v>
      </x:c>
      <x:c r="C1124" s="2" t="str">
        <x:v>Paid Social</x:v>
      </x:c>
      <x:c r="D1124" s="2" t="str">
        <x:v>PIN-001</x:v>
      </x:c>
      <x:c r="E1124" s="2" t="str">
        <x:f>_xlfn.IFNA(VLOOKUP(D1124,'Products'!$A$7:$I$22,2,FALSE),"Unmapped")</x:f>
        <x:v>Coffee enamel pin</x:v>
      </x:c>
      <x:c r="F1124" s="2" t="str">
        <x:f>_xlfn.IFNA(VLOOKUP(D1124,'Products'!$A$7:$I$22,3,FALSE),"Unmapped")</x:f>
        <x:v>Accessories</x:v>
      </x:c>
      <x:c r="G1124" s="2" t="n">
        <x:v>1</x:v>
      </x:c>
      <x:c r="H1124" s="2" t="n">
        <x:v>0</x:v>
      </x:c>
      <x:c r="I1124" s="10" t="n">
        <x:v>9.95</x:v>
      </x:c>
      <x:c r="J1124" s="10" t="n">
        <x:v>0</x:v>
      </x:c>
      <x:c r="K1124" s="10" t="n">
        <x:v>2.5</x:v>
      </x:c>
      <x:c r="L1124" s="10" t="n">
        <x:f>G1124*I1124</x:f>
        <x:v>9.95</x:v>
      </x:c>
      <x:c r="M1124" s="10" t="n">
        <x:f>ROUND((L1124-J1124)*H1124/G1124,2)</x:f>
        <x:v>0</x:v>
      </x:c>
      <x:c r="N1124" s="10" t="n">
        <x:f>L1124-J1124-M1124</x:f>
        <x:v>9.95</x:v>
      </x:c>
      <x:c r="O1124" s="10" t="n">
        <x:f>(G1124-H1124)*K1124</x:f>
        <x:v>2.5</x:v>
      </x:c>
      <x:c r="P1124" s="10" t="n">
        <x:f>N1124-O1124</x:f>
        <x:v>7.449999999999999</x:v>
      </x:c>
      <x:c r="Q1124" s="9" t="n">
        <x:f>A1124-WEEKDAY(A1124,2)+1</x:f>
        <x:v>46307</x:v>
      </x:c>
      <x:c r="R1124" s="2" t="str">
        <x:f>IF(AND(A1124&gt;='Review'!$B$4,A1124&lt;='Review'!$D$4),"Selected","Outside")</x:f>
        <x:v>Selected</x:v>
      </x:c>
    </x:row>
    <x:row r="1125" ht="20" customHeight="1">
      <x:c r="A1125" s="9" t="n">
        <x:v>46308</x:v>
      </x:c>
      <x:c r="B1125" s="2" t="str">
        <x:v>MM-1814</x:v>
      </x:c>
      <x:c r="C1125" s="2" t="str">
        <x:v>Paid Social</x:v>
      </x:c>
      <x:c r="D1125" s="2" t="str">
        <x:v>GFT-002</x:v>
      </x:c>
      <x:c r="E1125" s="2" t="str">
        <x:f>_xlfn.IFNA(VLOOKUP(D1125,'Products'!$A$7:$I$22,2,FALSE),"Unmapped")</x:f>
        <x:v>Cozy weekend gift box</x:v>
      </x:c>
      <x:c r="F1125" s="2" t="str">
        <x:f>_xlfn.IFNA(VLOOKUP(D1125,'Products'!$A$7:$I$22,3,FALSE),"Unmapped")</x:f>
        <x:v>Gifts</x:v>
      </x:c>
      <x:c r="G1125" s="2" t="n">
        <x:v>1</x:v>
      </x:c>
      <x:c r="H1125" s="2" t="n">
        <x:v>1</x:v>
      </x:c>
      <x:c r="I1125" s="10" t="n">
        <x:v>79.95</x:v>
      </x:c>
      <x:c r="J1125" s="10" t="n">
        <x:v>0</x:v>
      </x:c>
      <x:c r="K1125" s="10" t="n">
        <x:v>32</x:v>
      </x:c>
      <x:c r="L1125" s="10" t="n">
        <x:f>G1125*I1125</x:f>
        <x:v>79.95</x:v>
      </x:c>
      <x:c r="M1125" s="10" t="n">
        <x:f>ROUND((L1125-J1125)*H1125/G1125,2)</x:f>
        <x:v>79.95</x:v>
      </x:c>
      <x:c r="N1125" s="10" t="n">
        <x:f>L1125-J1125-M1125</x:f>
        <x:v>0</x:v>
      </x:c>
      <x:c r="O1125" s="10" t="n">
        <x:f>(G1125-H1125)*K1125</x:f>
        <x:v>0</x:v>
      </x:c>
      <x:c r="P1125" s="10" t="n">
        <x:f>N1125-O1125</x:f>
        <x:v>0</x:v>
      </x:c>
      <x:c r="Q1125" s="9" t="n">
        <x:f>A1125-WEEKDAY(A1125,2)+1</x:f>
        <x:v>46307</x:v>
      </x:c>
      <x:c r="R1125" s="2" t="str">
        <x:f>IF(AND(A1125&gt;='Review'!$B$4,A1125&lt;='Review'!$D$4),"Selected","Outside")</x:f>
        <x:v>Selected</x:v>
      </x:c>
    </x:row>
    <x:row r="1126" ht="20" customHeight="1">
      <x:c r="A1126" s="9" t="n">
        <x:v>46308</x:v>
      </x:c>
      <x:c r="B1126" s="2" t="str">
        <x:v>MM-1804</x:v>
      </x:c>
      <x:c r="C1126" s="2" t="str">
        <x:v>Email</x:v>
      </x:c>
      <x:c r="D1126" s="2" t="str">
        <x:v>PIN-001</x:v>
      </x:c>
      <x:c r="E1126" s="2" t="str">
        <x:f>_xlfn.IFNA(VLOOKUP(D1126,'Products'!$A$7:$I$22,2,FALSE),"Unmapped")</x:f>
        <x:v>Coffee enamel pin</x:v>
      </x:c>
      <x:c r="F1126" s="2" t="str">
        <x:f>_xlfn.IFNA(VLOOKUP(D1126,'Products'!$A$7:$I$22,3,FALSE),"Unmapped")</x:f>
        <x:v>Accessories</x:v>
      </x:c>
      <x:c r="G1126" s="2" t="n">
        <x:v>1</x:v>
      </x:c>
      <x:c r="H1126" s="2" t="n">
        <x:v>0</x:v>
      </x:c>
      <x:c r="I1126" s="10" t="n">
        <x:v>9.95</x:v>
      </x:c>
      <x:c r="J1126" s="10" t="n">
        <x:v>0.99</x:v>
      </x:c>
      <x:c r="K1126" s="10" t="n">
        <x:v>2.5</x:v>
      </x:c>
      <x:c r="L1126" s="10" t="n">
        <x:f>G1126*I1126</x:f>
        <x:v>9.95</x:v>
      </x:c>
      <x:c r="M1126" s="10" t="n">
        <x:f>ROUND((L1126-J1126)*H1126/G1126,2)</x:f>
        <x:v>0</x:v>
      </x:c>
      <x:c r="N1126" s="10" t="n">
        <x:f>L1126-J1126-M1126</x:f>
        <x:v>8.959999999999999</x:v>
      </x:c>
      <x:c r="O1126" s="10" t="n">
        <x:f>(G1126-H1126)*K1126</x:f>
        <x:v>2.5</x:v>
      </x:c>
      <x:c r="P1126" s="10" t="n">
        <x:f>N1126-O1126</x:f>
        <x:v>6.459999999999999</x:v>
      </x:c>
      <x:c r="Q1126" s="9" t="n">
        <x:f>A1126-WEEKDAY(A1126,2)+1</x:f>
        <x:v>46307</x:v>
      </x:c>
      <x:c r="R1126" s="2" t="str">
        <x:f>IF(AND(A1126&gt;='Review'!$B$4,A1126&lt;='Review'!$D$4),"Selected","Outside")</x:f>
        <x:v>Selected</x:v>
      </x:c>
    </x:row>
    <x:row r="1127" ht="20" customHeight="1">
      <x:c r="A1127" s="9" t="n">
        <x:v>46308</x:v>
      </x:c>
      <x:c r="B1127" s="2" t="str">
        <x:v>MM-1806</x:v>
      </x:c>
      <x:c r="C1127" s="2" t="str">
        <x:v>Paid Social</x:v>
      </x:c>
      <x:c r="D1127" s="2" t="str">
        <x:v>MUG-002</x:v>
      </x:c>
      <x:c r="E1127" s="2" t="str">
        <x:f>_xlfn.IFNA(VLOOKUP(D1127,'Products'!$A$7:$I$22,2,FALSE),"Unmapped")</x:f>
        <x:v>Campfire enamel mug</x:v>
      </x:c>
      <x:c r="F1127" s="2" t="str">
        <x:f>_xlfn.IFNA(VLOOKUP(D1127,'Products'!$A$7:$I$22,3,FALSE),"Unmapped")</x:f>
        <x:v>Drinkware</x:v>
      </x:c>
      <x:c r="G1127" s="2" t="n">
        <x:v>1</x:v>
      </x:c>
      <x:c r="H1127" s="2" t="n">
        <x:v>0</x:v>
      </x:c>
      <x:c r="I1127" s="10" t="n">
        <x:v>22.95</x:v>
      </x:c>
      <x:c r="J1127" s="10" t="n">
        <x:v>0</x:v>
      </x:c>
      <x:c r="K1127" s="10" t="n">
        <x:v>8.5</x:v>
      </x:c>
      <x:c r="L1127" s="10" t="n">
        <x:f>G1127*I1127</x:f>
        <x:v>22.95</x:v>
      </x:c>
      <x:c r="M1127" s="10" t="n">
        <x:f>ROUND((L1127-J1127)*H1127/G1127,2)</x:f>
        <x:v>0</x:v>
      </x:c>
      <x:c r="N1127" s="10" t="n">
        <x:f>L1127-J1127-M1127</x:f>
        <x:v>22.95</x:v>
      </x:c>
      <x:c r="O1127" s="10" t="n">
        <x:f>(G1127-H1127)*K1127</x:f>
        <x:v>8.5</x:v>
      </x:c>
      <x:c r="P1127" s="10" t="n">
        <x:f>N1127-O1127</x:f>
        <x:v>14.45</x:v>
      </x:c>
      <x:c r="Q1127" s="9" t="n">
        <x:f>A1127-WEEKDAY(A1127,2)+1</x:f>
        <x:v>46307</x:v>
      </x:c>
      <x:c r="R1127" s="2" t="str">
        <x:f>IF(AND(A1127&gt;='Review'!$B$4,A1127&lt;='Review'!$D$4),"Selected","Outside")</x:f>
        <x:v>Selected</x:v>
      </x:c>
    </x:row>
    <x:row r="1128" ht="20" customHeight="1">
      <x:c r="A1128" s="9" t="n">
        <x:v>46308</x:v>
      </x:c>
      <x:c r="B1128" s="2" t="str">
        <x:v>MM-1809</x:v>
      </x:c>
      <x:c r="C1128" s="2" t="str">
        <x:v>Organic Search</x:v>
      </x:c>
      <x:c r="D1128" s="2" t="str">
        <x:v>APP-002</x:v>
      </x:c>
      <x:c r="E1128" s="2" t="str">
        <x:f>_xlfn.IFNA(VLOOKUP(D1128,'Products'!$A$7:$I$22,2,FALSE),"Unmapped")</x:f>
        <x:v>Weekend hoodie</x:v>
      </x:c>
      <x:c r="F1128" s="2" t="str">
        <x:f>_xlfn.IFNA(VLOOKUP(D1128,'Products'!$A$7:$I$22,3,FALSE),"Unmapped")</x:f>
        <x:v>Apparel</x:v>
      </x:c>
      <x:c r="G1128" s="2" t="n">
        <x:v>3</x:v>
      </x:c>
      <x:c r="H1128" s="2" t="n">
        <x:v>0</x:v>
      </x:c>
      <x:c r="I1128" s="10" t="n">
        <x:v>69.95</x:v>
      </x:c>
      <x:c r="J1128" s="10" t="n">
        <x:v>0</x:v>
      </x:c>
      <x:c r="K1128" s="10" t="n">
        <x:v>28</x:v>
      </x:c>
      <x:c r="L1128" s="10" t="n">
        <x:f>G1128*I1128</x:f>
        <x:v>209.85000000000002</x:v>
      </x:c>
      <x:c r="M1128" s="10" t="n">
        <x:f>ROUND((L1128-J1128)*H1128/G1128,2)</x:f>
        <x:v>0</x:v>
      </x:c>
      <x:c r="N1128" s="10" t="n">
        <x:f>L1128-J1128-M1128</x:f>
        <x:v>209.85000000000002</x:v>
      </x:c>
      <x:c r="O1128" s="10" t="n">
        <x:f>(G1128-H1128)*K1128</x:f>
        <x:v>84</x:v>
      </x:c>
      <x:c r="P1128" s="10" t="n">
        <x:f>N1128-O1128</x:f>
        <x:v>125.85000000000002</x:v>
      </x:c>
      <x:c r="Q1128" s="9" t="n">
        <x:f>A1128-WEEKDAY(A1128,2)+1</x:f>
        <x:v>46307</x:v>
      </x:c>
      <x:c r="R1128" s="2" t="str">
        <x:f>IF(AND(A1128&gt;='Review'!$B$4,A1128&lt;='Review'!$D$4),"Selected","Outside")</x:f>
        <x:v>Selected</x:v>
      </x:c>
    </x:row>
    <x:row r="1129" ht="20" customHeight="1">
      <x:c r="A1129" s="9" t="n">
        <x:v>46308</x:v>
      </x:c>
      <x:c r="B1129" s="2" t="str">
        <x:v>MM-1813</x:v>
      </x:c>
      <x:c r="C1129" s="2" t="str">
        <x:v>Email</x:v>
      </x:c>
      <x:c r="D1129" s="2" t="str">
        <x:v>TOTE-001</x:v>
      </x:c>
      <x:c r="E1129" s="2" t="str">
        <x:f>_xlfn.IFNA(VLOOKUP(D1129,'Products'!$A$7:$I$22,2,FALSE),"Unmapped")</x:f>
        <x:v>Market canvas tote</x:v>
      </x:c>
      <x:c r="F1129" s="2" t="str">
        <x:f>_xlfn.IFNA(VLOOKUP(D1129,'Products'!$A$7:$I$22,3,FALSE),"Unmapped")</x:f>
        <x:v>Accessories</x:v>
      </x:c>
      <x:c r="G1129" s="2" t="n">
        <x:v>1</x:v>
      </x:c>
      <x:c r="H1129" s="2" t="n">
        <x:v>0</x:v>
      </x:c>
      <x:c r="I1129" s="10" t="n">
        <x:v>19.95</x:v>
      </x:c>
      <x:c r="J1129" s="10" t="n">
        <x:v>1.99</x:v>
      </x:c>
      <x:c r="K1129" s="10" t="n">
        <x:v>6</x:v>
      </x:c>
      <x:c r="L1129" s="10" t="n">
        <x:f>G1129*I1129</x:f>
        <x:v>19.95</x:v>
      </x:c>
      <x:c r="M1129" s="10" t="n">
        <x:f>ROUND((L1129-J1129)*H1129/G1129,2)</x:f>
        <x:v>0</x:v>
      </x:c>
      <x:c r="N1129" s="10" t="n">
        <x:f>L1129-J1129-M1129</x:f>
        <x:v>17.96</x:v>
      </x:c>
      <x:c r="O1129" s="10" t="n">
        <x:f>(G1129-H1129)*K1129</x:f>
        <x:v>6</x:v>
      </x:c>
      <x:c r="P1129" s="10" t="n">
        <x:f>N1129-O1129</x:f>
        <x:v>11.96</x:v>
      </x:c>
      <x:c r="Q1129" s="9" t="n">
        <x:f>A1129-WEEKDAY(A1129,2)+1</x:f>
        <x:v>46307</x:v>
      </x:c>
      <x:c r="R1129" s="2" t="str">
        <x:f>IF(AND(A1129&gt;='Review'!$B$4,A1129&lt;='Review'!$D$4),"Selected","Outside")</x:f>
        <x:v>Selected</x:v>
      </x:c>
    </x:row>
    <x:row r="1130" ht="20" customHeight="1">
      <x:c r="A1130" s="9" t="n">
        <x:v>46308</x:v>
      </x:c>
      <x:c r="B1130" s="2" t="str">
        <x:v>MM-1813</x:v>
      </x:c>
      <x:c r="C1130" s="2" t="str">
        <x:v>Email</x:v>
      </x:c>
      <x:c r="D1130" s="2" t="str">
        <x:v>BOT-001</x:v>
      </x:c>
      <x:c r="E1130" s="2" t="str">
        <x:f>_xlfn.IFNA(VLOOKUP(D1130,'Products'!$A$7:$I$22,2,FALSE),"Unmapped")</x:f>
        <x:v>Trail water bottle</x:v>
      </x:c>
      <x:c r="F1130" s="2" t="str">
        <x:f>_xlfn.IFNA(VLOOKUP(D1130,'Products'!$A$7:$I$22,3,FALSE),"Unmapped")</x:f>
        <x:v>Drinkware</x:v>
      </x:c>
      <x:c r="G1130" s="2" t="n">
        <x:v>1</x:v>
      </x:c>
      <x:c r="H1130" s="2" t="n">
        <x:v>0</x:v>
      </x:c>
      <x:c r="I1130" s="10" t="n">
        <x:v>34.95</x:v>
      </x:c>
      <x:c r="J1130" s="10" t="n">
        <x:v>3.49</x:v>
      </x:c>
      <x:c r="K1130" s="10" t="n">
        <x:v>13.5</x:v>
      </x:c>
      <x:c r="L1130" s="10" t="n">
        <x:f>G1130*I1130</x:f>
        <x:v>34.95</x:v>
      </x:c>
      <x:c r="M1130" s="10" t="n">
        <x:f>ROUND((L1130-J1130)*H1130/G1130,2)</x:f>
        <x:v>0</x:v>
      </x:c>
      <x:c r="N1130" s="10" t="n">
        <x:f>L1130-J1130-M1130</x:f>
        <x:v>31.46</x:v>
      </x:c>
      <x:c r="O1130" s="10" t="n">
        <x:f>(G1130-H1130)*K1130</x:f>
        <x:v>13.5</x:v>
      </x:c>
      <x:c r="P1130" s="10" t="n">
        <x:f>N1130-O1130</x:f>
        <x:v>17.96</x:v>
      </x:c>
      <x:c r="Q1130" s="9" t="n">
        <x:f>A1130-WEEKDAY(A1130,2)+1</x:f>
        <x:v>46307</x:v>
      </x:c>
      <x:c r="R1130" s="2" t="str">
        <x:f>IF(AND(A1130&gt;='Review'!$B$4,A1130&lt;='Review'!$D$4),"Selected","Outside")</x:f>
        <x:v>Selected</x:v>
      </x:c>
    </x:row>
    <x:row r="1131" ht="20" customHeight="1">
      <x:c r="A1131" s="9" t="n">
        <x:v>46308</x:v>
      </x:c>
      <x:c r="B1131" s="2" t="str">
        <x:v>MM-1815</x:v>
      </x:c>
      <x:c r="C1131" s="2" t="str">
        <x:v>Direct</x:v>
      </x:c>
      <x:c r="D1131" s="2" t="str">
        <x:v>APP-001</x:v>
      </x:c>
      <x:c r="E1131" s="2" t="str">
        <x:f>_xlfn.IFNA(VLOOKUP(D1131,'Products'!$A$7:$I$22,2,FALSE),"Unmapped")</x:f>
        <x:v>Everyday crewneck</x:v>
      </x:c>
      <x:c r="F1131" s="2" t="str">
        <x:f>_xlfn.IFNA(VLOOKUP(D1131,'Products'!$A$7:$I$22,3,FALSE),"Unmapped")</x:f>
        <x:v>Apparel</x:v>
      </x:c>
      <x:c r="G1131" s="2" t="n">
        <x:v>1</x:v>
      </x:c>
      <x:c r="H1131" s="2" t="n">
        <x:v>0</x:v>
      </x:c>
      <x:c r="I1131" s="10" t="n">
        <x:v>54.95</x:v>
      </x:c>
      <x:c r="J1131" s="10" t="n">
        <x:v>0</x:v>
      </x:c>
      <x:c r="K1131" s="10" t="n">
        <x:v>22</x:v>
      </x:c>
      <x:c r="L1131" s="10" t="n">
        <x:f>G1131*I1131</x:f>
        <x:v>54.95</x:v>
      </x:c>
      <x:c r="M1131" s="10" t="n">
        <x:f>ROUND((L1131-J1131)*H1131/G1131,2)</x:f>
        <x:v>0</x:v>
      </x:c>
      <x:c r="N1131" s="10" t="n">
        <x:f>L1131-J1131-M1131</x:f>
        <x:v>54.95</x:v>
      </x:c>
      <x:c r="O1131" s="10" t="n">
        <x:f>(G1131-H1131)*K1131</x:f>
        <x:v>22</x:v>
      </x:c>
      <x:c r="P1131" s="10" t="n">
        <x:f>N1131-O1131</x:f>
        <x:v>32.95</x:v>
      </x:c>
      <x:c r="Q1131" s="9" t="n">
        <x:f>A1131-WEEKDAY(A1131,2)+1</x:f>
        <x:v>46307</x:v>
      </x:c>
      <x:c r="R1131" s="2" t="str">
        <x:f>IF(AND(A1131&gt;='Review'!$B$4,A1131&lt;='Review'!$D$4),"Selected","Outside")</x:f>
        <x:v>Selected</x:v>
      </x:c>
    </x:row>
    <x:row r="1132" ht="20" customHeight="1">
      <x:c r="A1132" s="9" t="n">
        <x:v>46308</x:v>
      </x:c>
      <x:c r="B1132" s="2" t="str">
        <x:v>MM-1795</x:v>
      </x:c>
      <x:c r="C1132" s="2" t="str">
        <x:v>Direct</x:v>
      </x:c>
      <x:c r="D1132" s="2" t="str">
        <x:v>MUG-002</x:v>
      </x:c>
      <x:c r="E1132" s="2" t="str">
        <x:f>_xlfn.IFNA(VLOOKUP(D1132,'Products'!$A$7:$I$22,2,FALSE),"Unmapped")</x:f>
        <x:v>Campfire enamel mug</x:v>
      </x:c>
      <x:c r="F1132" s="2" t="str">
        <x:f>_xlfn.IFNA(VLOOKUP(D1132,'Products'!$A$7:$I$22,3,FALSE),"Unmapped")</x:f>
        <x:v>Drinkware</x:v>
      </x:c>
      <x:c r="G1132" s="2" t="n">
        <x:v>1</x:v>
      </x:c>
      <x:c r="H1132" s="2" t="n">
        <x:v>0</x:v>
      </x:c>
      <x:c r="I1132" s="10" t="n">
        <x:v>22.95</x:v>
      </x:c>
      <x:c r="J1132" s="10" t="n">
        <x:v>2.29</x:v>
      </x:c>
      <x:c r="K1132" s="10" t="n">
        <x:v>8.5</x:v>
      </x:c>
      <x:c r="L1132" s="10" t="n">
        <x:f>G1132*I1132</x:f>
        <x:v>22.95</x:v>
      </x:c>
      <x:c r="M1132" s="10" t="n">
        <x:f>ROUND((L1132-J1132)*H1132/G1132,2)</x:f>
        <x:v>0</x:v>
      </x:c>
      <x:c r="N1132" s="10" t="n">
        <x:f>L1132-J1132-M1132</x:f>
        <x:v>20.66</x:v>
      </x:c>
      <x:c r="O1132" s="10" t="n">
        <x:f>(G1132-H1132)*K1132</x:f>
        <x:v>8.5</x:v>
      </x:c>
      <x:c r="P1132" s="10" t="n">
        <x:f>N1132-O1132</x:f>
        <x:v>12.16</x:v>
      </x:c>
      <x:c r="Q1132" s="9" t="n">
        <x:f>A1132-WEEKDAY(A1132,2)+1</x:f>
        <x:v>46307</x:v>
      </x:c>
      <x:c r="R1132" s="2" t="str">
        <x:f>IF(AND(A1132&gt;='Review'!$B$4,A1132&lt;='Review'!$D$4),"Selected","Outside")</x:f>
        <x:v>Selected</x:v>
      </x:c>
    </x:row>
    <x:row r="1133" ht="20" customHeight="1">
      <x:c r="A1133" s="9" t="n">
        <x:v>46308</x:v>
      </x:c>
      <x:c r="B1133" s="2" t="str">
        <x:v>MM-1797</x:v>
      </x:c>
      <x:c r="C1133" s="2" t="str">
        <x:v>Email</x:v>
      </x:c>
      <x:c r="D1133" s="2" t="str">
        <x:v>KEY-001</x:v>
      </x:c>
      <x:c r="E1133" s="2" t="str">
        <x:f>_xlfn.IFNA(VLOOKUP(D1133,'Products'!$A$7:$I$22,2,FALSE),"Unmapped")</x:f>
        <x:v>Maple keyring</x:v>
      </x:c>
      <x:c r="F1133" s="2" t="str">
        <x:f>_xlfn.IFNA(VLOOKUP(D1133,'Products'!$A$7:$I$22,3,FALSE),"Unmapped")</x:f>
        <x:v>Accessories</x:v>
      </x:c>
      <x:c r="G1133" s="2" t="n">
        <x:v>1</x:v>
      </x:c>
      <x:c r="H1133" s="2" t="n">
        <x:v>0</x:v>
      </x:c>
      <x:c r="I1133" s="10" t="n">
        <x:v>12.95</x:v>
      </x:c>
      <x:c r="J1133" s="10" t="n">
        <x:v>1.29</x:v>
      </x:c>
      <x:c r="K1133" s="10" t="n">
        <x:v>3.5</x:v>
      </x:c>
      <x:c r="L1133" s="10" t="n">
        <x:f>G1133*I1133</x:f>
        <x:v>12.95</x:v>
      </x:c>
      <x:c r="M1133" s="10" t="n">
        <x:f>ROUND((L1133-J1133)*H1133/G1133,2)</x:f>
        <x:v>0</x:v>
      </x:c>
      <x:c r="N1133" s="10" t="n">
        <x:f>L1133-J1133-M1133</x:f>
        <x:v>11.66</x:v>
      </x:c>
      <x:c r="O1133" s="10" t="n">
        <x:f>(G1133-H1133)*K1133</x:f>
        <x:v>3.5</x:v>
      </x:c>
      <x:c r="P1133" s="10" t="n">
        <x:f>N1133-O1133</x:f>
        <x:v>8.16</x:v>
      </x:c>
      <x:c r="Q1133" s="9" t="n">
        <x:f>A1133-WEEKDAY(A1133,2)+1</x:f>
        <x:v>46307</x:v>
      </x:c>
      <x:c r="R1133" s="2" t="str">
        <x:f>IF(AND(A1133&gt;='Review'!$B$4,A1133&lt;='Review'!$D$4),"Selected","Outside")</x:f>
        <x:v>Selected</x:v>
      </x:c>
    </x:row>
    <x:row r="1134" ht="20" customHeight="1">
      <x:c r="A1134" s="9" t="n">
        <x:v>46308</x:v>
      </x:c>
      <x:c r="B1134" s="2" t="str">
        <x:v>MM-1816</x:v>
      </x:c>
      <x:c r="C1134" s="2" t="str">
        <x:v>Paid Social</x:v>
      </x:c>
      <x:c r="D1134" s="2" t="str">
        <x:v>TUM-002</x:v>
      </x:c>
      <x:c r="E1134" s="2" t="str">
        <x:f>_xlfn.IFNA(VLOOKUP(D1134,'Products'!$A$7:$I$22,2,FALSE),"Unmapped")</x:f>
        <x:v>Cold brew glass cup</x:v>
      </x:c>
      <x:c r="F1134" s="2" t="str">
        <x:f>_xlfn.IFNA(VLOOKUP(D1134,'Products'!$A$7:$I$22,3,FALSE),"Unmapped")</x:f>
        <x:v>Drinkware</x:v>
      </x:c>
      <x:c r="G1134" s="2" t="n">
        <x:v>1</x:v>
      </x:c>
      <x:c r="H1134" s="2" t="n">
        <x:v>0</x:v>
      </x:c>
      <x:c r="I1134" s="10" t="n">
        <x:v>24.95</x:v>
      </x:c>
      <x:c r="J1134" s="10" t="n">
        <x:v>0</x:v>
      </x:c>
      <x:c r="K1134" s="10" t="n">
        <x:v>9</x:v>
      </x:c>
      <x:c r="L1134" s="10" t="n">
        <x:f>G1134*I1134</x:f>
        <x:v>24.95</x:v>
      </x:c>
      <x:c r="M1134" s="10" t="n">
        <x:f>ROUND((L1134-J1134)*H1134/G1134,2)</x:f>
        <x:v>0</x:v>
      </x:c>
      <x:c r="N1134" s="10" t="n">
        <x:f>L1134-J1134-M1134</x:f>
        <x:v>24.95</x:v>
      </x:c>
      <x:c r="O1134" s="10" t="n">
        <x:f>(G1134-H1134)*K1134</x:f>
        <x:v>9</x:v>
      </x:c>
      <x:c r="P1134" s="10" t="n">
        <x:f>N1134-O1134</x:f>
        <x:v>15.95</x:v>
      </x:c>
      <x:c r="Q1134" s="9" t="n">
        <x:f>A1134-WEEKDAY(A1134,2)+1</x:f>
        <x:v>46307</x:v>
      </x:c>
      <x:c r="R1134" s="2" t="str">
        <x:f>IF(AND(A1134&gt;='Review'!$B$4,A1134&lt;='Review'!$D$4),"Selected","Outside")</x:f>
        <x:v>Selected</x:v>
      </x:c>
    </x:row>
    <x:row r="1135" ht="20" customHeight="1">
      <x:c r="A1135" s="9" t="n">
        <x:v>46308</x:v>
      </x:c>
      <x:c r="B1135" s="2" t="str">
        <x:v>MM-1802</x:v>
      </x:c>
      <x:c r="C1135" s="2" t="str">
        <x:v>Organic Search</x:v>
      </x:c>
      <x:c r="D1135" s="2" t="str">
        <x:v>GFT-001</x:v>
      </x:c>
      <x:c r="E1135" s="2" t="str">
        <x:f>_xlfn.IFNA(VLOOKUP(D1135,'Products'!$A$7:$I$22,2,FALSE),"Unmapped")</x:f>
        <x:v>Morning ritual gift set</x:v>
      </x:c>
      <x:c r="F1135" s="2" t="str">
        <x:f>_xlfn.IFNA(VLOOKUP(D1135,'Products'!$A$7:$I$22,3,FALSE),"Unmapped")</x:f>
        <x:v>Gifts</x:v>
      </x:c>
      <x:c r="G1135" s="2" t="n">
        <x:v>1</x:v>
      </x:c>
      <x:c r="H1135" s="2" t="n">
        <x:v>0</x:v>
      </x:c>
      <x:c r="I1135" s="10" t="n">
        <x:v>59.95</x:v>
      </x:c>
      <x:c r="J1135" s="10" t="n">
        <x:v>0</x:v>
      </x:c>
      <x:c r="K1135" s="10" t="n">
        <x:v>24</x:v>
      </x:c>
      <x:c r="L1135" s="10" t="n">
        <x:f>G1135*I1135</x:f>
        <x:v>59.95</x:v>
      </x:c>
      <x:c r="M1135" s="10" t="n">
        <x:f>ROUND((L1135-J1135)*H1135/G1135,2)</x:f>
        <x:v>0</x:v>
      </x:c>
      <x:c r="N1135" s="10" t="n">
        <x:f>L1135-J1135-M1135</x:f>
        <x:v>59.95</x:v>
      </x:c>
      <x:c r="O1135" s="10" t="n">
        <x:f>(G1135-H1135)*K1135</x:f>
        <x:v>24</x:v>
      </x:c>
      <x:c r="P1135" s="10" t="n">
        <x:f>N1135-O1135</x:f>
        <x:v>35.95</x:v>
      </x:c>
      <x:c r="Q1135" s="9" t="n">
        <x:f>A1135-WEEKDAY(A1135,2)+1</x:f>
        <x:v>46307</x:v>
      </x:c>
      <x:c r="R1135" s="2" t="str">
        <x:f>IF(AND(A1135&gt;='Review'!$B$4,A1135&lt;='Review'!$D$4),"Selected","Outside")</x:f>
        <x:v>Selected</x:v>
      </x:c>
    </x:row>
    <x:row r="1136" ht="20" customHeight="1">
      <x:c r="A1136" s="9" t="n">
        <x:v>46308</x:v>
      </x:c>
      <x:c r="B1136" s="2" t="str">
        <x:v>MM-1802</x:v>
      </x:c>
      <x:c r="C1136" s="2" t="str">
        <x:v>Organic Search</x:v>
      </x:c>
      <x:c r="D1136" s="2" t="str">
        <x:v>TOTE-001</x:v>
      </x:c>
      <x:c r="E1136" s="2" t="str">
        <x:f>_xlfn.IFNA(VLOOKUP(D1136,'Products'!$A$7:$I$22,2,FALSE),"Unmapped")</x:f>
        <x:v>Market canvas tote</x:v>
      </x:c>
      <x:c r="F1136" s="2" t="str">
        <x:f>_xlfn.IFNA(VLOOKUP(D1136,'Products'!$A$7:$I$22,3,FALSE),"Unmapped")</x:f>
        <x:v>Accessories</x:v>
      </x:c>
      <x:c r="G1136" s="2" t="n">
        <x:v>1</x:v>
      </x:c>
      <x:c r="H1136" s="2" t="n">
        <x:v>0</x:v>
      </x:c>
      <x:c r="I1136" s="10" t="n">
        <x:v>19.95</x:v>
      </x:c>
      <x:c r="J1136" s="10" t="n">
        <x:v>1.99</x:v>
      </x:c>
      <x:c r="K1136" s="10" t="n">
        <x:v>6</x:v>
      </x:c>
      <x:c r="L1136" s="10" t="n">
        <x:f>G1136*I1136</x:f>
        <x:v>19.95</x:v>
      </x:c>
      <x:c r="M1136" s="10" t="n">
        <x:f>ROUND((L1136-J1136)*H1136/G1136,2)</x:f>
        <x:v>0</x:v>
      </x:c>
      <x:c r="N1136" s="10" t="n">
        <x:f>L1136-J1136-M1136</x:f>
        <x:v>17.96</x:v>
      </x:c>
      <x:c r="O1136" s="10" t="n">
        <x:f>(G1136-H1136)*K1136</x:f>
        <x:v>6</x:v>
      </x:c>
      <x:c r="P1136" s="10" t="n">
        <x:f>N1136-O1136</x:f>
        <x:v>11.96</x:v>
      </x:c>
      <x:c r="Q1136" s="9" t="n">
        <x:f>A1136-WEEKDAY(A1136,2)+1</x:f>
        <x:v>46307</x:v>
      </x:c>
      <x:c r="R1136" s="2" t="str">
        <x:f>IF(AND(A1136&gt;='Review'!$B$4,A1136&lt;='Review'!$D$4),"Selected","Outside")</x:f>
        <x:v>Selected</x:v>
      </x:c>
    </x:row>
    <x:row r="1137" ht="20" customHeight="1">
      <x:c r="A1137" s="9" t="n">
        <x:v>46308</x:v>
      </x:c>
      <x:c r="B1137" s="2" t="str">
        <x:v>MM-1805</x:v>
      </x:c>
      <x:c r="C1137" s="2" t="str">
        <x:v>Direct</x:v>
      </x:c>
      <x:c r="D1137" s="2" t="str">
        <x:v>MUG-002</x:v>
      </x:c>
      <x:c r="E1137" s="2" t="str">
        <x:f>_xlfn.IFNA(VLOOKUP(D1137,'Products'!$A$7:$I$22,2,FALSE),"Unmapped")</x:f>
        <x:v>Campfire enamel mug</x:v>
      </x:c>
      <x:c r="F1137" s="2" t="str">
        <x:f>_xlfn.IFNA(VLOOKUP(D1137,'Products'!$A$7:$I$22,3,FALSE),"Unmapped")</x:f>
        <x:v>Drinkware</x:v>
      </x:c>
      <x:c r="G1137" s="2" t="n">
        <x:v>1</x:v>
      </x:c>
      <x:c r="H1137" s="2" t="n">
        <x:v>0</x:v>
      </x:c>
      <x:c r="I1137" s="10" t="n">
        <x:v>22.95</x:v>
      </x:c>
      <x:c r="J1137" s="10" t="n">
        <x:v>0</x:v>
      </x:c>
      <x:c r="K1137" s="10" t="n">
        <x:v>8.5</x:v>
      </x:c>
      <x:c r="L1137" s="10" t="n">
        <x:f>G1137*I1137</x:f>
        <x:v>22.95</x:v>
      </x:c>
      <x:c r="M1137" s="10" t="n">
        <x:f>ROUND((L1137-J1137)*H1137/G1137,2)</x:f>
        <x:v>0</x:v>
      </x:c>
      <x:c r="N1137" s="10" t="n">
        <x:f>L1137-J1137-M1137</x:f>
        <x:v>22.95</x:v>
      </x:c>
      <x:c r="O1137" s="10" t="n">
        <x:f>(G1137-H1137)*K1137</x:f>
        <x:v>8.5</x:v>
      </x:c>
      <x:c r="P1137" s="10" t="n">
        <x:f>N1137-O1137</x:f>
        <x:v>14.45</x:v>
      </x:c>
      <x:c r="Q1137" s="9" t="n">
        <x:f>A1137-WEEKDAY(A1137,2)+1</x:f>
        <x:v>46307</x:v>
      </x:c>
      <x:c r="R1137" s="2" t="str">
        <x:f>IF(AND(A1137&gt;='Review'!$B$4,A1137&lt;='Review'!$D$4),"Selected","Outside")</x:f>
        <x:v>Selected</x:v>
      </x:c>
    </x:row>
    <x:row r="1138" ht="20" customHeight="1">
      <x:c r="A1138" s="9" t="n">
        <x:v>46308</x:v>
      </x:c>
      <x:c r="B1138" s="2" t="str">
        <x:v>MM-1794</x:v>
      </x:c>
      <x:c r="C1138" s="2" t="str">
        <x:v>Organic Search</x:v>
      </x:c>
      <x:c r="D1138" s="2" t="str">
        <x:v>TUM-002</x:v>
      </x:c>
      <x:c r="E1138" s="2" t="str">
        <x:f>_xlfn.IFNA(VLOOKUP(D1138,'Products'!$A$7:$I$22,2,FALSE),"Unmapped")</x:f>
        <x:v>Cold brew glass cup</x:v>
      </x:c>
      <x:c r="F1138" s="2" t="str">
        <x:f>_xlfn.IFNA(VLOOKUP(D1138,'Products'!$A$7:$I$22,3,FALSE),"Unmapped")</x:f>
        <x:v>Drinkware</x:v>
      </x:c>
      <x:c r="G1138" s="2" t="n">
        <x:v>1</x:v>
      </x:c>
      <x:c r="H1138" s="2" t="n">
        <x:v>0</x:v>
      </x:c>
      <x:c r="I1138" s="10" t="n">
        <x:v>24.95</x:v>
      </x:c>
      <x:c r="J1138" s="10" t="n">
        <x:v>0</x:v>
      </x:c>
      <x:c r="K1138" s="10" t="n">
        <x:v>9</x:v>
      </x:c>
      <x:c r="L1138" s="10" t="n">
        <x:f>G1138*I1138</x:f>
        <x:v>24.95</x:v>
      </x:c>
      <x:c r="M1138" s="10" t="n">
        <x:f>ROUND((L1138-J1138)*H1138/G1138,2)</x:f>
        <x:v>0</x:v>
      </x:c>
      <x:c r="N1138" s="10" t="n">
        <x:f>L1138-J1138-M1138</x:f>
        <x:v>24.95</x:v>
      </x:c>
      <x:c r="O1138" s="10" t="n">
        <x:f>(G1138-H1138)*K1138</x:f>
        <x:v>9</x:v>
      </x:c>
      <x:c r="P1138" s="10" t="n">
        <x:f>N1138-O1138</x:f>
        <x:v>15.95</x:v>
      </x:c>
      <x:c r="Q1138" s="9" t="n">
        <x:f>A1138-WEEKDAY(A1138,2)+1</x:f>
        <x:v>46307</x:v>
      </x:c>
      <x:c r="R1138" s="2" t="str">
        <x:f>IF(AND(A1138&gt;='Review'!$B$4,A1138&lt;='Review'!$D$4),"Selected","Outside")</x:f>
        <x:v>Selected</x:v>
      </x:c>
    </x:row>
    <x:row r="1139" ht="20" customHeight="1">
      <x:c r="A1139" s="9" t="n">
        <x:v>46308</x:v>
      </x:c>
      <x:c r="B1139" s="2" t="str">
        <x:v>MM-1794</x:v>
      </x:c>
      <x:c r="C1139" s="2" t="str">
        <x:v>Organic Search</x:v>
      </x:c>
      <x:c r="D1139" s="2" t="str">
        <x:v>MUG-001</x:v>
      </x:c>
      <x:c r="E1139" s="2" t="str">
        <x:f>_xlfn.IFNA(VLOOKUP(D1139,'Products'!$A$7:$I$22,2,FALSE),"Unmapped")</x:f>
        <x:v>Everyday ceramic mug</x:v>
      </x:c>
      <x:c r="F1139" s="2" t="str">
        <x:f>_xlfn.IFNA(VLOOKUP(D1139,'Products'!$A$7:$I$22,3,FALSE),"Unmapped")</x:f>
        <x:v>Drinkware</x:v>
      </x:c>
      <x:c r="G1139" s="2" t="n">
        <x:v>1</x:v>
      </x:c>
      <x:c r="H1139" s="2" t="n">
        <x:v>0</x:v>
      </x:c>
      <x:c r="I1139" s="10" t="n">
        <x:v>18.95</x:v>
      </x:c>
      <x:c r="J1139" s="10" t="n">
        <x:v>0</x:v>
      </x:c>
      <x:c r="K1139" s="10" t="n">
        <x:v>6.5</x:v>
      </x:c>
      <x:c r="L1139" s="10" t="n">
        <x:f>G1139*I1139</x:f>
        <x:v>18.95</x:v>
      </x:c>
      <x:c r="M1139" s="10" t="n">
        <x:f>ROUND((L1139-J1139)*H1139/G1139,2)</x:f>
        <x:v>0</x:v>
      </x:c>
      <x:c r="N1139" s="10" t="n">
        <x:f>L1139-J1139-M1139</x:f>
        <x:v>18.95</x:v>
      </x:c>
      <x:c r="O1139" s="10" t="n">
        <x:f>(G1139-H1139)*K1139</x:f>
        <x:v>6.5</x:v>
      </x:c>
      <x:c r="P1139" s="10" t="n">
        <x:f>N1139-O1139</x:f>
        <x:v>12.45</x:v>
      </x:c>
      <x:c r="Q1139" s="9" t="n">
        <x:f>A1139-WEEKDAY(A1139,2)+1</x:f>
        <x:v>46307</x:v>
      </x:c>
      <x:c r="R1139" s="2" t="str">
        <x:f>IF(AND(A1139&gt;='Review'!$B$4,A1139&lt;='Review'!$D$4),"Selected","Outside")</x:f>
        <x:v>Selected</x:v>
      </x:c>
    </x:row>
    <x:row r="1140" ht="20" customHeight="1">
      <x:c r="A1140" s="9" t="n">
        <x:v>46308</x:v>
      </x:c>
      <x:c r="B1140" s="2" t="str">
        <x:v>MM-1801</x:v>
      </x:c>
      <x:c r="C1140" s="2" t="str">
        <x:v>Organic Search</x:v>
      </x:c>
      <x:c r="D1140" s="2" t="str">
        <x:v>BOT-001</x:v>
      </x:c>
      <x:c r="E1140" s="2" t="str">
        <x:f>_xlfn.IFNA(VLOOKUP(D1140,'Products'!$A$7:$I$22,2,FALSE),"Unmapped")</x:f>
        <x:v>Trail water bottle</x:v>
      </x:c>
      <x:c r="F1140" s="2" t="str">
        <x:f>_xlfn.IFNA(VLOOKUP(D1140,'Products'!$A$7:$I$22,3,FALSE),"Unmapped")</x:f>
        <x:v>Drinkware</x:v>
      </x:c>
      <x:c r="G1140" s="2" t="n">
        <x:v>1</x:v>
      </x:c>
      <x:c r="H1140" s="2" t="n">
        <x:v>0</x:v>
      </x:c>
      <x:c r="I1140" s="10" t="n">
        <x:v>34.95</x:v>
      </x:c>
      <x:c r="J1140" s="10" t="n">
        <x:v>0</x:v>
      </x:c>
      <x:c r="K1140" s="10" t="n">
        <x:v>13.5</x:v>
      </x:c>
      <x:c r="L1140" s="10" t="n">
        <x:f>G1140*I1140</x:f>
        <x:v>34.95</x:v>
      </x:c>
      <x:c r="M1140" s="10" t="n">
        <x:f>ROUND((L1140-J1140)*H1140/G1140,2)</x:f>
        <x:v>0</x:v>
      </x:c>
      <x:c r="N1140" s="10" t="n">
        <x:f>L1140-J1140-M1140</x:f>
        <x:v>34.95</x:v>
      </x:c>
      <x:c r="O1140" s="10" t="n">
        <x:f>(G1140-H1140)*K1140</x:f>
        <x:v>13.5</x:v>
      </x:c>
      <x:c r="P1140" s="10" t="n">
        <x:f>N1140-O1140</x:f>
        <x:v>21.450000000000003</x:v>
      </x:c>
      <x:c r="Q1140" s="9" t="n">
        <x:f>A1140-WEEKDAY(A1140,2)+1</x:f>
        <x:v>46307</x:v>
      </x:c>
      <x:c r="R1140" s="2" t="str">
        <x:f>IF(AND(A1140&gt;='Review'!$B$4,A1140&lt;='Review'!$D$4),"Selected","Outside")</x:f>
        <x:v>Selected</x:v>
      </x:c>
    </x:row>
    <x:row r="1141" ht="20" customHeight="1">
      <x:c r="A1141" s="9" t="n">
        <x:v>46308</x:v>
      </x:c>
      <x:c r="B1141" s="2" t="str">
        <x:v>MM-1801</x:v>
      </x:c>
      <x:c r="C1141" s="2" t="str">
        <x:v>Organic Search</x:v>
      </x:c>
      <x:c r="D1141" s="2" t="str">
        <x:v>GFT-002</x:v>
      </x:c>
      <x:c r="E1141" s="2" t="str">
        <x:f>_xlfn.IFNA(VLOOKUP(D1141,'Products'!$A$7:$I$22,2,FALSE),"Unmapped")</x:f>
        <x:v>Cozy weekend gift box</x:v>
      </x:c>
      <x:c r="F1141" s="2" t="str">
        <x:f>_xlfn.IFNA(VLOOKUP(D1141,'Products'!$A$7:$I$22,3,FALSE),"Unmapped")</x:f>
        <x:v>Gifts</x:v>
      </x:c>
      <x:c r="G1141" s="2" t="n">
        <x:v>2</x:v>
      </x:c>
      <x:c r="H1141" s="2" t="n">
        <x:v>0</x:v>
      </x:c>
      <x:c r="I1141" s="10" t="n">
        <x:v>79.95</x:v>
      </x:c>
      <x:c r="J1141" s="10" t="n">
        <x:v>0</x:v>
      </x:c>
      <x:c r="K1141" s="10" t="n">
        <x:v>32</x:v>
      </x:c>
      <x:c r="L1141" s="10" t="n">
        <x:f>G1141*I1141</x:f>
        <x:v>159.9</x:v>
      </x:c>
      <x:c r="M1141" s="10" t="n">
        <x:f>ROUND((L1141-J1141)*H1141/G1141,2)</x:f>
        <x:v>0</x:v>
      </x:c>
      <x:c r="N1141" s="10" t="n">
        <x:f>L1141-J1141-M1141</x:f>
        <x:v>159.9</x:v>
      </x:c>
      <x:c r="O1141" s="10" t="n">
        <x:f>(G1141-H1141)*K1141</x:f>
        <x:v>64</x:v>
      </x:c>
      <x:c r="P1141" s="10" t="n">
        <x:f>N1141-O1141</x:f>
        <x:v>95.9</x:v>
      </x:c>
      <x:c r="Q1141" s="9" t="n">
        <x:f>A1141-WEEKDAY(A1141,2)+1</x:f>
        <x:v>46307</x:v>
      </x:c>
      <x:c r="R1141" s="2" t="str">
        <x:f>IF(AND(A1141&gt;='Review'!$B$4,A1141&lt;='Review'!$D$4),"Selected","Outside")</x:f>
        <x:v>Selected</x:v>
      </x:c>
    </x:row>
    <x:row r="1142" ht="20" customHeight="1">
      <x:c r="A1142" s="9" t="n">
        <x:v>46308</x:v>
      </x:c>
      <x:c r="B1142" s="2" t="str">
        <x:v>MM-1808</x:v>
      </x:c>
      <x:c r="C1142" s="2" t="str">
        <x:v>Organic Search</x:v>
      </x:c>
      <x:c r="D1142" s="2" t="str">
        <x:v>APP-002</x:v>
      </x:c>
      <x:c r="E1142" s="2" t="str">
        <x:f>_xlfn.IFNA(VLOOKUP(D1142,'Products'!$A$7:$I$22,2,FALSE),"Unmapped")</x:f>
        <x:v>Weekend hoodie</x:v>
      </x:c>
      <x:c r="F1142" s="2" t="str">
        <x:f>_xlfn.IFNA(VLOOKUP(D1142,'Products'!$A$7:$I$22,3,FALSE),"Unmapped")</x:f>
        <x:v>Apparel</x:v>
      </x:c>
      <x:c r="G1142" s="2" t="n">
        <x:v>1</x:v>
      </x:c>
      <x:c r="H1142" s="2" t="n">
        <x:v>0</x:v>
      </x:c>
      <x:c r="I1142" s="10" t="n">
        <x:v>69.95</x:v>
      </x:c>
      <x:c r="J1142" s="10" t="n">
        <x:v>0</x:v>
      </x:c>
      <x:c r="K1142" s="10" t="n">
        <x:v>28</x:v>
      </x:c>
      <x:c r="L1142" s="10" t="n">
        <x:f>G1142*I1142</x:f>
        <x:v>69.95</x:v>
      </x:c>
      <x:c r="M1142" s="10" t="n">
        <x:f>ROUND((L1142-J1142)*H1142/G1142,2)</x:f>
        <x:v>0</x:v>
      </x:c>
      <x:c r="N1142" s="10" t="n">
        <x:f>L1142-J1142-M1142</x:f>
        <x:v>69.95</x:v>
      </x:c>
      <x:c r="O1142" s="10" t="n">
        <x:f>(G1142-H1142)*K1142</x:f>
        <x:v>28</x:v>
      </x:c>
      <x:c r="P1142" s="10" t="n">
        <x:f>N1142-O1142</x:f>
        <x:v>41.95</x:v>
      </x:c>
      <x:c r="Q1142" s="9" t="n">
        <x:f>A1142-WEEKDAY(A1142,2)+1</x:f>
        <x:v>46307</x:v>
      </x:c>
      <x:c r="R1142" s="2" t="str">
        <x:f>IF(AND(A1142&gt;='Review'!$B$4,A1142&lt;='Review'!$D$4),"Selected","Outside")</x:f>
        <x:v>Selected</x:v>
      </x:c>
    </x:row>
    <x:row r="1143" ht="20" customHeight="1">
      <x:c r="A1143" s="9" t="n">
        <x:v>46308</x:v>
      </x:c>
      <x:c r="B1143" s="2" t="str">
        <x:v>MM-1808</x:v>
      </x:c>
      <x:c r="C1143" s="2" t="str">
        <x:v>Organic Search</x:v>
      </x:c>
      <x:c r="D1143" s="2" t="str">
        <x:v>GFT-002</x:v>
      </x:c>
      <x:c r="E1143" s="2" t="str">
        <x:f>_xlfn.IFNA(VLOOKUP(D1143,'Products'!$A$7:$I$22,2,FALSE),"Unmapped")</x:f>
        <x:v>Cozy weekend gift box</x:v>
      </x:c>
      <x:c r="F1143" s="2" t="str">
        <x:f>_xlfn.IFNA(VLOOKUP(D1143,'Products'!$A$7:$I$22,3,FALSE),"Unmapped")</x:f>
        <x:v>Gifts</x:v>
      </x:c>
      <x:c r="G1143" s="2" t="n">
        <x:v>1</x:v>
      </x:c>
      <x:c r="H1143" s="2" t="n">
        <x:v>0</x:v>
      </x:c>
      <x:c r="I1143" s="10" t="n">
        <x:v>79.95</x:v>
      </x:c>
      <x:c r="J1143" s="10" t="n">
        <x:v>0</x:v>
      </x:c>
      <x:c r="K1143" s="10" t="n">
        <x:v>32</x:v>
      </x:c>
      <x:c r="L1143" s="10" t="n">
        <x:f>G1143*I1143</x:f>
        <x:v>79.95</x:v>
      </x:c>
      <x:c r="M1143" s="10" t="n">
        <x:f>ROUND((L1143-J1143)*H1143/G1143,2)</x:f>
        <x:v>0</x:v>
      </x:c>
      <x:c r="N1143" s="10" t="n">
        <x:f>L1143-J1143-M1143</x:f>
        <x:v>79.95</x:v>
      </x:c>
      <x:c r="O1143" s="10" t="n">
        <x:f>(G1143-H1143)*K1143</x:f>
        <x:v>32</x:v>
      </x:c>
      <x:c r="P1143" s="10" t="n">
        <x:f>N1143-O1143</x:f>
        <x:v>47.95</x:v>
      </x:c>
      <x:c r="Q1143" s="9" t="n">
        <x:f>A1143-WEEKDAY(A1143,2)+1</x:f>
        <x:v>46307</x:v>
      </x:c>
      <x:c r="R1143" s="2" t="str">
        <x:f>IF(AND(A1143&gt;='Review'!$B$4,A1143&lt;='Review'!$D$4),"Selected","Outside")</x:f>
        <x:v>Selected</x:v>
      </x:c>
    </x:row>
    <x:row r="1144" ht="20" customHeight="1">
      <x:c r="A1144" s="9" t="n">
        <x:v>46308</x:v>
      </x:c>
      <x:c r="B1144" s="2" t="str">
        <x:v>MM-1798</x:v>
      </x:c>
      <x:c r="C1144" s="2" t="str">
        <x:v>Organic Search</x:v>
      </x:c>
      <x:c r="D1144" s="2" t="str">
        <x:v>HAT-001</x:v>
      </x:c>
      <x:c r="E1144" s="2" t="str">
        <x:f>_xlfn.IFNA(VLOOKUP(D1144,'Products'!$A$7:$I$22,2,FALSE),"Unmapped")</x:f>
        <x:v>Classic canvas cap</x:v>
      </x:c>
      <x:c r="F1144" s="2" t="str">
        <x:f>_xlfn.IFNA(VLOOKUP(D1144,'Products'!$A$7:$I$22,3,FALSE),"Unmapped")</x:f>
        <x:v>Accessories</x:v>
      </x:c>
      <x:c r="G1144" s="2" t="n">
        <x:v>1</x:v>
      </x:c>
      <x:c r="H1144" s="2" t="n">
        <x:v>0</x:v>
      </x:c>
      <x:c r="I1144" s="10" t="n">
        <x:v>24.95</x:v>
      </x:c>
      <x:c r="J1144" s="10" t="n">
        <x:v>0</x:v>
      </x:c>
      <x:c r="K1144" s="10" t="n">
        <x:v>8.5</x:v>
      </x:c>
      <x:c r="L1144" s="10" t="n">
        <x:f>G1144*I1144</x:f>
        <x:v>24.95</x:v>
      </x:c>
      <x:c r="M1144" s="10" t="n">
        <x:f>ROUND((L1144-J1144)*H1144/G1144,2)</x:f>
        <x:v>0</x:v>
      </x:c>
      <x:c r="N1144" s="10" t="n">
        <x:f>L1144-J1144-M1144</x:f>
        <x:v>24.95</x:v>
      </x:c>
      <x:c r="O1144" s="10" t="n">
        <x:f>(G1144-H1144)*K1144</x:f>
        <x:v>8.5</x:v>
      </x:c>
      <x:c r="P1144" s="10" t="n">
        <x:f>N1144-O1144</x:f>
        <x:v>16.45</x:v>
      </x:c>
      <x:c r="Q1144" s="9" t="n">
        <x:f>A1144-WEEKDAY(A1144,2)+1</x:f>
        <x:v>46307</x:v>
      </x:c>
      <x:c r="R1144" s="2" t="str">
        <x:f>IF(AND(A1144&gt;='Review'!$B$4,A1144&lt;='Review'!$D$4),"Selected","Outside")</x:f>
        <x:v>Selected</x:v>
      </x:c>
    </x:row>
    <x:row r="1145" ht="20" customHeight="1">
      <x:c r="A1145" s="9" t="n">
        <x:v>46308</x:v>
      </x:c>
      <x:c r="B1145" s="2" t="str">
        <x:v>MM-1796</x:v>
      </x:c>
      <x:c r="C1145" s="2" t="str">
        <x:v>Email</x:v>
      </x:c>
      <x:c r="D1145" s="2" t="str">
        <x:v>GFT-001</x:v>
      </x:c>
      <x:c r="E1145" s="2" t="str">
        <x:f>_xlfn.IFNA(VLOOKUP(D1145,'Products'!$A$7:$I$22,2,FALSE),"Unmapped")</x:f>
        <x:v>Morning ritual gift set</x:v>
      </x:c>
      <x:c r="F1145" s="2" t="str">
        <x:f>_xlfn.IFNA(VLOOKUP(D1145,'Products'!$A$7:$I$22,3,FALSE),"Unmapped")</x:f>
        <x:v>Gifts</x:v>
      </x:c>
      <x:c r="G1145" s="2" t="n">
        <x:v>1</x:v>
      </x:c>
      <x:c r="H1145" s="2" t="n">
        <x:v>0</x:v>
      </x:c>
      <x:c r="I1145" s="10" t="n">
        <x:v>59.95</x:v>
      </x:c>
      <x:c r="J1145" s="10" t="n">
        <x:v>5.99</x:v>
      </x:c>
      <x:c r="K1145" s="10" t="n">
        <x:v>24</x:v>
      </x:c>
      <x:c r="L1145" s="10" t="n">
        <x:f>G1145*I1145</x:f>
        <x:v>59.95</x:v>
      </x:c>
      <x:c r="M1145" s="10" t="n">
        <x:f>ROUND((L1145-J1145)*H1145/G1145,2)</x:f>
        <x:v>0</x:v>
      </x:c>
      <x:c r="N1145" s="10" t="n">
        <x:f>L1145-J1145-M1145</x:f>
        <x:v>53.96</x:v>
      </x:c>
      <x:c r="O1145" s="10" t="n">
        <x:f>(G1145-H1145)*K1145</x:f>
        <x:v>24</x:v>
      </x:c>
      <x:c r="P1145" s="10" t="n">
        <x:f>N1145-O1145</x:f>
        <x:v>29.96</x:v>
      </x:c>
      <x:c r="Q1145" s="9" t="n">
        <x:f>A1145-WEEKDAY(A1145,2)+1</x:f>
        <x:v>46307</x:v>
      </x:c>
      <x:c r="R1145" s="2" t="str">
        <x:f>IF(AND(A1145&gt;='Review'!$B$4,A1145&lt;='Review'!$D$4),"Selected","Outside")</x:f>
        <x:v>Selected</x:v>
      </x:c>
    </x:row>
    <x:row r="1146" ht="20" customHeight="1">
      <x:c r="A1146" s="9" t="n">
        <x:v>46308</x:v>
      </x:c>
      <x:c r="B1146" s="2" t="str">
        <x:v>MM-1796</x:v>
      </x:c>
      <x:c r="C1146" s="2" t="str">
        <x:v>Email</x:v>
      </x:c>
      <x:c r="D1146" s="2" t="str">
        <x:v>BOT-001</x:v>
      </x:c>
      <x:c r="E1146" s="2" t="str">
        <x:f>_xlfn.IFNA(VLOOKUP(D1146,'Products'!$A$7:$I$22,2,FALSE),"Unmapped")</x:f>
        <x:v>Trail water bottle</x:v>
      </x:c>
      <x:c r="F1146" s="2" t="str">
        <x:f>_xlfn.IFNA(VLOOKUP(D1146,'Products'!$A$7:$I$22,3,FALSE),"Unmapped")</x:f>
        <x:v>Drinkware</x:v>
      </x:c>
      <x:c r="G1146" s="2" t="n">
        <x:v>3</x:v>
      </x:c>
      <x:c r="H1146" s="2" t="n">
        <x:v>0</x:v>
      </x:c>
      <x:c r="I1146" s="10" t="n">
        <x:v>34.95</x:v>
      </x:c>
      <x:c r="J1146" s="10" t="n">
        <x:v>10.48</x:v>
      </x:c>
      <x:c r="K1146" s="10" t="n">
        <x:v>13.5</x:v>
      </x:c>
      <x:c r="L1146" s="10" t="n">
        <x:f>G1146*I1146</x:f>
        <x:v>104.85000000000001</x:v>
      </x:c>
      <x:c r="M1146" s="10" t="n">
        <x:f>ROUND((L1146-J1146)*H1146/G1146,2)</x:f>
        <x:v>0</x:v>
      </x:c>
      <x:c r="N1146" s="10" t="n">
        <x:f>L1146-J1146-M1146</x:f>
        <x:v>94.37</x:v>
      </x:c>
      <x:c r="O1146" s="10" t="n">
        <x:f>(G1146-H1146)*K1146</x:f>
        <x:v>40.5</x:v>
      </x:c>
      <x:c r="P1146" s="10" t="n">
        <x:f>N1146-O1146</x:f>
        <x:v>53.870000000000005</x:v>
      </x:c>
      <x:c r="Q1146" s="9" t="n">
        <x:f>A1146-WEEKDAY(A1146,2)+1</x:f>
        <x:v>46307</x:v>
      </x:c>
      <x:c r="R1146" s="2" t="str">
        <x:f>IF(AND(A1146&gt;='Review'!$B$4,A1146&lt;='Review'!$D$4),"Selected","Outside")</x:f>
        <x:v>Selected</x:v>
      </x:c>
    </x:row>
    <x:row r="1147" ht="20" customHeight="1">
      <x:c r="A1147" s="9" t="n">
        <x:v>46308</x:v>
      </x:c>
      <x:c r="B1147" s="2" t="str">
        <x:v>MM-1803</x:v>
      </x:c>
      <x:c r="C1147" s="2" t="str">
        <x:v>Paid Social</x:v>
      </x:c>
      <x:c r="D1147" s="2" t="str">
        <x:v>PIN-001</x:v>
      </x:c>
      <x:c r="E1147" s="2" t="str">
        <x:f>_xlfn.IFNA(VLOOKUP(D1147,'Products'!$A$7:$I$22,2,FALSE),"Unmapped")</x:f>
        <x:v>Coffee enamel pin</x:v>
      </x:c>
      <x:c r="F1147" s="2" t="str">
        <x:f>_xlfn.IFNA(VLOOKUP(D1147,'Products'!$A$7:$I$22,3,FALSE),"Unmapped")</x:f>
        <x:v>Accessories</x:v>
      </x:c>
      <x:c r="G1147" s="2" t="n">
        <x:v>2</x:v>
      </x:c>
      <x:c r="H1147" s="2" t="n">
        <x:v>0</x:v>
      </x:c>
      <x:c r="I1147" s="10" t="n">
        <x:v>9.95</x:v>
      </x:c>
      <x:c r="J1147" s="10" t="n">
        <x:v>0</x:v>
      </x:c>
      <x:c r="K1147" s="10" t="n">
        <x:v>2.5</x:v>
      </x:c>
      <x:c r="L1147" s="10" t="n">
        <x:f>G1147*I1147</x:f>
        <x:v>19.9</x:v>
      </x:c>
      <x:c r="M1147" s="10" t="n">
        <x:f>ROUND((L1147-J1147)*H1147/G1147,2)</x:f>
        <x:v>0</x:v>
      </x:c>
      <x:c r="N1147" s="10" t="n">
        <x:f>L1147-J1147-M1147</x:f>
        <x:v>19.9</x:v>
      </x:c>
      <x:c r="O1147" s="10" t="n">
        <x:f>(G1147-H1147)*K1147</x:f>
        <x:v>5</x:v>
      </x:c>
      <x:c r="P1147" s="10" t="n">
        <x:f>N1147-O1147</x:f>
        <x:v>14.899999999999999</x:v>
      </x:c>
      <x:c r="Q1147" s="9" t="n">
        <x:f>A1147-WEEKDAY(A1147,2)+1</x:f>
        <x:v>46307</x:v>
      </x:c>
      <x:c r="R1147" s="2" t="str">
        <x:f>IF(AND(A1147&gt;='Review'!$B$4,A1147&lt;='Review'!$D$4),"Selected","Outside")</x:f>
        <x:v>Selected</x:v>
      </x:c>
    </x:row>
    <x:row r="1148" ht="20" customHeight="1">
      <x:c r="A1148" s="9" t="n">
        <x:v>46308</x:v>
      </x:c>
      <x:c r="B1148" s="2" t="str">
        <x:v>MM-1803</x:v>
      </x:c>
      <x:c r="C1148" s="2" t="str">
        <x:v>Paid Social</x:v>
      </x:c>
      <x:c r="D1148" s="2" t="str">
        <x:v>MUG-002</x:v>
      </x:c>
      <x:c r="E1148" s="2" t="str">
        <x:f>_xlfn.IFNA(VLOOKUP(D1148,'Products'!$A$7:$I$22,2,FALSE),"Unmapped")</x:f>
        <x:v>Campfire enamel mug</x:v>
      </x:c>
      <x:c r="F1148" s="2" t="str">
        <x:f>_xlfn.IFNA(VLOOKUP(D1148,'Products'!$A$7:$I$22,3,FALSE),"Unmapped")</x:f>
        <x:v>Drinkware</x:v>
      </x:c>
      <x:c r="G1148" s="2" t="n">
        <x:v>1</x:v>
      </x:c>
      <x:c r="H1148" s="2" t="n">
        <x:v>0</x:v>
      </x:c>
      <x:c r="I1148" s="10" t="n">
        <x:v>22.95</x:v>
      </x:c>
      <x:c r="J1148" s="10" t="n">
        <x:v>0</x:v>
      </x:c>
      <x:c r="K1148" s="10" t="n">
        <x:v>8.5</x:v>
      </x:c>
      <x:c r="L1148" s="10" t="n">
        <x:f>G1148*I1148</x:f>
        <x:v>22.95</x:v>
      </x:c>
      <x:c r="M1148" s="10" t="n">
        <x:f>ROUND((L1148-J1148)*H1148/G1148,2)</x:f>
        <x:v>0</x:v>
      </x:c>
      <x:c r="N1148" s="10" t="n">
        <x:f>L1148-J1148-M1148</x:f>
        <x:v>22.95</x:v>
      </x:c>
      <x:c r="O1148" s="10" t="n">
        <x:f>(G1148-H1148)*K1148</x:f>
        <x:v>8.5</x:v>
      </x:c>
      <x:c r="P1148" s="10" t="n">
        <x:f>N1148-O1148</x:f>
        <x:v>14.45</x:v>
      </x:c>
      <x:c r="Q1148" s="9" t="n">
        <x:f>A1148-WEEKDAY(A1148,2)+1</x:f>
        <x:v>46307</x:v>
      </x:c>
      <x:c r="R1148" s="2" t="str">
        <x:f>IF(AND(A1148&gt;='Review'!$B$4,A1148&lt;='Review'!$D$4),"Selected","Outside")</x:f>
        <x:v>Selected</x:v>
      </x:c>
    </x:row>
    <x:row r="1149" ht="20" customHeight="1">
      <x:c r="A1149" s="9" t="n">
        <x:v>46308</x:v>
      </x:c>
      <x:c r="B1149" s="2" t="str">
        <x:v>MM-1812</x:v>
      </x:c>
      <x:c r="C1149" s="2" t="str">
        <x:v>Paid Social</x:v>
      </x:c>
      <x:c r="D1149" s="2" t="str">
        <x:v>MUG-002</x:v>
      </x:c>
      <x:c r="E1149" s="2" t="str">
        <x:f>_xlfn.IFNA(VLOOKUP(D1149,'Products'!$A$7:$I$22,2,FALSE),"Unmapped")</x:f>
        <x:v>Campfire enamel mug</x:v>
      </x:c>
      <x:c r="F1149" s="2" t="str">
        <x:f>_xlfn.IFNA(VLOOKUP(D1149,'Products'!$A$7:$I$22,3,FALSE),"Unmapped")</x:f>
        <x:v>Drinkware</x:v>
      </x:c>
      <x:c r="G1149" s="2" t="n">
        <x:v>1</x:v>
      </x:c>
      <x:c r="H1149" s="2" t="n">
        <x:v>0</x:v>
      </x:c>
      <x:c r="I1149" s="10" t="n">
        <x:v>22.95</x:v>
      </x:c>
      <x:c r="J1149" s="10" t="n">
        <x:v>0</x:v>
      </x:c>
      <x:c r="K1149" s="10" t="n">
        <x:v>8.5</x:v>
      </x:c>
      <x:c r="L1149" s="10" t="n">
        <x:f>G1149*I1149</x:f>
        <x:v>22.95</x:v>
      </x:c>
      <x:c r="M1149" s="10" t="n">
        <x:f>ROUND((L1149-J1149)*H1149/G1149,2)</x:f>
        <x:v>0</x:v>
      </x:c>
      <x:c r="N1149" s="10" t="n">
        <x:f>L1149-J1149-M1149</x:f>
        <x:v>22.95</x:v>
      </x:c>
      <x:c r="O1149" s="10" t="n">
        <x:f>(G1149-H1149)*K1149</x:f>
        <x:v>8.5</x:v>
      </x:c>
      <x:c r="P1149" s="10" t="n">
        <x:f>N1149-O1149</x:f>
        <x:v>14.45</x:v>
      </x:c>
      <x:c r="Q1149" s="9" t="n">
        <x:f>A1149-WEEKDAY(A1149,2)+1</x:f>
        <x:v>46307</x:v>
      </x:c>
      <x:c r="R1149" s="2" t="str">
        <x:f>IF(AND(A1149&gt;='Review'!$B$4,A1149&lt;='Review'!$D$4),"Selected","Outside")</x:f>
        <x:v>Selected</x:v>
      </x:c>
    </x:row>
    <x:row r="1150" ht="20" customHeight="1">
      <x:c r="A1150" s="9" t="n">
        <x:v>46308</x:v>
      </x:c>
      <x:c r="B1150" s="2" t="str">
        <x:v>MM-1800</x:v>
      </x:c>
      <x:c r="C1150" s="2" t="str">
        <x:v>Organic Search</x:v>
      </x:c>
      <x:c r="D1150" s="2" t="str">
        <x:v>PIN-001</x:v>
      </x:c>
      <x:c r="E1150" s="2" t="str">
        <x:f>_xlfn.IFNA(VLOOKUP(D1150,'Products'!$A$7:$I$22,2,FALSE),"Unmapped")</x:f>
        <x:v>Coffee enamel pin</x:v>
      </x:c>
      <x:c r="F1150" s="2" t="str">
        <x:f>_xlfn.IFNA(VLOOKUP(D1150,'Products'!$A$7:$I$22,3,FALSE),"Unmapped")</x:f>
        <x:v>Accessories</x:v>
      </x:c>
      <x:c r="G1150" s="2" t="n">
        <x:v>1</x:v>
      </x:c>
      <x:c r="H1150" s="2" t="n">
        <x:v>0</x:v>
      </x:c>
      <x:c r="I1150" s="10" t="n">
        <x:v>9.95</x:v>
      </x:c>
      <x:c r="J1150" s="10" t="n">
        <x:v>0</x:v>
      </x:c>
      <x:c r="K1150" s="10" t="n">
        <x:v>2.5</x:v>
      </x:c>
      <x:c r="L1150" s="10" t="n">
        <x:f>G1150*I1150</x:f>
        <x:v>9.95</x:v>
      </x:c>
      <x:c r="M1150" s="10" t="n">
        <x:f>ROUND((L1150-J1150)*H1150/G1150,2)</x:f>
        <x:v>0</x:v>
      </x:c>
      <x:c r="N1150" s="10" t="n">
        <x:f>L1150-J1150-M1150</x:f>
        <x:v>9.95</x:v>
      </x:c>
      <x:c r="O1150" s="10" t="n">
        <x:f>(G1150-H1150)*K1150</x:f>
        <x:v>2.5</x:v>
      </x:c>
      <x:c r="P1150" s="10" t="n">
        <x:f>N1150-O1150</x:f>
        <x:v>7.449999999999999</x:v>
      </x:c>
      <x:c r="Q1150" s="9" t="n">
        <x:f>A1150-WEEKDAY(A1150,2)+1</x:f>
        <x:v>46307</x:v>
      </x:c>
      <x:c r="R1150" s="2" t="str">
        <x:f>IF(AND(A1150&gt;='Review'!$B$4,A1150&lt;='Review'!$D$4),"Selected","Outside")</x:f>
        <x:v>Selected</x:v>
      </x:c>
    </x:row>
    <x:row r="1151" ht="20" customHeight="1">
      <x:c r="A1151" s="9" t="n">
        <x:v>46308</x:v>
      </x:c>
      <x:c r="B1151" s="2" t="str">
        <x:v>MM-1807</x:v>
      </x:c>
      <x:c r="C1151" s="2" t="str">
        <x:v>Paid Social</x:v>
      </x:c>
      <x:c r="D1151" s="2" t="str">
        <x:v>MUG-001</x:v>
      </x:c>
      <x:c r="E1151" s="2" t="str">
        <x:f>_xlfn.IFNA(VLOOKUP(D1151,'Products'!$A$7:$I$22,2,FALSE),"Unmapped")</x:f>
        <x:v>Everyday ceramic mug</x:v>
      </x:c>
      <x:c r="F1151" s="2" t="str">
        <x:f>_xlfn.IFNA(VLOOKUP(D1151,'Products'!$A$7:$I$22,3,FALSE),"Unmapped")</x:f>
        <x:v>Drinkware</x:v>
      </x:c>
      <x:c r="G1151" s="2" t="n">
        <x:v>1</x:v>
      </x:c>
      <x:c r="H1151" s="2" t="n">
        <x:v>0</x:v>
      </x:c>
      <x:c r="I1151" s="10" t="n">
        <x:v>18.95</x:v>
      </x:c>
      <x:c r="J1151" s="10" t="n">
        <x:v>0</x:v>
      </x:c>
      <x:c r="K1151" s="10" t="n">
        <x:v>6.5</x:v>
      </x:c>
      <x:c r="L1151" s="10" t="n">
        <x:f>G1151*I1151</x:f>
        <x:v>18.95</x:v>
      </x:c>
      <x:c r="M1151" s="10" t="n">
        <x:f>ROUND((L1151-J1151)*H1151/G1151,2)</x:f>
        <x:v>0</x:v>
      </x:c>
      <x:c r="N1151" s="10" t="n">
        <x:f>L1151-J1151-M1151</x:f>
        <x:v>18.95</x:v>
      </x:c>
      <x:c r="O1151" s="10" t="n">
        <x:f>(G1151-H1151)*K1151</x:f>
        <x:v>6.5</x:v>
      </x:c>
      <x:c r="P1151" s="10" t="n">
        <x:f>N1151-O1151</x:f>
        <x:v>12.45</x:v>
      </x:c>
      <x:c r="Q1151" s="9" t="n">
        <x:f>A1151-WEEKDAY(A1151,2)+1</x:f>
        <x:v>46307</x:v>
      </x:c>
      <x:c r="R1151" s="2" t="str">
        <x:f>IF(AND(A1151&gt;='Review'!$B$4,A1151&lt;='Review'!$D$4),"Selected","Outside")</x:f>
        <x:v>Selected</x:v>
      </x:c>
    </x:row>
    <x:row r="1152" ht="20" customHeight="1">
      <x:c r="A1152" s="9" t="n">
        <x:v>46309</x:v>
      </x:c>
      <x:c r="B1152" s="2" t="str">
        <x:v>MM-1830</x:v>
      </x:c>
      <x:c r="C1152" s="2" t="str">
        <x:v>Organic Search</x:v>
      </x:c>
      <x:c r="D1152" s="2" t="str">
        <x:v>MUG-001</x:v>
      </x:c>
      <x:c r="E1152" s="2" t="str">
        <x:f>_xlfn.IFNA(VLOOKUP(D1152,'Products'!$A$7:$I$22,2,FALSE),"Unmapped")</x:f>
        <x:v>Everyday ceramic mug</x:v>
      </x:c>
      <x:c r="F1152" s="2" t="str">
        <x:f>_xlfn.IFNA(VLOOKUP(D1152,'Products'!$A$7:$I$22,3,FALSE),"Unmapped")</x:f>
        <x:v>Drinkware</x:v>
      </x:c>
      <x:c r="G1152" s="2" t="n">
        <x:v>2</x:v>
      </x:c>
      <x:c r="H1152" s="2" t="n">
        <x:v>0</x:v>
      </x:c>
      <x:c r="I1152" s="10" t="n">
        <x:v>18.95</x:v>
      </x:c>
      <x:c r="J1152" s="10" t="n">
        <x:v>0</x:v>
      </x:c>
      <x:c r="K1152" s="10" t="n">
        <x:v>6.5</x:v>
      </x:c>
      <x:c r="L1152" s="10" t="n">
        <x:f>G1152*I1152</x:f>
        <x:v>37.9</x:v>
      </x:c>
      <x:c r="M1152" s="10" t="n">
        <x:f>ROUND((L1152-J1152)*H1152/G1152,2)</x:f>
        <x:v>0</x:v>
      </x:c>
      <x:c r="N1152" s="10" t="n">
        <x:f>L1152-J1152-M1152</x:f>
        <x:v>37.9</x:v>
      </x:c>
      <x:c r="O1152" s="10" t="n">
        <x:f>(G1152-H1152)*K1152</x:f>
        <x:v>13</x:v>
      </x:c>
      <x:c r="P1152" s="10" t="n">
        <x:f>N1152-O1152</x:f>
        <x:v>24.9</x:v>
      </x:c>
      <x:c r="Q1152" s="9" t="n">
        <x:f>A1152-WEEKDAY(A1152,2)+1</x:f>
        <x:v>46307</x:v>
      </x:c>
      <x:c r="R1152" s="2" t="str">
        <x:f>IF(AND(A1152&gt;='Review'!$B$4,A1152&lt;='Review'!$D$4),"Selected","Outside")</x:f>
        <x:v>Selected</x:v>
      </x:c>
    </x:row>
    <x:row r="1153" ht="20" customHeight="1">
      <x:c r="A1153" s="9" t="n">
        <x:v>46309</x:v>
      </x:c>
      <x:c r="B1153" s="2" t="str">
        <x:v>MM-1817</x:v>
      </x:c>
      <x:c r="C1153" s="2" t="str">
        <x:v>Paid Social</x:v>
      </x:c>
      <x:c r="D1153" s="2" t="str">
        <x:v>BOT-001</x:v>
      </x:c>
      <x:c r="E1153" s="2" t="str">
        <x:f>_xlfn.IFNA(VLOOKUP(D1153,'Products'!$A$7:$I$22,2,FALSE),"Unmapped")</x:f>
        <x:v>Trail water bottle</x:v>
      </x:c>
      <x:c r="F1153" s="2" t="str">
        <x:f>_xlfn.IFNA(VLOOKUP(D1153,'Products'!$A$7:$I$22,3,FALSE),"Unmapped")</x:f>
        <x:v>Drinkware</x:v>
      </x:c>
      <x:c r="G1153" s="2" t="n">
        <x:v>2</x:v>
      </x:c>
      <x:c r="H1153" s="2" t="n">
        <x:v>0</x:v>
      </x:c>
      <x:c r="I1153" s="10" t="n">
        <x:v>34.95</x:v>
      </x:c>
      <x:c r="J1153" s="10" t="n">
        <x:v>0</x:v>
      </x:c>
      <x:c r="K1153" s="10" t="n">
        <x:v>13.5</x:v>
      </x:c>
      <x:c r="L1153" s="10" t="n">
        <x:f>G1153*I1153</x:f>
        <x:v>69.9</x:v>
      </x:c>
      <x:c r="M1153" s="10" t="n">
        <x:f>ROUND((L1153-J1153)*H1153/G1153,2)</x:f>
        <x:v>0</x:v>
      </x:c>
      <x:c r="N1153" s="10" t="n">
        <x:f>L1153-J1153-M1153</x:f>
        <x:v>69.9</x:v>
      </x:c>
      <x:c r="O1153" s="10" t="n">
        <x:f>(G1153-H1153)*K1153</x:f>
        <x:v>27</x:v>
      </x:c>
      <x:c r="P1153" s="10" t="n">
        <x:f>N1153-O1153</x:f>
        <x:v>42.900000000000006</x:v>
      </x:c>
      <x:c r="Q1153" s="9" t="n">
        <x:f>A1153-WEEKDAY(A1153,2)+1</x:f>
        <x:v>46307</x:v>
      </x:c>
      <x:c r="R1153" s="2" t="str">
        <x:f>IF(AND(A1153&gt;='Review'!$B$4,A1153&lt;='Review'!$D$4),"Selected","Outside")</x:f>
        <x:v>Selected</x:v>
      </x:c>
    </x:row>
    <x:row r="1154" ht="20" customHeight="1">
      <x:c r="A1154" s="9" t="n">
        <x:v>46309</x:v>
      </x:c>
      <x:c r="B1154" s="2" t="str">
        <x:v>MM-1817</x:v>
      </x:c>
      <x:c r="C1154" s="2" t="str">
        <x:v>Paid Social</x:v>
      </x:c>
      <x:c r="D1154" s="2" t="str">
        <x:v>APP-003</x:v>
      </x:c>
      <x:c r="E1154" s="2" t="str">
        <x:f>_xlfn.IFNA(VLOOKUP(D1154,'Products'!$A$7:$I$22,2,FALSE),"Unmapped")</x:f>
        <x:v>Coffee club tee</x:v>
      </x:c>
      <x:c r="F1154" s="2" t="str">
        <x:f>_xlfn.IFNA(VLOOKUP(D1154,'Products'!$A$7:$I$22,3,FALSE),"Unmapped")</x:f>
        <x:v>Apparel</x:v>
      </x:c>
      <x:c r="G1154" s="2" t="n">
        <x:v>1</x:v>
      </x:c>
      <x:c r="H1154" s="2" t="n">
        <x:v>0</x:v>
      </x:c>
      <x:c r="I1154" s="10" t="n">
        <x:v>29.95</x:v>
      </x:c>
      <x:c r="J1154" s="10" t="n">
        <x:v>0</x:v>
      </x:c>
      <x:c r="K1154" s="10" t="n">
        <x:v>10</x:v>
      </x:c>
      <x:c r="L1154" s="10" t="n">
        <x:f>G1154*I1154</x:f>
        <x:v>29.95</x:v>
      </x:c>
      <x:c r="M1154" s="10" t="n">
        <x:f>ROUND((L1154-J1154)*H1154/G1154,2)</x:f>
        <x:v>0</x:v>
      </x:c>
      <x:c r="N1154" s="10" t="n">
        <x:f>L1154-J1154-M1154</x:f>
        <x:v>29.95</x:v>
      </x:c>
      <x:c r="O1154" s="10" t="n">
        <x:f>(G1154-H1154)*K1154</x:f>
        <x:v>10</x:v>
      </x:c>
      <x:c r="P1154" s="10" t="n">
        <x:f>N1154-O1154</x:f>
        <x:v>19.95</x:v>
      </x:c>
      <x:c r="Q1154" s="9" t="n">
        <x:f>A1154-WEEKDAY(A1154,2)+1</x:f>
        <x:v>46307</x:v>
      </x:c>
      <x:c r="R1154" s="2" t="str">
        <x:f>IF(AND(A1154&gt;='Review'!$B$4,A1154&lt;='Review'!$D$4),"Selected","Outside")</x:f>
        <x:v>Selected</x:v>
      </x:c>
    </x:row>
    <x:row r="1155" ht="20" customHeight="1">
      <x:c r="A1155" s="9" t="n">
        <x:v>46309</x:v>
      </x:c>
      <x:c r="B1155" s="2" t="str">
        <x:v>MM-1831</x:v>
      </x:c>
      <x:c r="C1155" s="2" t="str">
        <x:v>Email</x:v>
      </x:c>
      <x:c r="D1155" s="2" t="str">
        <x:v>TOTE-001</x:v>
      </x:c>
      <x:c r="E1155" s="2" t="str">
        <x:f>_xlfn.IFNA(VLOOKUP(D1155,'Products'!$A$7:$I$22,2,FALSE),"Unmapped")</x:f>
        <x:v>Market canvas tote</x:v>
      </x:c>
      <x:c r="F1155" s="2" t="str">
        <x:f>_xlfn.IFNA(VLOOKUP(D1155,'Products'!$A$7:$I$22,3,FALSE),"Unmapped")</x:f>
        <x:v>Accessories</x:v>
      </x:c>
      <x:c r="G1155" s="2" t="n">
        <x:v>1</x:v>
      </x:c>
      <x:c r="H1155" s="2" t="n">
        <x:v>0</x:v>
      </x:c>
      <x:c r="I1155" s="10" t="n">
        <x:v>19.95</x:v>
      </x:c>
      <x:c r="J1155" s="10" t="n">
        <x:v>1.99</x:v>
      </x:c>
      <x:c r="K1155" s="10" t="n">
        <x:v>6</x:v>
      </x:c>
      <x:c r="L1155" s="10" t="n">
        <x:f>G1155*I1155</x:f>
        <x:v>19.95</x:v>
      </x:c>
      <x:c r="M1155" s="10" t="n">
        <x:f>ROUND((L1155-J1155)*H1155/G1155,2)</x:f>
        <x:v>0</x:v>
      </x:c>
      <x:c r="N1155" s="10" t="n">
        <x:f>L1155-J1155-M1155</x:f>
        <x:v>17.96</x:v>
      </x:c>
      <x:c r="O1155" s="10" t="n">
        <x:f>(G1155-H1155)*K1155</x:f>
        <x:v>6</x:v>
      </x:c>
      <x:c r="P1155" s="10" t="n">
        <x:f>N1155-O1155</x:f>
        <x:v>11.96</x:v>
      </x:c>
      <x:c r="Q1155" s="9" t="n">
        <x:f>A1155-WEEKDAY(A1155,2)+1</x:f>
        <x:v>46307</x:v>
      </x:c>
      <x:c r="R1155" s="2" t="str">
        <x:f>IF(AND(A1155&gt;='Review'!$B$4,A1155&lt;='Review'!$D$4),"Selected","Outside")</x:f>
        <x:v>Selected</x:v>
      </x:c>
    </x:row>
    <x:row r="1156" ht="20" customHeight="1">
      <x:c r="A1156" s="9" t="n">
        <x:v>46309</x:v>
      </x:c>
      <x:c r="B1156" s="2" t="str">
        <x:v>MM-1831</x:v>
      </x:c>
      <x:c r="C1156" s="2" t="str">
        <x:v>Email</x:v>
      </x:c>
      <x:c r="D1156" s="2" t="str">
        <x:v>KEY-001</x:v>
      </x:c>
      <x:c r="E1156" s="2" t="str">
        <x:f>_xlfn.IFNA(VLOOKUP(D1156,'Products'!$A$7:$I$22,2,FALSE),"Unmapped")</x:f>
        <x:v>Maple keyring</x:v>
      </x:c>
      <x:c r="F1156" s="2" t="str">
        <x:f>_xlfn.IFNA(VLOOKUP(D1156,'Products'!$A$7:$I$22,3,FALSE),"Unmapped")</x:f>
        <x:v>Accessories</x:v>
      </x:c>
      <x:c r="G1156" s="2" t="n">
        <x:v>1</x:v>
      </x:c>
      <x:c r="H1156" s="2" t="n">
        <x:v>0</x:v>
      </x:c>
      <x:c r="I1156" s="10" t="n">
        <x:v>12.95</x:v>
      </x:c>
      <x:c r="J1156" s="10" t="n">
        <x:v>1.29</x:v>
      </x:c>
      <x:c r="K1156" s="10" t="n">
        <x:v>3.5</x:v>
      </x:c>
      <x:c r="L1156" s="10" t="n">
        <x:f>G1156*I1156</x:f>
        <x:v>12.95</x:v>
      </x:c>
      <x:c r="M1156" s="10" t="n">
        <x:f>ROUND((L1156-J1156)*H1156/G1156,2)</x:f>
        <x:v>0</x:v>
      </x:c>
      <x:c r="N1156" s="10" t="n">
        <x:f>L1156-J1156-M1156</x:f>
        <x:v>11.66</x:v>
      </x:c>
      <x:c r="O1156" s="10" t="n">
        <x:f>(G1156-H1156)*K1156</x:f>
        <x:v>3.5</x:v>
      </x:c>
      <x:c r="P1156" s="10" t="n">
        <x:f>N1156-O1156</x:f>
        <x:v>8.16</x:v>
      </x:c>
      <x:c r="Q1156" s="9" t="n">
        <x:f>A1156-WEEKDAY(A1156,2)+1</x:f>
        <x:v>46307</x:v>
      </x:c>
      <x:c r="R1156" s="2" t="str">
        <x:f>IF(AND(A1156&gt;='Review'!$B$4,A1156&lt;='Review'!$D$4),"Selected","Outside")</x:f>
        <x:v>Selected</x:v>
      </x:c>
    </x:row>
    <x:row r="1157" ht="20" customHeight="1">
      <x:c r="A1157" s="9" t="n">
        <x:v>46309</x:v>
      </x:c>
      <x:c r="B1157" s="2" t="str">
        <x:v>MM-1829</x:v>
      </x:c>
      <x:c r="C1157" s="2" t="str">
        <x:v>Organic Search</x:v>
      </x:c>
      <x:c r="D1157" s="2" t="str">
        <x:v>TOTE-001</x:v>
      </x:c>
      <x:c r="E1157" s="2" t="str">
        <x:f>_xlfn.IFNA(VLOOKUP(D1157,'Products'!$A$7:$I$22,2,FALSE),"Unmapped")</x:f>
        <x:v>Market canvas tote</x:v>
      </x:c>
      <x:c r="F1157" s="2" t="str">
        <x:f>_xlfn.IFNA(VLOOKUP(D1157,'Products'!$A$7:$I$22,3,FALSE),"Unmapped")</x:f>
        <x:v>Accessories</x:v>
      </x:c>
      <x:c r="G1157" s="2" t="n">
        <x:v>1</x:v>
      </x:c>
      <x:c r="H1157" s="2" t="n">
        <x:v>0</x:v>
      </x:c>
      <x:c r="I1157" s="10" t="n">
        <x:v>19.95</x:v>
      </x:c>
      <x:c r="J1157" s="10" t="n">
        <x:v>0</x:v>
      </x:c>
      <x:c r="K1157" s="10" t="n">
        <x:v>6</x:v>
      </x:c>
      <x:c r="L1157" s="10" t="n">
        <x:f>G1157*I1157</x:f>
        <x:v>19.95</x:v>
      </x:c>
      <x:c r="M1157" s="10" t="n">
        <x:f>ROUND((L1157-J1157)*H1157/G1157,2)</x:f>
        <x:v>0</x:v>
      </x:c>
      <x:c r="N1157" s="10" t="n">
        <x:f>L1157-J1157-M1157</x:f>
        <x:v>19.95</x:v>
      </x:c>
      <x:c r="O1157" s="10" t="n">
        <x:f>(G1157-H1157)*K1157</x:f>
        <x:v>6</x:v>
      </x:c>
      <x:c r="P1157" s="10" t="n">
        <x:f>N1157-O1157</x:f>
        <x:v>13.95</x:v>
      </x:c>
      <x:c r="Q1157" s="9" t="n">
        <x:f>A1157-WEEKDAY(A1157,2)+1</x:f>
        <x:v>46307</x:v>
      </x:c>
      <x:c r="R1157" s="2" t="str">
        <x:f>IF(AND(A1157&gt;='Review'!$B$4,A1157&lt;='Review'!$D$4),"Selected","Outside")</x:f>
        <x:v>Selected</x:v>
      </x:c>
    </x:row>
    <x:row r="1158" ht="20" customHeight="1">
      <x:c r="A1158" s="9" t="n">
        <x:v>46309</x:v>
      </x:c>
      <x:c r="B1158" s="2" t="str">
        <x:v>MM-1834</x:v>
      </x:c>
      <x:c r="C1158" s="2" t="str">
        <x:v>Email</x:v>
      </x:c>
      <x:c r="D1158" s="2" t="str">
        <x:v>TOTE-001</x:v>
      </x:c>
      <x:c r="E1158" s="2" t="str">
        <x:f>_xlfn.IFNA(VLOOKUP(D1158,'Products'!$A$7:$I$22,2,FALSE),"Unmapped")</x:f>
        <x:v>Market canvas tote</x:v>
      </x:c>
      <x:c r="F1158" s="2" t="str">
        <x:f>_xlfn.IFNA(VLOOKUP(D1158,'Products'!$A$7:$I$22,3,FALSE),"Unmapped")</x:f>
        <x:v>Accessories</x:v>
      </x:c>
      <x:c r="G1158" s="2" t="n">
        <x:v>1</x:v>
      </x:c>
      <x:c r="H1158" s="2" t="n">
        <x:v>0</x:v>
      </x:c>
      <x:c r="I1158" s="10" t="n">
        <x:v>19.95</x:v>
      </x:c>
      <x:c r="J1158" s="10" t="n">
        <x:v>1.99</x:v>
      </x:c>
      <x:c r="K1158" s="10" t="n">
        <x:v>6</x:v>
      </x:c>
      <x:c r="L1158" s="10" t="n">
        <x:f>G1158*I1158</x:f>
        <x:v>19.95</x:v>
      </x:c>
      <x:c r="M1158" s="10" t="n">
        <x:f>ROUND((L1158-J1158)*H1158/G1158,2)</x:f>
        <x:v>0</x:v>
      </x:c>
      <x:c r="N1158" s="10" t="n">
        <x:f>L1158-J1158-M1158</x:f>
        <x:v>17.96</x:v>
      </x:c>
      <x:c r="O1158" s="10" t="n">
        <x:f>(G1158-H1158)*K1158</x:f>
        <x:v>6</x:v>
      </x:c>
      <x:c r="P1158" s="10" t="n">
        <x:f>N1158-O1158</x:f>
        <x:v>11.96</x:v>
      </x:c>
      <x:c r="Q1158" s="9" t="n">
        <x:f>A1158-WEEKDAY(A1158,2)+1</x:f>
        <x:v>46307</x:v>
      </x:c>
      <x:c r="R1158" s="2" t="str">
        <x:f>IF(AND(A1158&gt;='Review'!$B$4,A1158&lt;='Review'!$D$4),"Selected","Outside")</x:f>
        <x:v>Selected</x:v>
      </x:c>
    </x:row>
    <x:row r="1159" ht="20" customHeight="1">
      <x:c r="A1159" s="9" t="n">
        <x:v>46309</x:v>
      </x:c>
      <x:c r="B1159" s="2" t="str">
        <x:v>MM-1827</x:v>
      </x:c>
      <x:c r="C1159" s="2" t="str">
        <x:v>Paid Social</x:v>
      </x:c>
      <x:c r="D1159" s="2" t="str">
        <x:v>APP-001</x:v>
      </x:c>
      <x:c r="E1159" s="2" t="str">
        <x:f>_xlfn.IFNA(VLOOKUP(D1159,'Products'!$A$7:$I$22,2,FALSE),"Unmapped")</x:f>
        <x:v>Everyday crewneck</x:v>
      </x:c>
      <x:c r="F1159" s="2" t="str">
        <x:f>_xlfn.IFNA(VLOOKUP(D1159,'Products'!$A$7:$I$22,3,FALSE),"Unmapped")</x:f>
        <x:v>Apparel</x:v>
      </x:c>
      <x:c r="G1159" s="2" t="n">
        <x:v>1</x:v>
      </x:c>
      <x:c r="H1159" s="2" t="n">
        <x:v>0</x:v>
      </x:c>
      <x:c r="I1159" s="10" t="n">
        <x:v>54.95</x:v>
      </x:c>
      <x:c r="J1159" s="10" t="n">
        <x:v>5.49</x:v>
      </x:c>
      <x:c r="K1159" s="10" t="n">
        <x:v>22</x:v>
      </x:c>
      <x:c r="L1159" s="10" t="n">
        <x:f>G1159*I1159</x:f>
        <x:v>54.95</x:v>
      </x:c>
      <x:c r="M1159" s="10" t="n">
        <x:f>ROUND((L1159-J1159)*H1159/G1159,2)</x:f>
        <x:v>0</x:v>
      </x:c>
      <x:c r="N1159" s="10" t="n">
        <x:f>L1159-J1159-M1159</x:f>
        <x:v>49.46</x:v>
      </x:c>
      <x:c r="O1159" s="10" t="n">
        <x:f>(G1159-H1159)*K1159</x:f>
        <x:v>22</x:v>
      </x:c>
      <x:c r="P1159" s="10" t="n">
        <x:f>N1159-O1159</x:f>
        <x:v>27.46</x:v>
      </x:c>
      <x:c r="Q1159" s="9" t="n">
        <x:f>A1159-WEEKDAY(A1159,2)+1</x:f>
        <x:v>46307</x:v>
      </x:c>
      <x:c r="R1159" s="2" t="str">
        <x:f>IF(AND(A1159&gt;='Review'!$B$4,A1159&lt;='Review'!$D$4),"Selected","Outside")</x:f>
        <x:v>Selected</x:v>
      </x:c>
    </x:row>
    <x:row r="1160" ht="20" customHeight="1">
      <x:c r="A1160" s="9" t="n">
        <x:v>46309</x:v>
      </x:c>
      <x:c r="B1160" s="2" t="str">
        <x:v>MM-1828</x:v>
      </x:c>
      <x:c r="C1160" s="2" t="str">
        <x:v>Organic Search</x:v>
      </x:c>
      <x:c r="D1160" s="2" t="str">
        <x:v>MUG-001</x:v>
      </x:c>
      <x:c r="E1160" s="2" t="str">
        <x:f>_xlfn.IFNA(VLOOKUP(D1160,'Products'!$A$7:$I$22,2,FALSE),"Unmapped")</x:f>
        <x:v>Everyday ceramic mug</x:v>
      </x:c>
      <x:c r="F1160" s="2" t="str">
        <x:f>_xlfn.IFNA(VLOOKUP(D1160,'Products'!$A$7:$I$22,3,FALSE),"Unmapped")</x:f>
        <x:v>Drinkware</x:v>
      </x:c>
      <x:c r="G1160" s="2" t="n">
        <x:v>2</x:v>
      </x:c>
      <x:c r="H1160" s="2" t="n">
        <x:v>1</x:v>
      </x:c>
      <x:c r="I1160" s="10" t="n">
        <x:v>18.95</x:v>
      </x:c>
      <x:c r="J1160" s="10" t="n">
        <x:v>0</x:v>
      </x:c>
      <x:c r="K1160" s="10" t="n">
        <x:v>6.5</x:v>
      </x:c>
      <x:c r="L1160" s="10" t="n">
        <x:f>G1160*I1160</x:f>
        <x:v>37.9</x:v>
      </x:c>
      <x:c r="M1160" s="10" t="n">
        <x:f>ROUND((L1160-J1160)*H1160/G1160,2)</x:f>
        <x:v>18.95</x:v>
      </x:c>
      <x:c r="N1160" s="10" t="n">
        <x:f>L1160-J1160-M1160</x:f>
        <x:v>18.95</x:v>
      </x:c>
      <x:c r="O1160" s="10" t="n">
        <x:f>(G1160-H1160)*K1160</x:f>
        <x:v>6.5</x:v>
      </x:c>
      <x:c r="P1160" s="10" t="n">
        <x:f>N1160-O1160</x:f>
        <x:v>12.45</x:v>
      </x:c>
      <x:c r="Q1160" s="9" t="n">
        <x:f>A1160-WEEKDAY(A1160,2)+1</x:f>
        <x:v>46307</x:v>
      </x:c>
      <x:c r="R1160" s="2" t="str">
        <x:f>IF(AND(A1160&gt;='Review'!$B$4,A1160&lt;='Review'!$D$4),"Selected","Outside")</x:f>
        <x:v>Selected</x:v>
      </x:c>
    </x:row>
    <x:row r="1161" ht="20" customHeight="1">
      <x:c r="A1161" s="9" t="n">
        <x:v>46309</x:v>
      </x:c>
      <x:c r="B1161" s="2" t="str">
        <x:v>MM-1818</x:v>
      </x:c>
      <x:c r="C1161" s="2" t="str">
        <x:v>Organic Search</x:v>
      </x:c>
      <x:c r="D1161" s="2" t="str">
        <x:v>GFT-002</x:v>
      </x:c>
      <x:c r="E1161" s="2" t="str">
        <x:f>_xlfn.IFNA(VLOOKUP(D1161,'Products'!$A$7:$I$22,2,FALSE),"Unmapped")</x:f>
        <x:v>Cozy weekend gift box</x:v>
      </x:c>
      <x:c r="F1161" s="2" t="str">
        <x:f>_xlfn.IFNA(VLOOKUP(D1161,'Products'!$A$7:$I$22,3,FALSE),"Unmapped")</x:f>
        <x:v>Gifts</x:v>
      </x:c>
      <x:c r="G1161" s="2" t="n">
        <x:v>1</x:v>
      </x:c>
      <x:c r="H1161" s="2" t="n">
        <x:v>0</x:v>
      </x:c>
      <x:c r="I1161" s="10" t="n">
        <x:v>79.95</x:v>
      </x:c>
      <x:c r="J1161" s="10" t="n">
        <x:v>0</x:v>
      </x:c>
      <x:c r="K1161" s="10" t="n">
        <x:v>32</x:v>
      </x:c>
      <x:c r="L1161" s="10" t="n">
        <x:f>G1161*I1161</x:f>
        <x:v>79.95</x:v>
      </x:c>
      <x:c r="M1161" s="10" t="n">
        <x:f>ROUND((L1161-J1161)*H1161/G1161,2)</x:f>
        <x:v>0</x:v>
      </x:c>
      <x:c r="N1161" s="10" t="n">
        <x:f>L1161-J1161-M1161</x:f>
        <x:v>79.95</x:v>
      </x:c>
      <x:c r="O1161" s="10" t="n">
        <x:f>(G1161-H1161)*K1161</x:f>
        <x:v>32</x:v>
      </x:c>
      <x:c r="P1161" s="10" t="n">
        <x:f>N1161-O1161</x:f>
        <x:v>47.95</x:v>
      </x:c>
      <x:c r="Q1161" s="9" t="n">
        <x:f>A1161-WEEKDAY(A1161,2)+1</x:f>
        <x:v>46307</x:v>
      </x:c>
      <x:c r="R1161" s="2" t="str">
        <x:f>IF(AND(A1161&gt;='Review'!$B$4,A1161&lt;='Review'!$D$4),"Selected","Outside")</x:f>
        <x:v>Selected</x:v>
      </x:c>
    </x:row>
    <x:row r="1162" ht="20" customHeight="1">
      <x:c r="A1162" s="9" t="n">
        <x:v>46309</x:v>
      </x:c>
      <x:c r="B1162" s="2" t="str">
        <x:v>MM-1822</x:v>
      </x:c>
      <x:c r="C1162" s="2" t="str">
        <x:v>Email</x:v>
      </x:c>
      <x:c r="D1162" s="2" t="str">
        <x:v>APP-001</x:v>
      </x:c>
      <x:c r="E1162" s="2" t="str">
        <x:f>_xlfn.IFNA(VLOOKUP(D1162,'Products'!$A$7:$I$22,2,FALSE),"Unmapped")</x:f>
        <x:v>Everyday crewneck</x:v>
      </x:c>
      <x:c r="F1162" s="2" t="str">
        <x:f>_xlfn.IFNA(VLOOKUP(D1162,'Products'!$A$7:$I$22,3,FALSE),"Unmapped")</x:f>
        <x:v>Apparel</x:v>
      </x:c>
      <x:c r="G1162" s="2" t="n">
        <x:v>1</x:v>
      </x:c>
      <x:c r="H1162" s="2" t="n">
        <x:v>0</x:v>
      </x:c>
      <x:c r="I1162" s="10" t="n">
        <x:v>54.95</x:v>
      </x:c>
      <x:c r="J1162" s="10" t="n">
        <x:v>5.49</x:v>
      </x:c>
      <x:c r="K1162" s="10" t="n">
        <x:v>22</x:v>
      </x:c>
      <x:c r="L1162" s="10" t="n">
        <x:f>G1162*I1162</x:f>
        <x:v>54.95</x:v>
      </x:c>
      <x:c r="M1162" s="10" t="n">
        <x:f>ROUND((L1162-J1162)*H1162/G1162,2)</x:f>
        <x:v>0</x:v>
      </x:c>
      <x:c r="N1162" s="10" t="n">
        <x:f>L1162-J1162-M1162</x:f>
        <x:v>49.46</x:v>
      </x:c>
      <x:c r="O1162" s="10" t="n">
        <x:f>(G1162-H1162)*K1162</x:f>
        <x:v>22</x:v>
      </x:c>
      <x:c r="P1162" s="10" t="n">
        <x:f>N1162-O1162</x:f>
        <x:v>27.46</x:v>
      </x:c>
      <x:c r="Q1162" s="9" t="n">
        <x:f>A1162-WEEKDAY(A1162,2)+1</x:f>
        <x:v>46307</x:v>
      </x:c>
      <x:c r="R1162" s="2" t="str">
        <x:f>IF(AND(A1162&gt;='Review'!$B$4,A1162&lt;='Review'!$D$4),"Selected","Outside")</x:f>
        <x:v>Selected</x:v>
      </x:c>
    </x:row>
    <x:row r="1163" ht="20" customHeight="1">
      <x:c r="A1163" s="9" t="n">
        <x:v>46309</x:v>
      </x:c>
      <x:c r="B1163" s="2" t="str">
        <x:v>MM-1819</x:v>
      </x:c>
      <x:c r="C1163" s="2" t="str">
        <x:v>Paid Social</x:v>
      </x:c>
      <x:c r="D1163" s="2" t="str">
        <x:v>APP-001</x:v>
      </x:c>
      <x:c r="E1163" s="2" t="str">
        <x:f>_xlfn.IFNA(VLOOKUP(D1163,'Products'!$A$7:$I$22,2,FALSE),"Unmapped")</x:f>
        <x:v>Everyday crewneck</x:v>
      </x:c>
      <x:c r="F1163" s="2" t="str">
        <x:f>_xlfn.IFNA(VLOOKUP(D1163,'Products'!$A$7:$I$22,3,FALSE),"Unmapped")</x:f>
        <x:v>Apparel</x:v>
      </x:c>
      <x:c r="G1163" s="2" t="n">
        <x:v>2</x:v>
      </x:c>
      <x:c r="H1163" s="2" t="n">
        <x:v>0</x:v>
      </x:c>
      <x:c r="I1163" s="10" t="n">
        <x:v>54.95</x:v>
      </x:c>
      <x:c r="J1163" s="10" t="n">
        <x:v>0</x:v>
      </x:c>
      <x:c r="K1163" s="10" t="n">
        <x:v>22</x:v>
      </x:c>
      <x:c r="L1163" s="10" t="n">
        <x:f>G1163*I1163</x:f>
        <x:v>109.9</x:v>
      </x:c>
      <x:c r="M1163" s="10" t="n">
        <x:f>ROUND((L1163-J1163)*H1163/G1163,2)</x:f>
        <x:v>0</x:v>
      </x:c>
      <x:c r="N1163" s="10" t="n">
        <x:f>L1163-J1163-M1163</x:f>
        <x:v>109.9</x:v>
      </x:c>
      <x:c r="O1163" s="10" t="n">
        <x:f>(G1163-H1163)*K1163</x:f>
        <x:v>44</x:v>
      </x:c>
      <x:c r="P1163" s="10" t="n">
        <x:f>N1163-O1163</x:f>
        <x:v>65.9</x:v>
      </x:c>
      <x:c r="Q1163" s="9" t="n">
        <x:f>A1163-WEEKDAY(A1163,2)+1</x:f>
        <x:v>46307</x:v>
      </x:c>
      <x:c r="R1163" s="2" t="str">
        <x:f>IF(AND(A1163&gt;='Review'!$B$4,A1163&lt;='Review'!$D$4),"Selected","Outside")</x:f>
        <x:v>Selected</x:v>
      </x:c>
    </x:row>
    <x:row r="1164" ht="20" customHeight="1">
      <x:c r="A1164" s="9" t="n">
        <x:v>46309</x:v>
      </x:c>
      <x:c r="B1164" s="2" t="str">
        <x:v>MM-1819</x:v>
      </x:c>
      <x:c r="C1164" s="2" t="str">
        <x:v>Paid Social</x:v>
      </x:c>
      <x:c r="D1164" s="2" t="str">
        <x:v>TUM-001</x:v>
      </x:c>
      <x:c r="E1164" s="2" t="str">
        <x:f>_xlfn.IFNA(VLOOKUP(D1164,'Products'!$A$7:$I$22,2,FALSE),"Unmapped")</x:f>
        <x:v>Maple travel tumbler</x:v>
      </x:c>
      <x:c r="F1164" s="2" t="str">
        <x:f>_xlfn.IFNA(VLOOKUP(D1164,'Products'!$A$7:$I$22,3,FALSE),"Unmapped")</x:f>
        <x:v>Drinkware</x:v>
      </x:c>
      <x:c r="G1164" s="2" t="n">
        <x:v>1</x:v>
      </x:c>
      <x:c r="H1164" s="2" t="n">
        <x:v>0</x:v>
      </x:c>
      <x:c r="I1164" s="10" t="n">
        <x:v>32.95</x:v>
      </x:c>
      <x:c r="J1164" s="10" t="n">
        <x:v>3.29</x:v>
      </x:c>
      <x:c r="K1164" s="10" t="n">
        <x:v>12</x:v>
      </x:c>
      <x:c r="L1164" s="10" t="n">
        <x:f>G1164*I1164</x:f>
        <x:v>32.95</x:v>
      </x:c>
      <x:c r="M1164" s="10" t="n">
        <x:f>ROUND((L1164-J1164)*H1164/G1164,2)</x:f>
        <x:v>0</x:v>
      </x:c>
      <x:c r="N1164" s="10" t="n">
        <x:f>L1164-J1164-M1164</x:f>
        <x:v>29.660000000000004</x:v>
      </x:c>
      <x:c r="O1164" s="10" t="n">
        <x:f>(G1164-H1164)*K1164</x:f>
        <x:v>12</x:v>
      </x:c>
      <x:c r="P1164" s="10" t="n">
        <x:f>N1164-O1164</x:f>
        <x:v>17.660000000000004</x:v>
      </x:c>
      <x:c r="Q1164" s="9" t="n">
        <x:f>A1164-WEEKDAY(A1164,2)+1</x:f>
        <x:v>46307</x:v>
      </x:c>
      <x:c r="R1164" s="2" t="str">
        <x:f>IF(AND(A1164&gt;='Review'!$B$4,A1164&lt;='Review'!$D$4),"Selected","Outside")</x:f>
        <x:v>Selected</x:v>
      </x:c>
    </x:row>
    <x:row r="1165" ht="20" customHeight="1">
      <x:c r="A1165" s="9" t="n">
        <x:v>46309</x:v>
      </x:c>
      <x:c r="B1165" s="2" t="str">
        <x:v>MM-1819</x:v>
      </x:c>
      <x:c r="C1165" s="2" t="str">
        <x:v>Paid Social</x:v>
      </x:c>
      <x:c r="D1165" s="2" t="str">
        <x:v>TUM-002</x:v>
      </x:c>
      <x:c r="E1165" s="2" t="str">
        <x:f>_xlfn.IFNA(VLOOKUP(D1165,'Products'!$A$7:$I$22,2,FALSE),"Unmapped")</x:f>
        <x:v>Cold brew glass cup</x:v>
      </x:c>
      <x:c r="F1165" s="2" t="str">
        <x:f>_xlfn.IFNA(VLOOKUP(D1165,'Products'!$A$7:$I$22,3,FALSE),"Unmapped")</x:f>
        <x:v>Drinkware</x:v>
      </x:c>
      <x:c r="G1165" s="2" t="n">
        <x:v>1</x:v>
      </x:c>
      <x:c r="H1165" s="2" t="n">
        <x:v>0</x:v>
      </x:c>
      <x:c r="I1165" s="10" t="n">
        <x:v>24.95</x:v>
      </x:c>
      <x:c r="J1165" s="10" t="n">
        <x:v>2.49</x:v>
      </x:c>
      <x:c r="K1165" s="10" t="n">
        <x:v>9</x:v>
      </x:c>
      <x:c r="L1165" s="10" t="n">
        <x:f>G1165*I1165</x:f>
        <x:v>24.95</x:v>
      </x:c>
      <x:c r="M1165" s="10" t="n">
        <x:f>ROUND((L1165-J1165)*H1165/G1165,2)</x:f>
        <x:v>0</x:v>
      </x:c>
      <x:c r="N1165" s="10" t="n">
        <x:f>L1165-J1165-M1165</x:f>
        <x:v>22.46</x:v>
      </x:c>
      <x:c r="O1165" s="10" t="n">
        <x:f>(G1165-H1165)*K1165</x:f>
        <x:v>9</x:v>
      </x:c>
      <x:c r="P1165" s="10" t="n">
        <x:f>N1165-O1165</x:f>
        <x:v>13.46</x:v>
      </x:c>
      <x:c r="Q1165" s="9" t="n">
        <x:f>A1165-WEEKDAY(A1165,2)+1</x:f>
        <x:v>46307</x:v>
      </x:c>
      <x:c r="R1165" s="2" t="str">
        <x:f>IF(AND(A1165&gt;='Review'!$B$4,A1165&lt;='Review'!$D$4),"Selected","Outside")</x:f>
        <x:v>Selected</x:v>
      </x:c>
    </x:row>
    <x:row r="1166" ht="20" customHeight="1">
      <x:c r="A1166" s="9" t="n">
        <x:v>46309</x:v>
      </x:c>
      <x:c r="B1166" s="2" t="str">
        <x:v>MM-1820</x:v>
      </x:c>
      <x:c r="C1166" s="2" t="str">
        <x:v>Email</x:v>
      </x:c>
      <x:c r="D1166" s="2" t="str">
        <x:v>KEY-001</x:v>
      </x:c>
      <x:c r="E1166" s="2" t="str">
        <x:f>_xlfn.IFNA(VLOOKUP(D1166,'Products'!$A$7:$I$22,2,FALSE),"Unmapped")</x:f>
        <x:v>Maple keyring</x:v>
      </x:c>
      <x:c r="F1166" s="2" t="str">
        <x:f>_xlfn.IFNA(VLOOKUP(D1166,'Products'!$A$7:$I$22,3,FALSE),"Unmapped")</x:f>
        <x:v>Accessories</x:v>
      </x:c>
      <x:c r="G1166" s="2" t="n">
        <x:v>1</x:v>
      </x:c>
      <x:c r="H1166" s="2" t="n">
        <x:v>0</x:v>
      </x:c>
      <x:c r="I1166" s="10" t="n">
        <x:v>12.95</x:v>
      </x:c>
      <x:c r="J1166" s="10" t="n">
        <x:v>1.29</x:v>
      </x:c>
      <x:c r="K1166" s="10" t="n">
        <x:v>3.5</x:v>
      </x:c>
      <x:c r="L1166" s="10" t="n">
        <x:f>G1166*I1166</x:f>
        <x:v>12.95</x:v>
      </x:c>
      <x:c r="M1166" s="10" t="n">
        <x:f>ROUND((L1166-J1166)*H1166/G1166,2)</x:f>
        <x:v>0</x:v>
      </x:c>
      <x:c r="N1166" s="10" t="n">
        <x:f>L1166-J1166-M1166</x:f>
        <x:v>11.66</x:v>
      </x:c>
      <x:c r="O1166" s="10" t="n">
        <x:f>(G1166-H1166)*K1166</x:f>
        <x:v>3.5</x:v>
      </x:c>
      <x:c r="P1166" s="10" t="n">
        <x:f>N1166-O1166</x:f>
        <x:v>8.16</x:v>
      </x:c>
      <x:c r="Q1166" s="9" t="n">
        <x:f>A1166-WEEKDAY(A1166,2)+1</x:f>
        <x:v>46307</x:v>
      </x:c>
      <x:c r="R1166" s="2" t="str">
        <x:f>IF(AND(A1166&gt;='Review'!$B$4,A1166&lt;='Review'!$D$4),"Selected","Outside")</x:f>
        <x:v>Selected</x:v>
      </x:c>
    </x:row>
    <x:row r="1167" ht="20" customHeight="1">
      <x:c r="A1167" s="9" t="n">
        <x:v>46309</x:v>
      </x:c>
      <x:c r="B1167" s="2" t="str">
        <x:v>MM-1820</x:v>
      </x:c>
      <x:c r="C1167" s="2" t="str">
        <x:v>Email</x:v>
      </x:c>
      <x:c r="D1167" s="2" t="str">
        <x:v>APP-003</x:v>
      </x:c>
      <x:c r="E1167" s="2" t="str">
        <x:f>_xlfn.IFNA(VLOOKUP(D1167,'Products'!$A$7:$I$22,2,FALSE),"Unmapped")</x:f>
        <x:v>Coffee club tee</x:v>
      </x:c>
      <x:c r="F1167" s="2" t="str">
        <x:f>_xlfn.IFNA(VLOOKUP(D1167,'Products'!$A$7:$I$22,3,FALSE),"Unmapped")</x:f>
        <x:v>Apparel</x:v>
      </x:c>
      <x:c r="G1167" s="2" t="n">
        <x:v>1</x:v>
      </x:c>
      <x:c r="H1167" s="2" t="n">
        <x:v>0</x:v>
      </x:c>
      <x:c r="I1167" s="10" t="n">
        <x:v>29.95</x:v>
      </x:c>
      <x:c r="J1167" s="10" t="n">
        <x:v>2.99</x:v>
      </x:c>
      <x:c r="K1167" s="10" t="n">
        <x:v>10</x:v>
      </x:c>
      <x:c r="L1167" s="10" t="n">
        <x:f>G1167*I1167</x:f>
        <x:v>29.95</x:v>
      </x:c>
      <x:c r="M1167" s="10" t="n">
        <x:f>ROUND((L1167-J1167)*H1167/G1167,2)</x:f>
        <x:v>0</x:v>
      </x:c>
      <x:c r="N1167" s="10" t="n">
        <x:f>L1167-J1167-M1167</x:f>
        <x:v>26.96</x:v>
      </x:c>
      <x:c r="O1167" s="10" t="n">
        <x:f>(G1167-H1167)*K1167</x:f>
        <x:v>10</x:v>
      </x:c>
      <x:c r="P1167" s="10" t="n">
        <x:f>N1167-O1167</x:f>
        <x:v>16.96</x:v>
      </x:c>
      <x:c r="Q1167" s="9" t="n">
        <x:f>A1167-WEEKDAY(A1167,2)+1</x:f>
        <x:v>46307</x:v>
      </x:c>
      <x:c r="R1167" s="2" t="str">
        <x:f>IF(AND(A1167&gt;='Review'!$B$4,A1167&lt;='Review'!$D$4),"Selected","Outside")</x:f>
        <x:v>Selected</x:v>
      </x:c>
    </x:row>
    <x:row r="1168" ht="20" customHeight="1">
      <x:c r="A1168" s="9" t="n">
        <x:v>46309</x:v>
      </x:c>
      <x:c r="B1168" s="2" t="str">
        <x:v>MM-1824</x:v>
      </x:c>
      <x:c r="C1168" s="2" t="str">
        <x:v>Organic Search</x:v>
      </x:c>
      <x:c r="D1168" s="2" t="str">
        <x:v>TUM-002</x:v>
      </x:c>
      <x:c r="E1168" s="2" t="str">
        <x:f>_xlfn.IFNA(VLOOKUP(D1168,'Products'!$A$7:$I$22,2,FALSE),"Unmapped")</x:f>
        <x:v>Cold brew glass cup</x:v>
      </x:c>
      <x:c r="F1168" s="2" t="str">
        <x:f>_xlfn.IFNA(VLOOKUP(D1168,'Products'!$A$7:$I$22,3,FALSE),"Unmapped")</x:f>
        <x:v>Drinkware</x:v>
      </x:c>
      <x:c r="G1168" s="2" t="n">
        <x:v>3</x:v>
      </x:c>
      <x:c r="H1168" s="2" t="n">
        <x:v>0</x:v>
      </x:c>
      <x:c r="I1168" s="10" t="n">
        <x:v>24.95</x:v>
      </x:c>
      <x:c r="J1168" s="10" t="n">
        <x:v>0</x:v>
      </x:c>
      <x:c r="K1168" s="10" t="n">
        <x:v>9</x:v>
      </x:c>
      <x:c r="L1168" s="10" t="n">
        <x:f>G1168*I1168</x:f>
        <x:v>74.85</x:v>
      </x:c>
      <x:c r="M1168" s="10" t="n">
        <x:f>ROUND((L1168-J1168)*H1168/G1168,2)</x:f>
        <x:v>0</x:v>
      </x:c>
      <x:c r="N1168" s="10" t="n">
        <x:f>L1168-J1168-M1168</x:f>
        <x:v>74.85</x:v>
      </x:c>
      <x:c r="O1168" s="10" t="n">
        <x:f>(G1168-H1168)*K1168</x:f>
        <x:v>27</x:v>
      </x:c>
      <x:c r="P1168" s="10" t="n">
        <x:f>N1168-O1168</x:f>
        <x:v>47.849999999999994</x:v>
      </x:c>
      <x:c r="Q1168" s="9" t="n">
        <x:f>A1168-WEEKDAY(A1168,2)+1</x:f>
        <x:v>46307</x:v>
      </x:c>
      <x:c r="R1168" s="2" t="str">
        <x:f>IF(AND(A1168&gt;='Review'!$B$4,A1168&lt;='Review'!$D$4),"Selected","Outside")</x:f>
        <x:v>Selected</x:v>
      </x:c>
    </x:row>
    <x:row r="1169" ht="20" customHeight="1">
      <x:c r="A1169" s="9" t="n">
        <x:v>46309</x:v>
      </x:c>
      <x:c r="B1169" s="2" t="str">
        <x:v>MM-1824</x:v>
      </x:c>
      <x:c r="C1169" s="2" t="str">
        <x:v>Organic Search</x:v>
      </x:c>
      <x:c r="D1169" s="2" t="str">
        <x:v>MUG-002</x:v>
      </x:c>
      <x:c r="E1169" s="2" t="str">
        <x:f>_xlfn.IFNA(VLOOKUP(D1169,'Products'!$A$7:$I$22,2,FALSE),"Unmapped")</x:f>
        <x:v>Campfire enamel mug</x:v>
      </x:c>
      <x:c r="F1169" s="2" t="str">
        <x:f>_xlfn.IFNA(VLOOKUP(D1169,'Products'!$A$7:$I$22,3,FALSE),"Unmapped")</x:f>
        <x:v>Drinkware</x:v>
      </x:c>
      <x:c r="G1169" s="2" t="n">
        <x:v>2</x:v>
      </x:c>
      <x:c r="H1169" s="2" t="n">
        <x:v>0</x:v>
      </x:c>
      <x:c r="I1169" s="10" t="n">
        <x:v>22.95</x:v>
      </x:c>
      <x:c r="J1169" s="10" t="n">
        <x:v>0</x:v>
      </x:c>
      <x:c r="K1169" s="10" t="n">
        <x:v>8.5</x:v>
      </x:c>
      <x:c r="L1169" s="10" t="n">
        <x:f>G1169*I1169</x:f>
        <x:v>45.9</x:v>
      </x:c>
      <x:c r="M1169" s="10" t="n">
        <x:f>ROUND((L1169-J1169)*H1169/G1169,2)</x:f>
        <x:v>0</x:v>
      </x:c>
      <x:c r="N1169" s="10" t="n">
        <x:f>L1169-J1169-M1169</x:f>
        <x:v>45.9</x:v>
      </x:c>
      <x:c r="O1169" s="10" t="n">
        <x:f>(G1169-H1169)*K1169</x:f>
        <x:v>17</x:v>
      </x:c>
      <x:c r="P1169" s="10" t="n">
        <x:f>N1169-O1169</x:f>
        <x:v>28.9</x:v>
      </x:c>
      <x:c r="Q1169" s="9" t="n">
        <x:f>A1169-WEEKDAY(A1169,2)+1</x:f>
        <x:v>46307</x:v>
      </x:c>
      <x:c r="R1169" s="2" t="str">
        <x:f>IF(AND(A1169&gt;='Review'!$B$4,A1169&lt;='Review'!$D$4),"Selected","Outside")</x:f>
        <x:v>Selected</x:v>
      </x:c>
    </x:row>
    <x:row r="1170" ht="20" customHeight="1">
      <x:c r="A1170" s="9" t="n">
        <x:v>46309</x:v>
      </x:c>
      <x:c r="B1170" s="2" t="str">
        <x:v>MM-1821</x:v>
      </x:c>
      <x:c r="C1170" s="2" t="str">
        <x:v>Paid Social</x:v>
      </x:c>
      <x:c r="D1170" s="2" t="str">
        <x:v>MUG-001</x:v>
      </x:c>
      <x:c r="E1170" s="2" t="str">
        <x:f>_xlfn.IFNA(VLOOKUP(D1170,'Products'!$A$7:$I$22,2,FALSE),"Unmapped")</x:f>
        <x:v>Everyday ceramic mug</x:v>
      </x:c>
      <x:c r="F1170" s="2" t="str">
        <x:f>_xlfn.IFNA(VLOOKUP(D1170,'Products'!$A$7:$I$22,3,FALSE),"Unmapped")</x:f>
        <x:v>Drinkware</x:v>
      </x:c>
      <x:c r="G1170" s="2" t="n">
        <x:v>1</x:v>
      </x:c>
      <x:c r="H1170" s="2" t="n">
        <x:v>0</x:v>
      </x:c>
      <x:c r="I1170" s="10" t="n">
        <x:v>18.95</x:v>
      </x:c>
      <x:c r="J1170" s="10" t="n">
        <x:v>0</x:v>
      </x:c>
      <x:c r="K1170" s="10" t="n">
        <x:v>6.5</x:v>
      </x:c>
      <x:c r="L1170" s="10" t="n">
        <x:f>G1170*I1170</x:f>
        <x:v>18.95</x:v>
      </x:c>
      <x:c r="M1170" s="10" t="n">
        <x:f>ROUND((L1170-J1170)*H1170/G1170,2)</x:f>
        <x:v>0</x:v>
      </x:c>
      <x:c r="N1170" s="10" t="n">
        <x:f>L1170-J1170-M1170</x:f>
        <x:v>18.95</x:v>
      </x:c>
      <x:c r="O1170" s="10" t="n">
        <x:f>(G1170-H1170)*K1170</x:f>
        <x:v>6.5</x:v>
      </x:c>
      <x:c r="P1170" s="10" t="n">
        <x:f>N1170-O1170</x:f>
        <x:v>12.45</x:v>
      </x:c>
      <x:c r="Q1170" s="9" t="n">
        <x:f>A1170-WEEKDAY(A1170,2)+1</x:f>
        <x:v>46307</x:v>
      </x:c>
      <x:c r="R1170" s="2" t="str">
        <x:f>IF(AND(A1170&gt;='Review'!$B$4,A1170&lt;='Review'!$D$4),"Selected","Outside")</x:f>
        <x:v>Selected</x:v>
      </x:c>
    </x:row>
    <x:row r="1171" ht="20" customHeight="1">
      <x:c r="A1171" s="9" t="n">
        <x:v>46309</x:v>
      </x:c>
      <x:c r="B1171" s="2" t="str">
        <x:v>MM-1823</x:v>
      </x:c>
      <x:c r="C1171" s="2" t="str">
        <x:v>Email</x:v>
      </x:c>
      <x:c r="D1171" s="2" t="str">
        <x:v>APP-002</x:v>
      </x:c>
      <x:c r="E1171" s="2" t="str">
        <x:f>_xlfn.IFNA(VLOOKUP(D1171,'Products'!$A$7:$I$22,2,FALSE),"Unmapped")</x:f>
        <x:v>Weekend hoodie</x:v>
      </x:c>
      <x:c r="F1171" s="2" t="str">
        <x:f>_xlfn.IFNA(VLOOKUP(D1171,'Products'!$A$7:$I$22,3,FALSE),"Unmapped")</x:f>
        <x:v>Apparel</x:v>
      </x:c>
      <x:c r="G1171" s="2" t="n">
        <x:v>1</x:v>
      </x:c>
      <x:c r="H1171" s="2" t="n">
        <x:v>0</x:v>
      </x:c>
      <x:c r="I1171" s="10" t="n">
        <x:v>69.95</x:v>
      </x:c>
      <x:c r="J1171" s="10" t="n">
        <x:v>6.99</x:v>
      </x:c>
      <x:c r="K1171" s="10" t="n">
        <x:v>28</x:v>
      </x:c>
      <x:c r="L1171" s="10" t="n">
        <x:f>G1171*I1171</x:f>
        <x:v>69.95</x:v>
      </x:c>
      <x:c r="M1171" s="10" t="n">
        <x:f>ROUND((L1171-J1171)*H1171/G1171,2)</x:f>
        <x:v>0</x:v>
      </x:c>
      <x:c r="N1171" s="10" t="n">
        <x:f>L1171-J1171-M1171</x:f>
        <x:v>62.96</x:v>
      </x:c>
      <x:c r="O1171" s="10" t="n">
        <x:f>(G1171-H1171)*K1171</x:f>
        <x:v>28</x:v>
      </x:c>
      <x:c r="P1171" s="10" t="n">
        <x:f>N1171-O1171</x:f>
        <x:v>34.96</x:v>
      </x:c>
      <x:c r="Q1171" s="9" t="n">
        <x:f>A1171-WEEKDAY(A1171,2)+1</x:f>
        <x:v>46307</x:v>
      </x:c>
      <x:c r="R1171" s="2" t="str">
        <x:f>IF(AND(A1171&gt;='Review'!$B$4,A1171&lt;='Review'!$D$4),"Selected","Outside")</x:f>
        <x:v>Selected</x:v>
      </x:c>
    </x:row>
    <x:row r="1172" ht="20" customHeight="1">
      <x:c r="A1172" s="9" t="n">
        <x:v>46309</x:v>
      </x:c>
      <x:c r="B1172" s="2" t="str">
        <x:v>MM-1825</x:v>
      </x:c>
      <x:c r="C1172" s="2" t="str">
        <x:v>Direct</x:v>
      </x:c>
      <x:c r="D1172" s="2" t="str">
        <x:v>GFT-002</x:v>
      </x:c>
      <x:c r="E1172" s="2" t="str">
        <x:f>_xlfn.IFNA(VLOOKUP(D1172,'Products'!$A$7:$I$22,2,FALSE),"Unmapped")</x:f>
        <x:v>Cozy weekend gift box</x:v>
      </x:c>
      <x:c r="F1172" s="2" t="str">
        <x:f>_xlfn.IFNA(VLOOKUP(D1172,'Products'!$A$7:$I$22,3,FALSE),"Unmapped")</x:f>
        <x:v>Gifts</x:v>
      </x:c>
      <x:c r="G1172" s="2" t="n">
        <x:v>1</x:v>
      </x:c>
      <x:c r="H1172" s="2" t="n">
        <x:v>0</x:v>
      </x:c>
      <x:c r="I1172" s="10" t="n">
        <x:v>79.95</x:v>
      </x:c>
      <x:c r="J1172" s="10" t="n">
        <x:v>7.99</x:v>
      </x:c>
      <x:c r="K1172" s="10" t="n">
        <x:v>32</x:v>
      </x:c>
      <x:c r="L1172" s="10" t="n">
        <x:f>G1172*I1172</x:f>
        <x:v>79.95</x:v>
      </x:c>
      <x:c r="M1172" s="10" t="n">
        <x:f>ROUND((L1172-J1172)*H1172/G1172,2)</x:f>
        <x:v>0</x:v>
      </x:c>
      <x:c r="N1172" s="10" t="n">
        <x:f>L1172-J1172-M1172</x:f>
        <x:v>71.96000000000001</x:v>
      </x:c>
      <x:c r="O1172" s="10" t="n">
        <x:f>(G1172-H1172)*K1172</x:f>
        <x:v>32</x:v>
      </x:c>
      <x:c r="P1172" s="10" t="n">
        <x:f>N1172-O1172</x:f>
        <x:v>39.96000000000001</x:v>
      </x:c>
      <x:c r="Q1172" s="9" t="n">
        <x:f>A1172-WEEKDAY(A1172,2)+1</x:f>
        <x:v>46307</x:v>
      </x:c>
      <x:c r="R1172" s="2" t="str">
        <x:f>IF(AND(A1172&gt;='Review'!$B$4,A1172&lt;='Review'!$D$4),"Selected","Outside")</x:f>
        <x:v>Selected</x:v>
      </x:c>
    </x:row>
    <x:row r="1173" ht="20" customHeight="1">
      <x:c r="A1173" s="9" t="n">
        <x:v>46309</x:v>
      </x:c>
      <x:c r="B1173" s="2" t="str">
        <x:v>MM-1825</x:v>
      </x:c>
      <x:c r="C1173" s="2" t="str">
        <x:v>Direct</x:v>
      </x:c>
      <x:c r="D1173" s="2" t="str">
        <x:v>TUM-001</x:v>
      </x:c>
      <x:c r="E1173" s="2" t="str">
        <x:f>_xlfn.IFNA(VLOOKUP(D1173,'Products'!$A$7:$I$22,2,FALSE),"Unmapped")</x:f>
        <x:v>Maple travel tumbler</x:v>
      </x:c>
      <x:c r="F1173" s="2" t="str">
        <x:f>_xlfn.IFNA(VLOOKUP(D1173,'Products'!$A$7:$I$22,3,FALSE),"Unmapped")</x:f>
        <x:v>Drinkware</x:v>
      </x:c>
      <x:c r="G1173" s="2" t="n">
        <x:v>3</x:v>
      </x:c>
      <x:c r="H1173" s="2" t="n">
        <x:v>0</x:v>
      </x:c>
      <x:c r="I1173" s="10" t="n">
        <x:v>32.95</x:v>
      </x:c>
      <x:c r="J1173" s="10" t="n">
        <x:v>0</x:v>
      </x:c>
      <x:c r="K1173" s="10" t="n">
        <x:v>12</x:v>
      </x:c>
      <x:c r="L1173" s="10" t="n">
        <x:f>G1173*I1173</x:f>
        <x:v>98.85000000000001</x:v>
      </x:c>
      <x:c r="M1173" s="10" t="n">
        <x:f>ROUND((L1173-J1173)*H1173/G1173,2)</x:f>
        <x:v>0</x:v>
      </x:c>
      <x:c r="N1173" s="10" t="n">
        <x:f>L1173-J1173-M1173</x:f>
        <x:v>98.85000000000001</x:v>
      </x:c>
      <x:c r="O1173" s="10" t="n">
        <x:f>(G1173-H1173)*K1173</x:f>
        <x:v>36</x:v>
      </x:c>
      <x:c r="P1173" s="10" t="n">
        <x:f>N1173-O1173</x:f>
        <x:v>62.85000000000001</x:v>
      </x:c>
      <x:c r="Q1173" s="9" t="n">
        <x:f>A1173-WEEKDAY(A1173,2)+1</x:f>
        <x:v>46307</x:v>
      </x:c>
      <x:c r="R1173" s="2" t="str">
        <x:f>IF(AND(A1173&gt;='Review'!$B$4,A1173&lt;='Review'!$D$4),"Selected","Outside")</x:f>
        <x:v>Selected</x:v>
      </x:c>
    </x:row>
    <x:row r="1174" ht="20" customHeight="1">
      <x:c r="A1174" s="9" t="n">
        <x:v>46309</x:v>
      </x:c>
      <x:c r="B1174" s="2" t="str">
        <x:v>MM-1825</x:v>
      </x:c>
      <x:c r="C1174" s="2" t="str">
        <x:v>Direct</x:v>
      </x:c>
      <x:c r="D1174" s="2" t="str">
        <x:v>BOT-001</x:v>
      </x:c>
      <x:c r="E1174" s="2" t="str">
        <x:f>_xlfn.IFNA(VLOOKUP(D1174,'Products'!$A$7:$I$22,2,FALSE),"Unmapped")</x:f>
        <x:v>Trail water bottle</x:v>
      </x:c>
      <x:c r="F1174" s="2" t="str">
        <x:f>_xlfn.IFNA(VLOOKUP(D1174,'Products'!$A$7:$I$22,3,FALSE),"Unmapped")</x:f>
        <x:v>Drinkware</x:v>
      </x:c>
      <x:c r="G1174" s="2" t="n">
        <x:v>3</x:v>
      </x:c>
      <x:c r="H1174" s="2" t="n">
        <x:v>1</x:v>
      </x:c>
      <x:c r="I1174" s="10" t="n">
        <x:v>34.95</x:v>
      </x:c>
      <x:c r="J1174" s="10" t="n">
        <x:v>0</x:v>
      </x:c>
      <x:c r="K1174" s="10" t="n">
        <x:v>13.5</x:v>
      </x:c>
      <x:c r="L1174" s="10" t="n">
        <x:f>G1174*I1174</x:f>
        <x:v>104.85000000000001</x:v>
      </x:c>
      <x:c r="M1174" s="10" t="n">
        <x:f>ROUND((L1174-J1174)*H1174/G1174,2)</x:f>
        <x:v>34.95</x:v>
      </x:c>
      <x:c r="N1174" s="10" t="n">
        <x:f>L1174-J1174-M1174</x:f>
        <x:v>69.9</x:v>
      </x:c>
      <x:c r="O1174" s="10" t="n">
        <x:f>(G1174-H1174)*K1174</x:f>
        <x:v>27</x:v>
      </x:c>
      <x:c r="P1174" s="10" t="n">
        <x:f>N1174-O1174</x:f>
        <x:v>42.900000000000006</x:v>
      </x:c>
      <x:c r="Q1174" s="9" t="n">
        <x:f>A1174-WEEKDAY(A1174,2)+1</x:f>
        <x:v>46307</x:v>
      </x:c>
      <x:c r="R1174" s="2" t="str">
        <x:f>IF(AND(A1174&gt;='Review'!$B$4,A1174&lt;='Review'!$D$4),"Selected","Outside")</x:f>
        <x:v>Selected</x:v>
      </x:c>
    </x:row>
    <x:row r="1175" ht="20" customHeight="1">
      <x:c r="A1175" s="9" t="n">
        <x:v>46309</x:v>
      </x:c>
      <x:c r="B1175" s="2" t="str">
        <x:v>MM-1826</x:v>
      </x:c>
      <x:c r="C1175" s="2" t="str">
        <x:v>Email</x:v>
      </x:c>
      <x:c r="D1175" s="2" t="str">
        <x:v>KEY-001</x:v>
      </x:c>
      <x:c r="E1175" s="2" t="str">
        <x:f>_xlfn.IFNA(VLOOKUP(D1175,'Products'!$A$7:$I$22,2,FALSE),"Unmapped")</x:f>
        <x:v>Maple keyring</x:v>
      </x:c>
      <x:c r="F1175" s="2" t="str">
        <x:f>_xlfn.IFNA(VLOOKUP(D1175,'Products'!$A$7:$I$22,3,FALSE),"Unmapped")</x:f>
        <x:v>Accessories</x:v>
      </x:c>
      <x:c r="G1175" s="2" t="n">
        <x:v>1</x:v>
      </x:c>
      <x:c r="H1175" s="2" t="n">
        <x:v>0</x:v>
      </x:c>
      <x:c r="I1175" s="10" t="n">
        <x:v>12.95</x:v>
      </x:c>
      <x:c r="J1175" s="10" t="n">
        <x:v>1.29</x:v>
      </x:c>
      <x:c r="K1175" s="10" t="n">
        <x:v>3.5</x:v>
      </x:c>
      <x:c r="L1175" s="10" t="n">
        <x:f>G1175*I1175</x:f>
        <x:v>12.95</x:v>
      </x:c>
      <x:c r="M1175" s="10" t="n">
        <x:f>ROUND((L1175-J1175)*H1175/G1175,2)</x:f>
        <x:v>0</x:v>
      </x:c>
      <x:c r="N1175" s="10" t="n">
        <x:f>L1175-J1175-M1175</x:f>
        <x:v>11.66</x:v>
      </x:c>
      <x:c r="O1175" s="10" t="n">
        <x:f>(G1175-H1175)*K1175</x:f>
        <x:v>3.5</x:v>
      </x:c>
      <x:c r="P1175" s="10" t="n">
        <x:f>N1175-O1175</x:f>
        <x:v>8.16</x:v>
      </x:c>
      <x:c r="Q1175" s="9" t="n">
        <x:f>A1175-WEEKDAY(A1175,2)+1</x:f>
        <x:v>46307</x:v>
      </x:c>
      <x:c r="R1175" s="2" t="str">
        <x:f>IF(AND(A1175&gt;='Review'!$B$4,A1175&lt;='Review'!$D$4),"Selected","Outside")</x:f>
        <x:v>Selected</x:v>
      </x:c>
    </x:row>
    <x:row r="1176" ht="20" customHeight="1">
      <x:c r="A1176" s="9" t="n">
        <x:v>46309</x:v>
      </x:c>
      <x:c r="B1176" s="2" t="str">
        <x:v>MM-1826</x:v>
      </x:c>
      <x:c r="C1176" s="2" t="str">
        <x:v>Email</x:v>
      </x:c>
      <x:c r="D1176" s="2" t="str">
        <x:v>HAT-001</x:v>
      </x:c>
      <x:c r="E1176" s="2" t="str">
        <x:f>_xlfn.IFNA(VLOOKUP(D1176,'Products'!$A$7:$I$22,2,FALSE),"Unmapped")</x:f>
        <x:v>Classic canvas cap</x:v>
      </x:c>
      <x:c r="F1176" s="2" t="str">
        <x:f>_xlfn.IFNA(VLOOKUP(D1176,'Products'!$A$7:$I$22,3,FALSE),"Unmapped")</x:f>
        <x:v>Accessories</x:v>
      </x:c>
      <x:c r="G1176" s="2" t="n">
        <x:v>2</x:v>
      </x:c>
      <x:c r="H1176" s="2" t="n">
        <x:v>0</x:v>
      </x:c>
      <x:c r="I1176" s="10" t="n">
        <x:v>24.95</x:v>
      </x:c>
      <x:c r="J1176" s="10" t="n">
        <x:v>4.99</x:v>
      </x:c>
      <x:c r="K1176" s="10" t="n">
        <x:v>8.5</x:v>
      </x:c>
      <x:c r="L1176" s="10" t="n">
        <x:f>G1176*I1176</x:f>
        <x:v>49.9</x:v>
      </x:c>
      <x:c r="M1176" s="10" t="n">
        <x:f>ROUND((L1176-J1176)*H1176/G1176,2)</x:f>
        <x:v>0</x:v>
      </x:c>
      <x:c r="N1176" s="10" t="n">
        <x:f>L1176-J1176-M1176</x:f>
        <x:v>44.91</x:v>
      </x:c>
      <x:c r="O1176" s="10" t="n">
        <x:f>(G1176-H1176)*K1176</x:f>
        <x:v>17</x:v>
      </x:c>
      <x:c r="P1176" s="10" t="n">
        <x:f>N1176-O1176</x:f>
        <x:v>27.909999999999997</x:v>
      </x:c>
      <x:c r="Q1176" s="9" t="n">
        <x:f>A1176-WEEKDAY(A1176,2)+1</x:f>
        <x:v>46307</x:v>
      </x:c>
      <x:c r="R1176" s="2" t="str">
        <x:f>IF(AND(A1176&gt;='Review'!$B$4,A1176&lt;='Review'!$D$4),"Selected","Outside")</x:f>
        <x:v>Selected</x:v>
      </x:c>
    </x:row>
    <x:row r="1177" ht="20" customHeight="1">
      <x:c r="A1177" s="9" t="n">
        <x:v>46309</x:v>
      </x:c>
      <x:c r="B1177" s="2" t="str">
        <x:v>MM-1832</x:v>
      </x:c>
      <x:c r="C1177" s="2" t="str">
        <x:v>Paid Social</x:v>
      </x:c>
      <x:c r="D1177" s="2" t="str">
        <x:v>BOT-001</x:v>
      </x:c>
      <x:c r="E1177" s="2" t="str">
        <x:f>_xlfn.IFNA(VLOOKUP(D1177,'Products'!$A$7:$I$22,2,FALSE),"Unmapped")</x:f>
        <x:v>Trail water bottle</x:v>
      </x:c>
      <x:c r="F1177" s="2" t="str">
        <x:f>_xlfn.IFNA(VLOOKUP(D1177,'Products'!$A$7:$I$22,3,FALSE),"Unmapped")</x:f>
        <x:v>Drinkware</x:v>
      </x:c>
      <x:c r="G1177" s="2" t="n">
        <x:v>1</x:v>
      </x:c>
      <x:c r="H1177" s="2" t="n">
        <x:v>0</x:v>
      </x:c>
      <x:c r="I1177" s="10" t="n">
        <x:v>34.95</x:v>
      </x:c>
      <x:c r="J1177" s="10" t="n">
        <x:v>3.49</x:v>
      </x:c>
      <x:c r="K1177" s="10" t="n">
        <x:v>13.5</x:v>
      </x:c>
      <x:c r="L1177" s="10" t="n">
        <x:f>G1177*I1177</x:f>
        <x:v>34.95</x:v>
      </x:c>
      <x:c r="M1177" s="10" t="n">
        <x:f>ROUND((L1177-J1177)*H1177/G1177,2)</x:f>
        <x:v>0</x:v>
      </x:c>
      <x:c r="N1177" s="10" t="n">
        <x:f>L1177-J1177-M1177</x:f>
        <x:v>31.46</x:v>
      </x:c>
      <x:c r="O1177" s="10" t="n">
        <x:f>(G1177-H1177)*K1177</x:f>
        <x:v>13.5</x:v>
      </x:c>
      <x:c r="P1177" s="10" t="n">
        <x:f>N1177-O1177</x:f>
        <x:v>17.96</x:v>
      </x:c>
      <x:c r="Q1177" s="9" t="n">
        <x:f>A1177-WEEKDAY(A1177,2)+1</x:f>
        <x:v>46307</x:v>
      </x:c>
      <x:c r="R1177" s="2" t="str">
        <x:f>IF(AND(A1177&gt;='Review'!$B$4,A1177&lt;='Review'!$D$4),"Selected","Outside")</x:f>
        <x:v>Selected</x:v>
      </x:c>
    </x:row>
    <x:row r="1178" ht="20" customHeight="1">
      <x:c r="A1178" s="9" t="n">
        <x:v>46309</x:v>
      </x:c>
      <x:c r="B1178" s="2" t="str">
        <x:v>MM-1833</x:v>
      </x:c>
      <x:c r="C1178" s="2" t="str">
        <x:v>Direct</x:v>
      </x:c>
      <x:c r="D1178" s="2" t="str">
        <x:v>APP-003</x:v>
      </x:c>
      <x:c r="E1178" s="2" t="str">
        <x:f>_xlfn.IFNA(VLOOKUP(D1178,'Products'!$A$7:$I$22,2,FALSE),"Unmapped")</x:f>
        <x:v>Coffee club tee</x:v>
      </x:c>
      <x:c r="F1178" s="2" t="str">
        <x:f>_xlfn.IFNA(VLOOKUP(D1178,'Products'!$A$7:$I$22,3,FALSE),"Unmapped")</x:f>
        <x:v>Apparel</x:v>
      </x:c>
      <x:c r="G1178" s="2" t="n">
        <x:v>1</x:v>
      </x:c>
      <x:c r="H1178" s="2" t="n">
        <x:v>0</x:v>
      </x:c>
      <x:c r="I1178" s="10" t="n">
        <x:v>29.95</x:v>
      </x:c>
      <x:c r="J1178" s="10" t="n">
        <x:v>0</x:v>
      </x:c>
      <x:c r="K1178" s="10" t="n">
        <x:v>10</x:v>
      </x:c>
      <x:c r="L1178" s="10" t="n">
        <x:f>G1178*I1178</x:f>
        <x:v>29.95</x:v>
      </x:c>
      <x:c r="M1178" s="10" t="n">
        <x:f>ROUND((L1178-J1178)*H1178/G1178,2)</x:f>
        <x:v>0</x:v>
      </x:c>
      <x:c r="N1178" s="10" t="n">
        <x:f>L1178-J1178-M1178</x:f>
        <x:v>29.95</x:v>
      </x:c>
      <x:c r="O1178" s="10" t="n">
        <x:f>(G1178-H1178)*K1178</x:f>
        <x:v>10</x:v>
      </x:c>
      <x:c r="P1178" s="10" t="n">
        <x:f>N1178-O1178</x:f>
        <x:v>19.95</x:v>
      </x:c>
      <x:c r="Q1178" s="9" t="n">
        <x:f>A1178-WEEKDAY(A1178,2)+1</x:f>
        <x:v>46307</x:v>
      </x:c>
      <x:c r="R1178" s="2" t="str">
        <x:f>IF(AND(A1178&gt;='Review'!$B$4,A1178&lt;='Review'!$D$4),"Selected","Outside")</x:f>
        <x:v>Selected</x:v>
      </x:c>
    </x:row>
    <x:row r="1179" ht="20" customHeight="1">
      <x:c r="A1179" s="9" t="n">
        <x:v>46309</x:v>
      </x:c>
      <x:c r="B1179" s="2" t="str">
        <x:v>MM-1833</x:v>
      </x:c>
      <x:c r="C1179" s="2" t="str">
        <x:v>Direct</x:v>
      </x:c>
      <x:c r="D1179" s="2" t="str">
        <x:v>TUM-002</x:v>
      </x:c>
      <x:c r="E1179" s="2" t="str">
        <x:f>_xlfn.IFNA(VLOOKUP(D1179,'Products'!$A$7:$I$22,2,FALSE),"Unmapped")</x:f>
        <x:v>Cold brew glass cup</x:v>
      </x:c>
      <x:c r="F1179" s="2" t="str">
        <x:f>_xlfn.IFNA(VLOOKUP(D1179,'Products'!$A$7:$I$22,3,FALSE),"Unmapped")</x:f>
        <x:v>Drinkware</x:v>
      </x:c>
      <x:c r="G1179" s="2" t="n">
        <x:v>1</x:v>
      </x:c>
      <x:c r="H1179" s="2" t="n">
        <x:v>0</x:v>
      </x:c>
      <x:c r="I1179" s="10" t="n">
        <x:v>24.95</x:v>
      </x:c>
      <x:c r="J1179" s="10" t="n">
        <x:v>2.49</x:v>
      </x:c>
      <x:c r="K1179" s="10" t="n">
        <x:v>9</x:v>
      </x:c>
      <x:c r="L1179" s="10" t="n">
        <x:f>G1179*I1179</x:f>
        <x:v>24.95</x:v>
      </x:c>
      <x:c r="M1179" s="10" t="n">
        <x:f>ROUND((L1179-J1179)*H1179/G1179,2)</x:f>
        <x:v>0</x:v>
      </x:c>
      <x:c r="N1179" s="10" t="n">
        <x:f>L1179-J1179-M1179</x:f>
        <x:v>22.46</x:v>
      </x:c>
      <x:c r="O1179" s="10" t="n">
        <x:f>(G1179-H1179)*K1179</x:f>
        <x:v>9</x:v>
      </x:c>
      <x:c r="P1179" s="10" t="n">
        <x:f>N1179-O1179</x:f>
        <x:v>13.46</x:v>
      </x:c>
      <x:c r="Q1179" s="9" t="n">
        <x:f>A1179-WEEKDAY(A1179,2)+1</x:f>
        <x:v>46307</x:v>
      </x:c>
      <x:c r="R1179" s="2" t="str">
        <x:f>IF(AND(A1179&gt;='Review'!$B$4,A1179&lt;='Review'!$D$4),"Selected","Outside")</x:f>
        <x:v>Selected</x:v>
      </x:c>
    </x:row>
    <x:row r="1180" ht="20" customHeight="1">
      <x:c r="A1180" s="9" t="n">
        <x:v>46309</x:v>
      </x:c>
      <x:c r="B1180" s="2" t="str">
        <x:v>MM-1833</x:v>
      </x:c>
      <x:c r="C1180" s="2" t="str">
        <x:v>Direct</x:v>
      </x:c>
      <x:c r="D1180" s="2" t="str">
        <x:v>MUG-002</x:v>
      </x:c>
      <x:c r="E1180" s="2" t="str">
        <x:f>_xlfn.IFNA(VLOOKUP(D1180,'Products'!$A$7:$I$22,2,FALSE),"Unmapped")</x:f>
        <x:v>Campfire enamel mug</x:v>
      </x:c>
      <x:c r="F1180" s="2" t="str">
        <x:f>_xlfn.IFNA(VLOOKUP(D1180,'Products'!$A$7:$I$22,3,FALSE),"Unmapped")</x:f>
        <x:v>Drinkware</x:v>
      </x:c>
      <x:c r="G1180" s="2" t="n">
        <x:v>1</x:v>
      </x:c>
      <x:c r="H1180" s="2" t="n">
        <x:v>0</x:v>
      </x:c>
      <x:c r="I1180" s="10" t="n">
        <x:v>22.95</x:v>
      </x:c>
      <x:c r="J1180" s="10" t="n">
        <x:v>0</x:v>
      </x:c>
      <x:c r="K1180" s="10" t="n">
        <x:v>8.5</x:v>
      </x:c>
      <x:c r="L1180" s="10" t="n">
        <x:f>G1180*I1180</x:f>
        <x:v>22.95</x:v>
      </x:c>
      <x:c r="M1180" s="10" t="n">
        <x:f>ROUND((L1180-J1180)*H1180/G1180,2)</x:f>
        <x:v>0</x:v>
      </x:c>
      <x:c r="N1180" s="10" t="n">
        <x:f>L1180-J1180-M1180</x:f>
        <x:v>22.95</x:v>
      </x:c>
      <x:c r="O1180" s="10" t="n">
        <x:f>(G1180-H1180)*K1180</x:f>
        <x:v>8.5</x:v>
      </x:c>
      <x:c r="P1180" s="10" t="n">
        <x:f>N1180-O1180</x:f>
        <x:v>14.45</x:v>
      </x:c>
      <x:c r="Q1180" s="9" t="n">
        <x:f>A1180-WEEKDAY(A1180,2)+1</x:f>
        <x:v>46307</x:v>
      </x:c>
      <x:c r="R1180" s="2" t="str">
        <x:f>IF(AND(A1180&gt;='Review'!$B$4,A1180&lt;='Review'!$D$4),"Selected","Outside")</x:f>
        <x:v>Selected</x:v>
      </x:c>
    </x:row>
    <x:row r="1181" ht="20" customHeight="1">
      <x:c r="A1181" s="9" t="n">
        <x:v>46310</x:v>
      </x:c>
      <x:c r="B1181" s="2" t="str">
        <x:v>MM-1841</x:v>
      </x:c>
      <x:c r="C1181" s="2" t="str">
        <x:v>Paid Social</x:v>
      </x:c>
      <x:c r="D1181" s="2" t="str">
        <x:v>MUG-001</x:v>
      </x:c>
      <x:c r="E1181" s="2" t="str">
        <x:f>_xlfn.IFNA(VLOOKUP(D1181,'Products'!$A$7:$I$22,2,FALSE),"Unmapped")</x:f>
        <x:v>Everyday ceramic mug</x:v>
      </x:c>
      <x:c r="F1181" s="2" t="str">
        <x:f>_xlfn.IFNA(VLOOKUP(D1181,'Products'!$A$7:$I$22,3,FALSE),"Unmapped")</x:f>
        <x:v>Drinkware</x:v>
      </x:c>
      <x:c r="G1181" s="2" t="n">
        <x:v>1</x:v>
      </x:c>
      <x:c r="H1181" s="2" t="n">
        <x:v>0</x:v>
      </x:c>
      <x:c r="I1181" s="10" t="n">
        <x:v>18.95</x:v>
      </x:c>
      <x:c r="J1181" s="10" t="n">
        <x:v>0</x:v>
      </x:c>
      <x:c r="K1181" s="10" t="n">
        <x:v>6.5</x:v>
      </x:c>
      <x:c r="L1181" s="10" t="n">
        <x:f>G1181*I1181</x:f>
        <x:v>18.95</x:v>
      </x:c>
      <x:c r="M1181" s="10" t="n">
        <x:f>ROUND((L1181-J1181)*H1181/G1181,2)</x:f>
        <x:v>0</x:v>
      </x:c>
      <x:c r="N1181" s="10" t="n">
        <x:f>L1181-J1181-M1181</x:f>
        <x:v>18.95</x:v>
      </x:c>
      <x:c r="O1181" s="10" t="n">
        <x:f>(G1181-H1181)*K1181</x:f>
        <x:v>6.5</x:v>
      </x:c>
      <x:c r="P1181" s="10" t="n">
        <x:f>N1181-O1181</x:f>
        <x:v>12.45</x:v>
      </x:c>
      <x:c r="Q1181" s="9" t="n">
        <x:f>A1181-WEEKDAY(A1181,2)+1</x:f>
        <x:v>46307</x:v>
      </x:c>
      <x:c r="R1181" s="2" t="str">
        <x:f>IF(AND(A1181&gt;='Review'!$B$4,A1181&lt;='Review'!$D$4),"Selected","Outside")</x:f>
        <x:v>Selected</x:v>
      </x:c>
    </x:row>
    <x:row r="1182" ht="20" customHeight="1">
      <x:c r="A1182" s="9" t="n">
        <x:v>46310</x:v>
      </x:c>
      <x:c r="B1182" s="2" t="str">
        <x:v>MM-1843</x:v>
      </x:c>
      <x:c r="C1182" s="2" t="str">
        <x:v>Organic Search</x:v>
      </x:c>
      <x:c r="D1182" s="2" t="str">
        <x:v>TUM-001</x:v>
      </x:c>
      <x:c r="E1182" s="2" t="str">
        <x:f>_xlfn.IFNA(VLOOKUP(D1182,'Products'!$A$7:$I$22,2,FALSE),"Unmapped")</x:f>
        <x:v>Maple travel tumbler</x:v>
      </x:c>
      <x:c r="F1182" s="2" t="str">
        <x:f>_xlfn.IFNA(VLOOKUP(D1182,'Products'!$A$7:$I$22,3,FALSE),"Unmapped")</x:f>
        <x:v>Drinkware</x:v>
      </x:c>
      <x:c r="G1182" s="2" t="n">
        <x:v>1</x:v>
      </x:c>
      <x:c r="H1182" s="2" t="n">
        <x:v>0</x:v>
      </x:c>
      <x:c r="I1182" s="10" t="n">
        <x:v>32.95</x:v>
      </x:c>
      <x:c r="J1182" s="10" t="n">
        <x:v>0</x:v>
      </x:c>
      <x:c r="K1182" s="10" t="n">
        <x:v>12</x:v>
      </x:c>
      <x:c r="L1182" s="10" t="n">
        <x:f>G1182*I1182</x:f>
        <x:v>32.95</x:v>
      </x:c>
      <x:c r="M1182" s="10" t="n">
        <x:f>ROUND((L1182-J1182)*H1182/G1182,2)</x:f>
        <x:v>0</x:v>
      </x:c>
      <x:c r="N1182" s="10" t="n">
        <x:f>L1182-J1182-M1182</x:f>
        <x:v>32.95</x:v>
      </x:c>
      <x:c r="O1182" s="10" t="n">
        <x:f>(G1182-H1182)*K1182</x:f>
        <x:v>12</x:v>
      </x:c>
      <x:c r="P1182" s="10" t="n">
        <x:f>N1182-O1182</x:f>
        <x:v>20.950000000000003</x:v>
      </x:c>
      <x:c r="Q1182" s="9" t="n">
        <x:f>A1182-WEEKDAY(A1182,2)+1</x:f>
        <x:v>46307</x:v>
      </x:c>
      <x:c r="R1182" s="2" t="str">
        <x:f>IF(AND(A1182&gt;='Review'!$B$4,A1182&lt;='Review'!$D$4),"Selected","Outside")</x:f>
        <x:v>Selected</x:v>
      </x:c>
    </x:row>
    <x:row r="1183" ht="20" customHeight="1">
      <x:c r="A1183" s="9" t="n">
        <x:v>46310</x:v>
      </x:c>
      <x:c r="B1183" s="2" t="str">
        <x:v>MM-1839</x:v>
      </x:c>
      <x:c r="C1183" s="2" t="str">
        <x:v>Paid Social</x:v>
      </x:c>
      <x:c r="D1183" s="2" t="str">
        <x:v>MUG-001</x:v>
      </x:c>
      <x:c r="E1183" s="2" t="str">
        <x:f>_xlfn.IFNA(VLOOKUP(D1183,'Products'!$A$7:$I$22,2,FALSE),"Unmapped")</x:f>
        <x:v>Everyday ceramic mug</x:v>
      </x:c>
      <x:c r="F1183" s="2" t="str">
        <x:f>_xlfn.IFNA(VLOOKUP(D1183,'Products'!$A$7:$I$22,3,FALSE),"Unmapped")</x:f>
        <x:v>Drinkware</x:v>
      </x:c>
      <x:c r="G1183" s="2" t="n">
        <x:v>1</x:v>
      </x:c>
      <x:c r="H1183" s="2" t="n">
        <x:v>0</x:v>
      </x:c>
      <x:c r="I1183" s="10" t="n">
        <x:v>18.95</x:v>
      </x:c>
      <x:c r="J1183" s="10" t="n">
        <x:v>0</x:v>
      </x:c>
      <x:c r="K1183" s="10" t="n">
        <x:v>6.5</x:v>
      </x:c>
      <x:c r="L1183" s="10" t="n">
        <x:f>G1183*I1183</x:f>
        <x:v>18.95</x:v>
      </x:c>
      <x:c r="M1183" s="10" t="n">
        <x:f>ROUND((L1183-J1183)*H1183/G1183,2)</x:f>
        <x:v>0</x:v>
      </x:c>
      <x:c r="N1183" s="10" t="n">
        <x:f>L1183-J1183-M1183</x:f>
        <x:v>18.95</x:v>
      </x:c>
      <x:c r="O1183" s="10" t="n">
        <x:f>(G1183-H1183)*K1183</x:f>
        <x:v>6.5</x:v>
      </x:c>
      <x:c r="P1183" s="10" t="n">
        <x:f>N1183-O1183</x:f>
        <x:v>12.45</x:v>
      </x:c>
      <x:c r="Q1183" s="9" t="n">
        <x:f>A1183-WEEKDAY(A1183,2)+1</x:f>
        <x:v>46307</x:v>
      </x:c>
      <x:c r="R1183" s="2" t="str">
        <x:f>IF(AND(A1183&gt;='Review'!$B$4,A1183&lt;='Review'!$D$4),"Selected","Outside")</x:f>
        <x:v>Selected</x:v>
      </x:c>
    </x:row>
    <x:row r="1184" ht="20" customHeight="1">
      <x:c r="A1184" s="9" t="n">
        <x:v>46310</x:v>
      </x:c>
      <x:c r="B1184" s="2" t="str">
        <x:v>MM-1842</x:v>
      </x:c>
      <x:c r="C1184" s="2" t="str">
        <x:v>Organic Search</x:v>
      </x:c>
      <x:c r="D1184" s="2" t="str">
        <x:v>TUM-001</x:v>
      </x:c>
      <x:c r="E1184" s="2" t="str">
        <x:f>_xlfn.IFNA(VLOOKUP(D1184,'Products'!$A$7:$I$22,2,FALSE),"Unmapped")</x:f>
        <x:v>Maple travel tumbler</x:v>
      </x:c>
      <x:c r="F1184" s="2" t="str">
        <x:f>_xlfn.IFNA(VLOOKUP(D1184,'Products'!$A$7:$I$22,3,FALSE),"Unmapped")</x:f>
        <x:v>Drinkware</x:v>
      </x:c>
      <x:c r="G1184" s="2" t="n">
        <x:v>1</x:v>
      </x:c>
      <x:c r="H1184" s="2" t="n">
        <x:v>0</x:v>
      </x:c>
      <x:c r="I1184" s="10" t="n">
        <x:v>32.95</x:v>
      </x:c>
      <x:c r="J1184" s="10" t="n">
        <x:v>0</x:v>
      </x:c>
      <x:c r="K1184" s="10" t="n">
        <x:v>12</x:v>
      </x:c>
      <x:c r="L1184" s="10" t="n">
        <x:f>G1184*I1184</x:f>
        <x:v>32.95</x:v>
      </x:c>
      <x:c r="M1184" s="10" t="n">
        <x:f>ROUND((L1184-J1184)*H1184/G1184,2)</x:f>
        <x:v>0</x:v>
      </x:c>
      <x:c r="N1184" s="10" t="n">
        <x:f>L1184-J1184-M1184</x:f>
        <x:v>32.95</x:v>
      </x:c>
      <x:c r="O1184" s="10" t="n">
        <x:f>(G1184-H1184)*K1184</x:f>
        <x:v>12</x:v>
      </x:c>
      <x:c r="P1184" s="10" t="n">
        <x:f>N1184-O1184</x:f>
        <x:v>20.950000000000003</x:v>
      </x:c>
      <x:c r="Q1184" s="9" t="n">
        <x:f>A1184-WEEKDAY(A1184,2)+1</x:f>
        <x:v>46307</x:v>
      </x:c>
      <x:c r="R1184" s="2" t="str">
        <x:f>IF(AND(A1184&gt;='Review'!$B$4,A1184&lt;='Review'!$D$4),"Selected","Outside")</x:f>
        <x:v>Selected</x:v>
      </x:c>
    </x:row>
    <x:row r="1185" ht="20" customHeight="1">
      <x:c r="A1185" s="9" t="n">
        <x:v>46310</x:v>
      </x:c>
      <x:c r="B1185" s="2" t="str">
        <x:v>MM-1842</x:v>
      </x:c>
      <x:c r="C1185" s="2" t="str">
        <x:v>Organic Search</x:v>
      </x:c>
      <x:c r="D1185" s="2" t="str">
        <x:v>GFT-002</x:v>
      </x:c>
      <x:c r="E1185" s="2" t="str">
        <x:f>_xlfn.IFNA(VLOOKUP(D1185,'Products'!$A$7:$I$22,2,FALSE),"Unmapped")</x:f>
        <x:v>Cozy weekend gift box</x:v>
      </x:c>
      <x:c r="F1185" s="2" t="str">
        <x:f>_xlfn.IFNA(VLOOKUP(D1185,'Products'!$A$7:$I$22,3,FALSE),"Unmapped")</x:f>
        <x:v>Gifts</x:v>
      </x:c>
      <x:c r="G1185" s="2" t="n">
        <x:v>1</x:v>
      </x:c>
      <x:c r="H1185" s="2" t="n">
        <x:v>0</x:v>
      </x:c>
      <x:c r="I1185" s="10" t="n">
        <x:v>79.95</x:v>
      </x:c>
      <x:c r="J1185" s="10" t="n">
        <x:v>7.99</x:v>
      </x:c>
      <x:c r="K1185" s="10" t="n">
        <x:v>32</x:v>
      </x:c>
      <x:c r="L1185" s="10" t="n">
        <x:f>G1185*I1185</x:f>
        <x:v>79.95</x:v>
      </x:c>
      <x:c r="M1185" s="10" t="n">
        <x:f>ROUND((L1185-J1185)*H1185/G1185,2)</x:f>
        <x:v>0</x:v>
      </x:c>
      <x:c r="N1185" s="10" t="n">
        <x:f>L1185-J1185-M1185</x:f>
        <x:v>71.96000000000001</x:v>
      </x:c>
      <x:c r="O1185" s="10" t="n">
        <x:f>(G1185-H1185)*K1185</x:f>
        <x:v>32</x:v>
      </x:c>
      <x:c r="P1185" s="10" t="n">
        <x:f>N1185-O1185</x:f>
        <x:v>39.96000000000001</x:v>
      </x:c>
      <x:c r="Q1185" s="9" t="n">
        <x:f>A1185-WEEKDAY(A1185,2)+1</x:f>
        <x:v>46307</x:v>
      </x:c>
      <x:c r="R1185" s="2" t="str">
        <x:f>IF(AND(A1185&gt;='Review'!$B$4,A1185&lt;='Review'!$D$4),"Selected","Outside")</x:f>
        <x:v>Selected</x:v>
      </x:c>
    </x:row>
    <x:row r="1186" ht="20" customHeight="1">
      <x:c r="A1186" s="9" t="n">
        <x:v>46310</x:v>
      </x:c>
      <x:c r="B1186" s="2" t="str">
        <x:v>MM-1842</x:v>
      </x:c>
      <x:c r="C1186" s="2" t="str">
        <x:v>Organic Search</x:v>
      </x:c>
      <x:c r="D1186" s="2" t="str">
        <x:v>TUM-002</x:v>
      </x:c>
      <x:c r="E1186" s="2" t="str">
        <x:f>_xlfn.IFNA(VLOOKUP(D1186,'Products'!$A$7:$I$22,2,FALSE),"Unmapped")</x:f>
        <x:v>Cold brew glass cup</x:v>
      </x:c>
      <x:c r="F1186" s="2" t="str">
        <x:f>_xlfn.IFNA(VLOOKUP(D1186,'Products'!$A$7:$I$22,3,FALSE),"Unmapped")</x:f>
        <x:v>Drinkware</x:v>
      </x:c>
      <x:c r="G1186" s="2" t="n">
        <x:v>3</x:v>
      </x:c>
      <x:c r="H1186" s="2" t="n">
        <x:v>0</x:v>
      </x:c>
      <x:c r="I1186" s="10" t="n">
        <x:v>24.95</x:v>
      </x:c>
      <x:c r="J1186" s="10" t="n">
        <x:v>0</x:v>
      </x:c>
      <x:c r="K1186" s="10" t="n">
        <x:v>9</x:v>
      </x:c>
      <x:c r="L1186" s="10" t="n">
        <x:f>G1186*I1186</x:f>
        <x:v>74.85</x:v>
      </x:c>
      <x:c r="M1186" s="10" t="n">
        <x:f>ROUND((L1186-J1186)*H1186/G1186,2)</x:f>
        <x:v>0</x:v>
      </x:c>
      <x:c r="N1186" s="10" t="n">
        <x:f>L1186-J1186-M1186</x:f>
        <x:v>74.85</x:v>
      </x:c>
      <x:c r="O1186" s="10" t="n">
        <x:f>(G1186-H1186)*K1186</x:f>
        <x:v>27</x:v>
      </x:c>
      <x:c r="P1186" s="10" t="n">
        <x:f>N1186-O1186</x:f>
        <x:v>47.849999999999994</x:v>
      </x:c>
      <x:c r="Q1186" s="9" t="n">
        <x:f>A1186-WEEKDAY(A1186,2)+1</x:f>
        <x:v>46307</x:v>
      </x:c>
      <x:c r="R1186" s="2" t="str">
        <x:f>IF(AND(A1186&gt;='Review'!$B$4,A1186&lt;='Review'!$D$4),"Selected","Outside")</x:f>
        <x:v>Selected</x:v>
      </x:c>
    </x:row>
    <x:row r="1187" ht="20" customHeight="1">
      <x:c r="A1187" s="9" t="n">
        <x:v>46310</x:v>
      </x:c>
      <x:c r="B1187" s="2" t="str">
        <x:v>MM-1848</x:v>
      </x:c>
      <x:c r="C1187" s="2" t="str">
        <x:v>Direct</x:v>
      </x:c>
      <x:c r="D1187" s="2" t="str">
        <x:v>TUM-002</x:v>
      </x:c>
      <x:c r="E1187" s="2" t="str">
        <x:f>_xlfn.IFNA(VLOOKUP(D1187,'Products'!$A$7:$I$22,2,FALSE),"Unmapped")</x:f>
        <x:v>Cold brew glass cup</x:v>
      </x:c>
      <x:c r="F1187" s="2" t="str">
        <x:f>_xlfn.IFNA(VLOOKUP(D1187,'Products'!$A$7:$I$22,3,FALSE),"Unmapped")</x:f>
        <x:v>Drinkware</x:v>
      </x:c>
      <x:c r="G1187" s="2" t="n">
        <x:v>1</x:v>
      </x:c>
      <x:c r="H1187" s="2" t="n">
        <x:v>0</x:v>
      </x:c>
      <x:c r="I1187" s="10" t="n">
        <x:v>24.95</x:v>
      </x:c>
      <x:c r="J1187" s="10" t="n">
        <x:v>0</x:v>
      </x:c>
      <x:c r="K1187" s="10" t="n">
        <x:v>9</x:v>
      </x:c>
      <x:c r="L1187" s="10" t="n">
        <x:f>G1187*I1187</x:f>
        <x:v>24.95</x:v>
      </x:c>
      <x:c r="M1187" s="10" t="n">
        <x:f>ROUND((L1187-J1187)*H1187/G1187,2)</x:f>
        <x:v>0</x:v>
      </x:c>
      <x:c r="N1187" s="10" t="n">
        <x:f>L1187-J1187-M1187</x:f>
        <x:v>24.95</x:v>
      </x:c>
      <x:c r="O1187" s="10" t="n">
        <x:f>(G1187-H1187)*K1187</x:f>
        <x:v>9</x:v>
      </x:c>
      <x:c r="P1187" s="10" t="n">
        <x:f>N1187-O1187</x:f>
        <x:v>15.95</x:v>
      </x:c>
      <x:c r="Q1187" s="9" t="n">
        <x:f>A1187-WEEKDAY(A1187,2)+1</x:f>
        <x:v>46307</x:v>
      </x:c>
      <x:c r="R1187" s="2" t="str">
        <x:f>IF(AND(A1187&gt;='Review'!$B$4,A1187&lt;='Review'!$D$4),"Selected","Outside")</x:f>
        <x:v>Selected</x:v>
      </x:c>
    </x:row>
    <x:row r="1188" ht="20" customHeight="1">
      <x:c r="A1188" s="9" t="n">
        <x:v>46310</x:v>
      </x:c>
      <x:c r="B1188" s="2" t="str">
        <x:v>MM-1848</x:v>
      </x:c>
      <x:c r="C1188" s="2" t="str">
        <x:v>Direct</x:v>
      </x:c>
      <x:c r="D1188" s="2" t="str">
        <x:v>KEY-001</x:v>
      </x:c>
      <x:c r="E1188" s="2" t="str">
        <x:f>_xlfn.IFNA(VLOOKUP(D1188,'Products'!$A$7:$I$22,2,FALSE),"Unmapped")</x:f>
        <x:v>Maple keyring</x:v>
      </x:c>
      <x:c r="F1188" s="2" t="str">
        <x:f>_xlfn.IFNA(VLOOKUP(D1188,'Products'!$A$7:$I$22,3,FALSE),"Unmapped")</x:f>
        <x:v>Accessories</x:v>
      </x:c>
      <x:c r="G1188" s="2" t="n">
        <x:v>1</x:v>
      </x:c>
      <x:c r="H1188" s="2" t="n">
        <x:v>0</x:v>
      </x:c>
      <x:c r="I1188" s="10" t="n">
        <x:v>12.95</x:v>
      </x:c>
      <x:c r="J1188" s="10" t="n">
        <x:v>0</x:v>
      </x:c>
      <x:c r="K1188" s="10" t="n">
        <x:v>3.5</x:v>
      </x:c>
      <x:c r="L1188" s="10" t="n">
        <x:f>G1188*I1188</x:f>
        <x:v>12.95</x:v>
      </x:c>
      <x:c r="M1188" s="10" t="n">
        <x:f>ROUND((L1188-J1188)*H1188/G1188,2)</x:f>
        <x:v>0</x:v>
      </x:c>
      <x:c r="N1188" s="10" t="n">
        <x:f>L1188-J1188-M1188</x:f>
        <x:v>12.95</x:v>
      </x:c>
      <x:c r="O1188" s="10" t="n">
        <x:f>(G1188-H1188)*K1188</x:f>
        <x:v>3.5</x:v>
      </x:c>
      <x:c r="P1188" s="10" t="n">
        <x:f>N1188-O1188</x:f>
        <x:v>9.45</x:v>
      </x:c>
      <x:c r="Q1188" s="9" t="n">
        <x:f>A1188-WEEKDAY(A1188,2)+1</x:f>
        <x:v>46307</x:v>
      </x:c>
      <x:c r="R1188" s="2" t="str">
        <x:f>IF(AND(A1188&gt;='Review'!$B$4,A1188&lt;='Review'!$D$4),"Selected","Outside")</x:f>
        <x:v>Selected</x:v>
      </x:c>
    </x:row>
    <x:row r="1189" ht="20" customHeight="1">
      <x:c r="A1189" s="9" t="n">
        <x:v>46310</x:v>
      </x:c>
      <x:c r="B1189" s="2" t="str">
        <x:v>MM-1840</x:v>
      </x:c>
      <x:c r="C1189" s="2" t="str">
        <x:v>Email</x:v>
      </x:c>
      <x:c r="D1189" s="2" t="str">
        <x:v>APP-001</x:v>
      </x:c>
      <x:c r="E1189" s="2" t="str">
        <x:f>_xlfn.IFNA(VLOOKUP(D1189,'Products'!$A$7:$I$22,2,FALSE),"Unmapped")</x:f>
        <x:v>Everyday crewneck</x:v>
      </x:c>
      <x:c r="F1189" s="2" t="str">
        <x:f>_xlfn.IFNA(VLOOKUP(D1189,'Products'!$A$7:$I$22,3,FALSE),"Unmapped")</x:f>
        <x:v>Apparel</x:v>
      </x:c>
      <x:c r="G1189" s="2" t="n">
        <x:v>1</x:v>
      </x:c>
      <x:c r="H1189" s="2" t="n">
        <x:v>0</x:v>
      </x:c>
      <x:c r="I1189" s="10" t="n">
        <x:v>54.95</x:v>
      </x:c>
      <x:c r="J1189" s="10" t="n">
        <x:v>5.49</x:v>
      </x:c>
      <x:c r="K1189" s="10" t="n">
        <x:v>22</x:v>
      </x:c>
      <x:c r="L1189" s="10" t="n">
        <x:f>G1189*I1189</x:f>
        <x:v>54.95</x:v>
      </x:c>
      <x:c r="M1189" s="10" t="n">
        <x:f>ROUND((L1189-J1189)*H1189/G1189,2)</x:f>
        <x:v>0</x:v>
      </x:c>
      <x:c r="N1189" s="10" t="n">
        <x:f>L1189-J1189-M1189</x:f>
        <x:v>49.46</x:v>
      </x:c>
      <x:c r="O1189" s="10" t="n">
        <x:f>(G1189-H1189)*K1189</x:f>
        <x:v>22</x:v>
      </x:c>
      <x:c r="P1189" s="10" t="n">
        <x:f>N1189-O1189</x:f>
        <x:v>27.46</x:v>
      </x:c>
      <x:c r="Q1189" s="9" t="n">
        <x:f>A1189-WEEKDAY(A1189,2)+1</x:f>
        <x:v>46307</x:v>
      </x:c>
      <x:c r="R1189" s="2" t="str">
        <x:f>IF(AND(A1189&gt;='Review'!$B$4,A1189&lt;='Review'!$D$4),"Selected","Outside")</x:f>
        <x:v>Selected</x:v>
      </x:c>
    </x:row>
    <x:row r="1190" ht="20" customHeight="1">
      <x:c r="A1190" s="9" t="n">
        <x:v>46310</x:v>
      </x:c>
      <x:c r="B1190" s="2" t="str">
        <x:v>MM-1845</x:v>
      </x:c>
      <x:c r="C1190" s="2" t="str">
        <x:v>Paid Social</x:v>
      </x:c>
      <x:c r="D1190" s="2" t="str">
        <x:v>APP-003</x:v>
      </x:c>
      <x:c r="E1190" s="2" t="str">
        <x:f>_xlfn.IFNA(VLOOKUP(D1190,'Products'!$A$7:$I$22,2,FALSE),"Unmapped")</x:f>
        <x:v>Coffee club tee</x:v>
      </x:c>
      <x:c r="F1190" s="2" t="str">
        <x:f>_xlfn.IFNA(VLOOKUP(D1190,'Products'!$A$7:$I$22,3,FALSE),"Unmapped")</x:f>
        <x:v>Apparel</x:v>
      </x:c>
      <x:c r="G1190" s="2" t="n">
        <x:v>1</x:v>
      </x:c>
      <x:c r="H1190" s="2" t="n">
        <x:v>0</x:v>
      </x:c>
      <x:c r="I1190" s="10" t="n">
        <x:v>29.95</x:v>
      </x:c>
      <x:c r="J1190" s="10" t="n">
        <x:v>0</x:v>
      </x:c>
      <x:c r="K1190" s="10" t="n">
        <x:v>10</x:v>
      </x:c>
      <x:c r="L1190" s="10" t="n">
        <x:f>G1190*I1190</x:f>
        <x:v>29.95</x:v>
      </x:c>
      <x:c r="M1190" s="10" t="n">
        <x:f>ROUND((L1190-J1190)*H1190/G1190,2)</x:f>
        <x:v>0</x:v>
      </x:c>
      <x:c r="N1190" s="10" t="n">
        <x:f>L1190-J1190-M1190</x:f>
        <x:v>29.95</x:v>
      </x:c>
      <x:c r="O1190" s="10" t="n">
        <x:f>(G1190-H1190)*K1190</x:f>
        <x:v>10</x:v>
      </x:c>
      <x:c r="P1190" s="10" t="n">
        <x:f>N1190-O1190</x:f>
        <x:v>19.95</x:v>
      </x:c>
      <x:c r="Q1190" s="9" t="n">
        <x:f>A1190-WEEKDAY(A1190,2)+1</x:f>
        <x:v>46307</x:v>
      </x:c>
      <x:c r="R1190" s="2" t="str">
        <x:f>IF(AND(A1190&gt;='Review'!$B$4,A1190&lt;='Review'!$D$4),"Selected","Outside")</x:f>
        <x:v>Selected</x:v>
      </x:c>
    </x:row>
    <x:row r="1191" ht="20" customHeight="1">
      <x:c r="A1191" s="9" t="n">
        <x:v>46310</x:v>
      </x:c>
      <x:c r="B1191" s="2" t="str">
        <x:v>MM-1845</x:v>
      </x:c>
      <x:c r="C1191" s="2" t="str">
        <x:v>Paid Social</x:v>
      </x:c>
      <x:c r="D1191" s="2" t="str">
        <x:v>HAT-001</x:v>
      </x:c>
      <x:c r="E1191" s="2" t="str">
        <x:f>_xlfn.IFNA(VLOOKUP(D1191,'Products'!$A$7:$I$22,2,FALSE),"Unmapped")</x:f>
        <x:v>Classic canvas cap</x:v>
      </x:c>
      <x:c r="F1191" s="2" t="str">
        <x:f>_xlfn.IFNA(VLOOKUP(D1191,'Products'!$A$7:$I$22,3,FALSE),"Unmapped")</x:f>
        <x:v>Accessories</x:v>
      </x:c>
      <x:c r="G1191" s="2" t="n">
        <x:v>2</x:v>
      </x:c>
      <x:c r="H1191" s="2" t="n">
        <x:v>0</x:v>
      </x:c>
      <x:c r="I1191" s="10" t="n">
        <x:v>24.95</x:v>
      </x:c>
      <x:c r="J1191" s="10" t="n">
        <x:v>4.99</x:v>
      </x:c>
      <x:c r="K1191" s="10" t="n">
        <x:v>8.5</x:v>
      </x:c>
      <x:c r="L1191" s="10" t="n">
        <x:f>G1191*I1191</x:f>
        <x:v>49.9</x:v>
      </x:c>
      <x:c r="M1191" s="10" t="n">
        <x:f>ROUND((L1191-J1191)*H1191/G1191,2)</x:f>
        <x:v>0</x:v>
      </x:c>
      <x:c r="N1191" s="10" t="n">
        <x:f>L1191-J1191-M1191</x:f>
        <x:v>44.91</x:v>
      </x:c>
      <x:c r="O1191" s="10" t="n">
        <x:f>(G1191-H1191)*K1191</x:f>
        <x:v>17</x:v>
      </x:c>
      <x:c r="P1191" s="10" t="n">
        <x:f>N1191-O1191</x:f>
        <x:v>27.909999999999997</x:v>
      </x:c>
      <x:c r="Q1191" s="9" t="n">
        <x:f>A1191-WEEKDAY(A1191,2)+1</x:f>
        <x:v>46307</x:v>
      </x:c>
      <x:c r="R1191" s="2" t="str">
        <x:f>IF(AND(A1191&gt;='Review'!$B$4,A1191&lt;='Review'!$D$4),"Selected","Outside")</x:f>
        <x:v>Selected</x:v>
      </x:c>
    </x:row>
    <x:row r="1192" ht="20" customHeight="1">
      <x:c r="A1192" s="9" t="n">
        <x:v>46310</x:v>
      </x:c>
      <x:c r="B1192" s="2" t="str">
        <x:v>MM-1835</x:v>
      </x:c>
      <x:c r="C1192" s="2" t="str">
        <x:v>Email</x:v>
      </x:c>
      <x:c r="D1192" s="2" t="str">
        <x:v>MUG-002</x:v>
      </x:c>
      <x:c r="E1192" s="2" t="str">
        <x:f>_xlfn.IFNA(VLOOKUP(D1192,'Products'!$A$7:$I$22,2,FALSE),"Unmapped")</x:f>
        <x:v>Campfire enamel mug</x:v>
      </x:c>
      <x:c r="F1192" s="2" t="str">
        <x:f>_xlfn.IFNA(VLOOKUP(D1192,'Products'!$A$7:$I$22,3,FALSE),"Unmapped")</x:f>
        <x:v>Drinkware</x:v>
      </x:c>
      <x:c r="G1192" s="2" t="n">
        <x:v>1</x:v>
      </x:c>
      <x:c r="H1192" s="2" t="n">
        <x:v>0</x:v>
      </x:c>
      <x:c r="I1192" s="10" t="n">
        <x:v>22.95</x:v>
      </x:c>
      <x:c r="J1192" s="10" t="n">
        <x:v>2.29</x:v>
      </x:c>
      <x:c r="K1192" s="10" t="n">
        <x:v>8.5</x:v>
      </x:c>
      <x:c r="L1192" s="10" t="n">
        <x:f>G1192*I1192</x:f>
        <x:v>22.95</x:v>
      </x:c>
      <x:c r="M1192" s="10" t="n">
        <x:f>ROUND((L1192-J1192)*H1192/G1192,2)</x:f>
        <x:v>0</x:v>
      </x:c>
      <x:c r="N1192" s="10" t="n">
        <x:f>L1192-J1192-M1192</x:f>
        <x:v>20.66</x:v>
      </x:c>
      <x:c r="O1192" s="10" t="n">
        <x:f>(G1192-H1192)*K1192</x:f>
        <x:v>8.5</x:v>
      </x:c>
      <x:c r="P1192" s="10" t="n">
        <x:f>N1192-O1192</x:f>
        <x:v>12.16</x:v>
      </x:c>
      <x:c r="Q1192" s="9" t="n">
        <x:f>A1192-WEEKDAY(A1192,2)+1</x:f>
        <x:v>46307</x:v>
      </x:c>
      <x:c r="R1192" s="2" t="str">
        <x:f>IF(AND(A1192&gt;='Review'!$B$4,A1192&lt;='Review'!$D$4),"Selected","Outside")</x:f>
        <x:v>Selected</x:v>
      </x:c>
    </x:row>
    <x:row r="1193" ht="20" customHeight="1">
      <x:c r="A1193" s="9" t="n">
        <x:v>46310</x:v>
      </x:c>
      <x:c r="B1193" s="2" t="str">
        <x:v>MM-1836</x:v>
      </x:c>
      <x:c r="C1193" s="2" t="str">
        <x:v>Email</x:v>
      </x:c>
      <x:c r="D1193" s="2" t="str">
        <x:v>GFT-002</x:v>
      </x:c>
      <x:c r="E1193" s="2" t="str">
        <x:f>_xlfn.IFNA(VLOOKUP(D1193,'Products'!$A$7:$I$22,2,FALSE),"Unmapped")</x:f>
        <x:v>Cozy weekend gift box</x:v>
      </x:c>
      <x:c r="F1193" s="2" t="str">
        <x:f>_xlfn.IFNA(VLOOKUP(D1193,'Products'!$A$7:$I$22,3,FALSE),"Unmapped")</x:f>
        <x:v>Gifts</x:v>
      </x:c>
      <x:c r="G1193" s="2" t="n">
        <x:v>1</x:v>
      </x:c>
      <x:c r="H1193" s="2" t="n">
        <x:v>0</x:v>
      </x:c>
      <x:c r="I1193" s="10" t="n">
        <x:v>79.95</x:v>
      </x:c>
      <x:c r="J1193" s="10" t="n">
        <x:v>7.99</x:v>
      </x:c>
      <x:c r="K1193" s="10" t="n">
        <x:v>32</x:v>
      </x:c>
      <x:c r="L1193" s="10" t="n">
        <x:f>G1193*I1193</x:f>
        <x:v>79.95</x:v>
      </x:c>
      <x:c r="M1193" s="10" t="n">
        <x:f>ROUND((L1193-J1193)*H1193/G1193,2)</x:f>
        <x:v>0</x:v>
      </x:c>
      <x:c r="N1193" s="10" t="n">
        <x:f>L1193-J1193-M1193</x:f>
        <x:v>71.96000000000001</x:v>
      </x:c>
      <x:c r="O1193" s="10" t="n">
        <x:f>(G1193-H1193)*K1193</x:f>
        <x:v>32</x:v>
      </x:c>
      <x:c r="P1193" s="10" t="n">
        <x:f>N1193-O1193</x:f>
        <x:v>39.96000000000001</x:v>
      </x:c>
      <x:c r="Q1193" s="9" t="n">
        <x:f>A1193-WEEKDAY(A1193,2)+1</x:f>
        <x:v>46307</x:v>
      </x:c>
      <x:c r="R1193" s="2" t="str">
        <x:f>IF(AND(A1193&gt;='Review'!$B$4,A1193&lt;='Review'!$D$4),"Selected","Outside")</x:f>
        <x:v>Selected</x:v>
      </x:c>
    </x:row>
    <x:row r="1194" ht="20" customHeight="1">
      <x:c r="A1194" s="9" t="n">
        <x:v>46310</x:v>
      </x:c>
      <x:c r="B1194" s="2" t="str">
        <x:v>MM-1836</x:v>
      </x:c>
      <x:c r="C1194" s="2" t="str">
        <x:v>Email</x:v>
      </x:c>
      <x:c r="D1194" s="2" t="str">
        <x:v>PIN-001</x:v>
      </x:c>
      <x:c r="E1194" s="2" t="str">
        <x:f>_xlfn.IFNA(VLOOKUP(D1194,'Products'!$A$7:$I$22,2,FALSE),"Unmapped")</x:f>
        <x:v>Coffee enamel pin</x:v>
      </x:c>
      <x:c r="F1194" s="2" t="str">
        <x:f>_xlfn.IFNA(VLOOKUP(D1194,'Products'!$A$7:$I$22,3,FALSE),"Unmapped")</x:f>
        <x:v>Accessories</x:v>
      </x:c>
      <x:c r="G1194" s="2" t="n">
        <x:v>2</x:v>
      </x:c>
      <x:c r="H1194" s="2" t="n">
        <x:v>0</x:v>
      </x:c>
      <x:c r="I1194" s="10" t="n">
        <x:v>9.95</x:v>
      </x:c>
      <x:c r="J1194" s="10" t="n">
        <x:v>1.99</x:v>
      </x:c>
      <x:c r="K1194" s="10" t="n">
        <x:v>2.5</x:v>
      </x:c>
      <x:c r="L1194" s="10" t="n">
        <x:f>G1194*I1194</x:f>
        <x:v>19.9</x:v>
      </x:c>
      <x:c r="M1194" s="10" t="n">
        <x:f>ROUND((L1194-J1194)*H1194/G1194,2)</x:f>
        <x:v>0</x:v>
      </x:c>
      <x:c r="N1194" s="10" t="n">
        <x:f>L1194-J1194-M1194</x:f>
        <x:v>17.91</x:v>
      </x:c>
      <x:c r="O1194" s="10" t="n">
        <x:f>(G1194-H1194)*K1194</x:f>
        <x:v>5</x:v>
      </x:c>
      <x:c r="P1194" s="10" t="n">
        <x:f>N1194-O1194</x:f>
        <x:v>12.91</x:v>
      </x:c>
      <x:c r="Q1194" s="9" t="n">
        <x:f>A1194-WEEKDAY(A1194,2)+1</x:f>
        <x:v>46307</x:v>
      </x:c>
      <x:c r="R1194" s="2" t="str">
        <x:f>IF(AND(A1194&gt;='Review'!$B$4,A1194&lt;='Review'!$D$4),"Selected","Outside")</x:f>
        <x:v>Selected</x:v>
      </x:c>
    </x:row>
    <x:row r="1195" ht="20" customHeight="1">
      <x:c r="A1195" s="9" t="n">
        <x:v>46310</x:v>
      </x:c>
      <x:c r="B1195" s="2" t="str">
        <x:v>MM-1847</x:v>
      </x:c>
      <x:c r="C1195" s="2" t="str">
        <x:v>Organic Search</x:v>
      </x:c>
      <x:c r="D1195" s="2" t="str">
        <x:v>APP-001</x:v>
      </x:c>
      <x:c r="E1195" s="2" t="str">
        <x:f>_xlfn.IFNA(VLOOKUP(D1195,'Products'!$A$7:$I$22,2,FALSE),"Unmapped")</x:f>
        <x:v>Everyday crewneck</x:v>
      </x:c>
      <x:c r="F1195" s="2" t="str">
        <x:f>_xlfn.IFNA(VLOOKUP(D1195,'Products'!$A$7:$I$22,3,FALSE),"Unmapped")</x:f>
        <x:v>Apparel</x:v>
      </x:c>
      <x:c r="G1195" s="2" t="n">
        <x:v>1</x:v>
      </x:c>
      <x:c r="H1195" s="2" t="n">
        <x:v>0</x:v>
      </x:c>
      <x:c r="I1195" s="10" t="n">
        <x:v>54.95</x:v>
      </x:c>
      <x:c r="J1195" s="10" t="n">
        <x:v>0</x:v>
      </x:c>
      <x:c r="K1195" s="10" t="n">
        <x:v>22</x:v>
      </x:c>
      <x:c r="L1195" s="10" t="n">
        <x:f>G1195*I1195</x:f>
        <x:v>54.95</x:v>
      </x:c>
      <x:c r="M1195" s="10" t="n">
        <x:f>ROUND((L1195-J1195)*H1195/G1195,2)</x:f>
        <x:v>0</x:v>
      </x:c>
      <x:c r="N1195" s="10" t="n">
        <x:f>L1195-J1195-M1195</x:f>
        <x:v>54.95</x:v>
      </x:c>
      <x:c r="O1195" s="10" t="n">
        <x:f>(G1195-H1195)*K1195</x:f>
        <x:v>22</x:v>
      </x:c>
      <x:c r="P1195" s="10" t="n">
        <x:f>N1195-O1195</x:f>
        <x:v>32.95</x:v>
      </x:c>
      <x:c r="Q1195" s="9" t="n">
        <x:f>A1195-WEEKDAY(A1195,2)+1</x:f>
        <x:v>46307</x:v>
      </x:c>
      <x:c r="R1195" s="2" t="str">
        <x:f>IF(AND(A1195&gt;='Review'!$B$4,A1195&lt;='Review'!$D$4),"Selected","Outside")</x:f>
        <x:v>Selected</x:v>
      </x:c>
    </x:row>
    <x:row r="1196" ht="20" customHeight="1">
      <x:c r="A1196" s="9" t="n">
        <x:v>46310</x:v>
      </x:c>
      <x:c r="B1196" s="2" t="str">
        <x:v>MM-1850</x:v>
      </x:c>
      <x:c r="C1196" s="2" t="str">
        <x:v>Direct</x:v>
      </x:c>
      <x:c r="D1196" s="2" t="str">
        <x:v>APP-002</x:v>
      </x:c>
      <x:c r="E1196" s="2" t="str">
        <x:f>_xlfn.IFNA(VLOOKUP(D1196,'Products'!$A$7:$I$22,2,FALSE),"Unmapped")</x:f>
        <x:v>Weekend hoodie</x:v>
      </x:c>
      <x:c r="F1196" s="2" t="str">
        <x:f>_xlfn.IFNA(VLOOKUP(D1196,'Products'!$A$7:$I$22,3,FALSE),"Unmapped")</x:f>
        <x:v>Apparel</x:v>
      </x:c>
      <x:c r="G1196" s="2" t="n">
        <x:v>1</x:v>
      </x:c>
      <x:c r="H1196" s="2" t="n">
        <x:v>0</x:v>
      </x:c>
      <x:c r="I1196" s="10" t="n">
        <x:v>69.95</x:v>
      </x:c>
      <x:c r="J1196" s="10" t="n">
        <x:v>0</x:v>
      </x:c>
      <x:c r="K1196" s="10" t="n">
        <x:v>28</x:v>
      </x:c>
      <x:c r="L1196" s="10" t="n">
        <x:f>G1196*I1196</x:f>
        <x:v>69.95</x:v>
      </x:c>
      <x:c r="M1196" s="10" t="n">
        <x:f>ROUND((L1196-J1196)*H1196/G1196,2)</x:f>
        <x:v>0</x:v>
      </x:c>
      <x:c r="N1196" s="10" t="n">
        <x:f>L1196-J1196-M1196</x:f>
        <x:v>69.95</x:v>
      </x:c>
      <x:c r="O1196" s="10" t="n">
        <x:f>(G1196-H1196)*K1196</x:f>
        <x:v>28</x:v>
      </x:c>
      <x:c r="P1196" s="10" t="n">
        <x:f>N1196-O1196</x:f>
        <x:v>41.95</x:v>
      </x:c>
      <x:c r="Q1196" s="9" t="n">
        <x:f>A1196-WEEKDAY(A1196,2)+1</x:f>
        <x:v>46307</x:v>
      </x:c>
      <x:c r="R1196" s="2" t="str">
        <x:f>IF(AND(A1196&gt;='Review'!$B$4,A1196&lt;='Review'!$D$4),"Selected","Outside")</x:f>
        <x:v>Selected</x:v>
      </x:c>
    </x:row>
    <x:row r="1197" ht="20" customHeight="1">
      <x:c r="A1197" s="9" t="n">
        <x:v>46310</x:v>
      </x:c>
      <x:c r="B1197" s="2" t="str">
        <x:v>MM-1850</x:v>
      </x:c>
      <x:c r="C1197" s="2" t="str">
        <x:v>Direct</x:v>
      </x:c>
      <x:c r="D1197" s="2" t="str">
        <x:v>TUM-002</x:v>
      </x:c>
      <x:c r="E1197" s="2" t="str">
        <x:f>_xlfn.IFNA(VLOOKUP(D1197,'Products'!$A$7:$I$22,2,FALSE),"Unmapped")</x:f>
        <x:v>Cold brew glass cup</x:v>
      </x:c>
      <x:c r="F1197" s="2" t="str">
        <x:f>_xlfn.IFNA(VLOOKUP(D1197,'Products'!$A$7:$I$22,3,FALSE),"Unmapped")</x:f>
        <x:v>Drinkware</x:v>
      </x:c>
      <x:c r="G1197" s="2" t="n">
        <x:v>1</x:v>
      </x:c>
      <x:c r="H1197" s="2" t="n">
        <x:v>0</x:v>
      </x:c>
      <x:c r="I1197" s="10" t="n">
        <x:v>24.95</x:v>
      </x:c>
      <x:c r="J1197" s="10" t="n">
        <x:v>0</x:v>
      </x:c>
      <x:c r="K1197" s="10" t="n">
        <x:v>9</x:v>
      </x:c>
      <x:c r="L1197" s="10" t="n">
        <x:f>G1197*I1197</x:f>
        <x:v>24.95</x:v>
      </x:c>
      <x:c r="M1197" s="10" t="n">
        <x:f>ROUND((L1197-J1197)*H1197/G1197,2)</x:f>
        <x:v>0</x:v>
      </x:c>
      <x:c r="N1197" s="10" t="n">
        <x:f>L1197-J1197-M1197</x:f>
        <x:v>24.95</x:v>
      </x:c>
      <x:c r="O1197" s="10" t="n">
        <x:f>(G1197-H1197)*K1197</x:f>
        <x:v>9</x:v>
      </x:c>
      <x:c r="P1197" s="10" t="n">
        <x:f>N1197-O1197</x:f>
        <x:v>15.95</x:v>
      </x:c>
      <x:c r="Q1197" s="9" t="n">
        <x:f>A1197-WEEKDAY(A1197,2)+1</x:f>
        <x:v>46307</x:v>
      </x:c>
      <x:c r="R1197" s="2" t="str">
        <x:f>IF(AND(A1197&gt;='Review'!$B$4,A1197&lt;='Review'!$D$4),"Selected","Outside")</x:f>
        <x:v>Selected</x:v>
      </x:c>
    </x:row>
    <x:row r="1198" ht="20" customHeight="1">
      <x:c r="A1198" s="9" t="n">
        <x:v>46310</x:v>
      </x:c>
      <x:c r="B1198" s="2" t="str">
        <x:v>MM-1853</x:v>
      </x:c>
      <x:c r="C1198" s="2" t="str">
        <x:v>Direct</x:v>
      </x:c>
      <x:c r="D1198" s="2" t="str">
        <x:v>HAT-001</x:v>
      </x:c>
      <x:c r="E1198" s="2" t="str">
        <x:f>_xlfn.IFNA(VLOOKUP(D1198,'Products'!$A$7:$I$22,2,FALSE),"Unmapped")</x:f>
        <x:v>Classic canvas cap</x:v>
      </x:c>
      <x:c r="F1198" s="2" t="str">
        <x:f>_xlfn.IFNA(VLOOKUP(D1198,'Products'!$A$7:$I$22,3,FALSE),"Unmapped")</x:f>
        <x:v>Accessories</x:v>
      </x:c>
      <x:c r="G1198" s="2" t="n">
        <x:v>2</x:v>
      </x:c>
      <x:c r="H1198" s="2" t="n">
        <x:v>0</x:v>
      </x:c>
      <x:c r="I1198" s="10" t="n">
        <x:v>24.95</x:v>
      </x:c>
      <x:c r="J1198" s="10" t="n">
        <x:v>0</x:v>
      </x:c>
      <x:c r="K1198" s="10" t="n">
        <x:v>8.5</x:v>
      </x:c>
      <x:c r="L1198" s="10" t="n">
        <x:f>G1198*I1198</x:f>
        <x:v>49.9</x:v>
      </x:c>
      <x:c r="M1198" s="10" t="n">
        <x:f>ROUND((L1198-J1198)*H1198/G1198,2)</x:f>
        <x:v>0</x:v>
      </x:c>
      <x:c r="N1198" s="10" t="n">
        <x:f>L1198-J1198-M1198</x:f>
        <x:v>49.9</x:v>
      </x:c>
      <x:c r="O1198" s="10" t="n">
        <x:f>(G1198-H1198)*K1198</x:f>
        <x:v>17</x:v>
      </x:c>
      <x:c r="P1198" s="10" t="n">
        <x:f>N1198-O1198</x:f>
        <x:v>32.9</x:v>
      </x:c>
      <x:c r="Q1198" s="9" t="n">
        <x:f>A1198-WEEKDAY(A1198,2)+1</x:f>
        <x:v>46307</x:v>
      </x:c>
      <x:c r="R1198" s="2" t="str">
        <x:f>IF(AND(A1198&gt;='Review'!$B$4,A1198&lt;='Review'!$D$4),"Selected","Outside")</x:f>
        <x:v>Selected</x:v>
      </x:c>
    </x:row>
    <x:row r="1199" ht="20" customHeight="1">
      <x:c r="A1199" s="9" t="n">
        <x:v>46310</x:v>
      </x:c>
      <x:c r="B1199" s="2" t="str">
        <x:v>MM-1853</x:v>
      </x:c>
      <x:c r="C1199" s="2" t="str">
        <x:v>Direct</x:v>
      </x:c>
      <x:c r="D1199" s="2" t="str">
        <x:v>KEY-001</x:v>
      </x:c>
      <x:c r="E1199" s="2" t="str">
        <x:f>_xlfn.IFNA(VLOOKUP(D1199,'Products'!$A$7:$I$22,2,FALSE),"Unmapped")</x:f>
        <x:v>Maple keyring</x:v>
      </x:c>
      <x:c r="F1199" s="2" t="str">
        <x:f>_xlfn.IFNA(VLOOKUP(D1199,'Products'!$A$7:$I$22,3,FALSE),"Unmapped")</x:f>
        <x:v>Accessories</x:v>
      </x:c>
      <x:c r="G1199" s="2" t="n">
        <x:v>3</x:v>
      </x:c>
      <x:c r="H1199" s="2" t="n">
        <x:v>0</x:v>
      </x:c>
      <x:c r="I1199" s="10" t="n">
        <x:v>12.95</x:v>
      </x:c>
      <x:c r="J1199" s="10" t="n">
        <x:v>0</x:v>
      </x:c>
      <x:c r="K1199" s="10" t="n">
        <x:v>3.5</x:v>
      </x:c>
      <x:c r="L1199" s="10" t="n">
        <x:f>G1199*I1199</x:f>
        <x:v>38.849999999999994</x:v>
      </x:c>
      <x:c r="M1199" s="10" t="n">
        <x:f>ROUND((L1199-J1199)*H1199/G1199,2)</x:f>
        <x:v>0</x:v>
      </x:c>
      <x:c r="N1199" s="10" t="n">
        <x:f>L1199-J1199-M1199</x:f>
        <x:v>38.849999999999994</x:v>
      </x:c>
      <x:c r="O1199" s="10" t="n">
        <x:f>(G1199-H1199)*K1199</x:f>
        <x:v>10.5</x:v>
      </x:c>
      <x:c r="P1199" s="10" t="n">
        <x:f>N1199-O1199</x:f>
        <x:v>28.349999999999994</x:v>
      </x:c>
      <x:c r="Q1199" s="9" t="n">
        <x:f>A1199-WEEKDAY(A1199,2)+1</x:f>
        <x:v>46307</x:v>
      </x:c>
      <x:c r="R1199" s="2" t="str">
        <x:f>IF(AND(A1199&gt;='Review'!$B$4,A1199&lt;='Review'!$D$4),"Selected","Outside")</x:f>
        <x:v>Selected</x:v>
      </x:c>
    </x:row>
    <x:row r="1200" ht="20" customHeight="1">
      <x:c r="A1200" s="9" t="n">
        <x:v>46310</x:v>
      </x:c>
      <x:c r="B1200" s="2" t="str">
        <x:v>MM-1853</x:v>
      </x:c>
      <x:c r="C1200" s="2" t="str">
        <x:v>Direct</x:v>
      </x:c>
      <x:c r="D1200" s="2" t="str">
        <x:v>APP-001</x:v>
      </x:c>
      <x:c r="E1200" s="2" t="str">
        <x:f>_xlfn.IFNA(VLOOKUP(D1200,'Products'!$A$7:$I$22,2,FALSE),"Unmapped")</x:f>
        <x:v>Everyday crewneck</x:v>
      </x:c>
      <x:c r="F1200" s="2" t="str">
        <x:f>_xlfn.IFNA(VLOOKUP(D1200,'Products'!$A$7:$I$22,3,FALSE),"Unmapped")</x:f>
        <x:v>Apparel</x:v>
      </x:c>
      <x:c r="G1200" s="2" t="n">
        <x:v>1</x:v>
      </x:c>
      <x:c r="H1200" s="2" t="n">
        <x:v>0</x:v>
      </x:c>
      <x:c r="I1200" s="10" t="n">
        <x:v>54.95</x:v>
      </x:c>
      <x:c r="J1200" s="10" t="n">
        <x:v>0</x:v>
      </x:c>
      <x:c r="K1200" s="10" t="n">
        <x:v>22</x:v>
      </x:c>
      <x:c r="L1200" s="10" t="n">
        <x:f>G1200*I1200</x:f>
        <x:v>54.95</x:v>
      </x:c>
      <x:c r="M1200" s="10" t="n">
        <x:f>ROUND((L1200-J1200)*H1200/G1200,2)</x:f>
        <x:v>0</x:v>
      </x:c>
      <x:c r="N1200" s="10" t="n">
        <x:f>L1200-J1200-M1200</x:f>
        <x:v>54.95</x:v>
      </x:c>
      <x:c r="O1200" s="10" t="n">
        <x:f>(G1200-H1200)*K1200</x:f>
        <x:v>22</x:v>
      </x:c>
      <x:c r="P1200" s="10" t="n">
        <x:f>N1200-O1200</x:f>
        <x:v>32.95</x:v>
      </x:c>
      <x:c r="Q1200" s="9" t="n">
        <x:f>A1200-WEEKDAY(A1200,2)+1</x:f>
        <x:v>46307</x:v>
      </x:c>
      <x:c r="R1200" s="2" t="str">
        <x:f>IF(AND(A1200&gt;='Review'!$B$4,A1200&lt;='Review'!$D$4),"Selected","Outside")</x:f>
        <x:v>Selected</x:v>
      </x:c>
    </x:row>
    <x:row r="1201" ht="20" customHeight="1">
      <x:c r="A1201" s="9" t="n">
        <x:v>46310</x:v>
      </x:c>
      <x:c r="B1201" s="2" t="str">
        <x:v>MM-1846</x:v>
      </x:c>
      <x:c r="C1201" s="2" t="str">
        <x:v>Organic Search</x:v>
      </x:c>
      <x:c r="D1201" s="2" t="str">
        <x:v>BOT-001</x:v>
      </x:c>
      <x:c r="E1201" s="2" t="str">
        <x:f>_xlfn.IFNA(VLOOKUP(D1201,'Products'!$A$7:$I$22,2,FALSE),"Unmapped")</x:f>
        <x:v>Trail water bottle</x:v>
      </x:c>
      <x:c r="F1201" s="2" t="str">
        <x:f>_xlfn.IFNA(VLOOKUP(D1201,'Products'!$A$7:$I$22,3,FALSE),"Unmapped")</x:f>
        <x:v>Drinkware</x:v>
      </x:c>
      <x:c r="G1201" s="2" t="n">
        <x:v>2</x:v>
      </x:c>
      <x:c r="H1201" s="2" t="n">
        <x:v>0</x:v>
      </x:c>
      <x:c r="I1201" s="10" t="n">
        <x:v>34.95</x:v>
      </x:c>
      <x:c r="J1201" s="10" t="n">
        <x:v>0</x:v>
      </x:c>
      <x:c r="K1201" s="10" t="n">
        <x:v>13.5</x:v>
      </x:c>
      <x:c r="L1201" s="10" t="n">
        <x:f>G1201*I1201</x:f>
        <x:v>69.9</x:v>
      </x:c>
      <x:c r="M1201" s="10" t="n">
        <x:f>ROUND((L1201-J1201)*H1201/G1201,2)</x:f>
        <x:v>0</x:v>
      </x:c>
      <x:c r="N1201" s="10" t="n">
        <x:f>L1201-J1201-M1201</x:f>
        <x:v>69.9</x:v>
      </x:c>
      <x:c r="O1201" s="10" t="n">
        <x:f>(G1201-H1201)*K1201</x:f>
        <x:v>27</x:v>
      </x:c>
      <x:c r="P1201" s="10" t="n">
        <x:f>N1201-O1201</x:f>
        <x:v>42.900000000000006</x:v>
      </x:c>
      <x:c r="Q1201" s="9" t="n">
        <x:f>A1201-WEEKDAY(A1201,2)+1</x:f>
        <x:v>46307</x:v>
      </x:c>
      <x:c r="R1201" s="2" t="str">
        <x:f>IF(AND(A1201&gt;='Review'!$B$4,A1201&lt;='Review'!$D$4),"Selected","Outside")</x:f>
        <x:v>Selected</x:v>
      </x:c>
    </x:row>
    <x:row r="1202" ht="20" customHeight="1">
      <x:c r="A1202" s="9" t="n">
        <x:v>46310</x:v>
      </x:c>
      <x:c r="B1202" s="2" t="str">
        <x:v>MM-1846</x:v>
      </x:c>
      <x:c r="C1202" s="2" t="str">
        <x:v>Organic Search</x:v>
      </x:c>
      <x:c r="D1202" s="2" t="str">
        <x:v>GFT-001</x:v>
      </x:c>
      <x:c r="E1202" s="2" t="str">
        <x:f>_xlfn.IFNA(VLOOKUP(D1202,'Products'!$A$7:$I$22,2,FALSE),"Unmapped")</x:f>
        <x:v>Morning ritual gift set</x:v>
      </x:c>
      <x:c r="F1202" s="2" t="str">
        <x:f>_xlfn.IFNA(VLOOKUP(D1202,'Products'!$A$7:$I$22,3,FALSE),"Unmapped")</x:f>
        <x:v>Gifts</x:v>
      </x:c>
      <x:c r="G1202" s="2" t="n">
        <x:v>1</x:v>
      </x:c>
      <x:c r="H1202" s="2" t="n">
        <x:v>0</x:v>
      </x:c>
      <x:c r="I1202" s="10" t="n">
        <x:v>59.95</x:v>
      </x:c>
      <x:c r="J1202" s="10" t="n">
        <x:v>5.99</x:v>
      </x:c>
      <x:c r="K1202" s="10" t="n">
        <x:v>24</x:v>
      </x:c>
      <x:c r="L1202" s="10" t="n">
        <x:f>G1202*I1202</x:f>
        <x:v>59.95</x:v>
      </x:c>
      <x:c r="M1202" s="10" t="n">
        <x:f>ROUND((L1202-J1202)*H1202/G1202,2)</x:f>
        <x:v>0</x:v>
      </x:c>
      <x:c r="N1202" s="10" t="n">
        <x:f>L1202-J1202-M1202</x:f>
        <x:v>53.96</x:v>
      </x:c>
      <x:c r="O1202" s="10" t="n">
        <x:f>(G1202-H1202)*K1202</x:f>
        <x:v>24</x:v>
      </x:c>
      <x:c r="P1202" s="10" t="n">
        <x:f>N1202-O1202</x:f>
        <x:v>29.96</x:v>
      </x:c>
      <x:c r="Q1202" s="9" t="n">
        <x:f>A1202-WEEKDAY(A1202,2)+1</x:f>
        <x:v>46307</x:v>
      </x:c>
      <x:c r="R1202" s="2" t="str">
        <x:f>IF(AND(A1202&gt;='Review'!$B$4,A1202&lt;='Review'!$D$4),"Selected","Outside")</x:f>
        <x:v>Selected</x:v>
      </x:c>
    </x:row>
    <x:row r="1203" ht="20" customHeight="1">
      <x:c r="A1203" s="9" t="n">
        <x:v>46310</x:v>
      </x:c>
      <x:c r="B1203" s="2" t="str">
        <x:v>MM-1849</x:v>
      </x:c>
      <x:c r="C1203" s="2" t="str">
        <x:v>Email</x:v>
      </x:c>
      <x:c r="D1203" s="2" t="str">
        <x:v>MUG-001</x:v>
      </x:c>
      <x:c r="E1203" s="2" t="str">
        <x:f>_xlfn.IFNA(VLOOKUP(D1203,'Products'!$A$7:$I$22,2,FALSE),"Unmapped")</x:f>
        <x:v>Everyday ceramic mug</x:v>
      </x:c>
      <x:c r="F1203" s="2" t="str">
        <x:f>_xlfn.IFNA(VLOOKUP(D1203,'Products'!$A$7:$I$22,3,FALSE),"Unmapped")</x:f>
        <x:v>Drinkware</x:v>
      </x:c>
      <x:c r="G1203" s="2" t="n">
        <x:v>1</x:v>
      </x:c>
      <x:c r="H1203" s="2" t="n">
        <x:v>0</x:v>
      </x:c>
      <x:c r="I1203" s="10" t="n">
        <x:v>18.95</x:v>
      </x:c>
      <x:c r="J1203" s="10" t="n">
        <x:v>1.89</x:v>
      </x:c>
      <x:c r="K1203" s="10" t="n">
        <x:v>6.5</x:v>
      </x:c>
      <x:c r="L1203" s="10" t="n">
        <x:f>G1203*I1203</x:f>
        <x:v>18.95</x:v>
      </x:c>
      <x:c r="M1203" s="10" t="n">
        <x:f>ROUND((L1203-J1203)*H1203/G1203,2)</x:f>
        <x:v>0</x:v>
      </x:c>
      <x:c r="N1203" s="10" t="n">
        <x:f>L1203-J1203-M1203</x:f>
        <x:v>17.06</x:v>
      </x:c>
      <x:c r="O1203" s="10" t="n">
        <x:f>(G1203-H1203)*K1203</x:f>
        <x:v>6.5</x:v>
      </x:c>
      <x:c r="P1203" s="10" t="n">
        <x:f>N1203-O1203</x:f>
        <x:v>10.559999999999999</x:v>
      </x:c>
      <x:c r="Q1203" s="9" t="n">
        <x:f>A1203-WEEKDAY(A1203,2)+1</x:f>
        <x:v>46307</x:v>
      </x:c>
      <x:c r="R1203" s="2" t="str">
        <x:f>IF(AND(A1203&gt;='Review'!$B$4,A1203&lt;='Review'!$D$4),"Selected","Outside")</x:f>
        <x:v>Selected</x:v>
      </x:c>
    </x:row>
    <x:row r="1204" ht="20" customHeight="1">
      <x:c r="A1204" s="9" t="n">
        <x:v>46310</x:v>
      </x:c>
      <x:c r="B1204" s="2" t="str">
        <x:v>MM-1849</x:v>
      </x:c>
      <x:c r="C1204" s="2" t="str">
        <x:v>Email</x:v>
      </x:c>
      <x:c r="D1204" s="2" t="str">
        <x:v>TOTE-001</x:v>
      </x:c>
      <x:c r="E1204" s="2" t="str">
        <x:f>_xlfn.IFNA(VLOOKUP(D1204,'Products'!$A$7:$I$22,2,FALSE),"Unmapped")</x:f>
        <x:v>Market canvas tote</x:v>
      </x:c>
      <x:c r="F1204" s="2" t="str">
        <x:f>_xlfn.IFNA(VLOOKUP(D1204,'Products'!$A$7:$I$22,3,FALSE),"Unmapped")</x:f>
        <x:v>Accessories</x:v>
      </x:c>
      <x:c r="G1204" s="2" t="n">
        <x:v>3</x:v>
      </x:c>
      <x:c r="H1204" s="2" t="n">
        <x:v>0</x:v>
      </x:c>
      <x:c r="I1204" s="10" t="n">
        <x:v>19.95</x:v>
      </x:c>
      <x:c r="J1204" s="10" t="n">
        <x:v>5.98</x:v>
      </x:c>
      <x:c r="K1204" s="10" t="n">
        <x:v>6</x:v>
      </x:c>
      <x:c r="L1204" s="10" t="n">
        <x:f>G1204*I1204</x:f>
        <x:v>59.849999999999994</x:v>
      </x:c>
      <x:c r="M1204" s="10" t="n">
        <x:f>ROUND((L1204-J1204)*H1204/G1204,2)</x:f>
        <x:v>0</x:v>
      </x:c>
      <x:c r="N1204" s="10" t="n">
        <x:f>L1204-J1204-M1204</x:f>
        <x:v>53.86999999999999</x:v>
      </x:c>
      <x:c r="O1204" s="10" t="n">
        <x:f>(G1204-H1204)*K1204</x:f>
        <x:v>18</x:v>
      </x:c>
      <x:c r="P1204" s="10" t="n">
        <x:f>N1204-O1204</x:f>
        <x:v>35.86999999999999</x:v>
      </x:c>
      <x:c r="Q1204" s="9" t="n">
        <x:f>A1204-WEEKDAY(A1204,2)+1</x:f>
        <x:v>46307</x:v>
      </x:c>
      <x:c r="R1204" s="2" t="str">
        <x:f>IF(AND(A1204&gt;='Review'!$B$4,A1204&lt;='Review'!$D$4),"Selected","Outside")</x:f>
        <x:v>Selected</x:v>
      </x:c>
    </x:row>
    <x:row r="1205" ht="20" customHeight="1">
      <x:c r="A1205" s="9" t="n">
        <x:v>46310</x:v>
      </x:c>
      <x:c r="B1205" s="2" t="str">
        <x:v>MM-1844</x:v>
      </x:c>
      <x:c r="C1205" s="2" t="str">
        <x:v>Organic Search</x:v>
      </x:c>
      <x:c r="D1205" s="2" t="str">
        <x:v>BOT-001</x:v>
      </x:c>
      <x:c r="E1205" s="2" t="str">
        <x:f>_xlfn.IFNA(VLOOKUP(D1205,'Products'!$A$7:$I$22,2,FALSE),"Unmapped")</x:f>
        <x:v>Trail water bottle</x:v>
      </x:c>
      <x:c r="F1205" s="2" t="str">
        <x:f>_xlfn.IFNA(VLOOKUP(D1205,'Products'!$A$7:$I$22,3,FALSE),"Unmapped")</x:f>
        <x:v>Drinkware</x:v>
      </x:c>
      <x:c r="G1205" s="2" t="n">
        <x:v>1</x:v>
      </x:c>
      <x:c r="H1205" s="2" t="n">
        <x:v>0</x:v>
      </x:c>
      <x:c r="I1205" s="10" t="n">
        <x:v>34.95</x:v>
      </x:c>
      <x:c r="J1205" s="10" t="n">
        <x:v>0</x:v>
      </x:c>
      <x:c r="K1205" s="10" t="n">
        <x:v>13.5</x:v>
      </x:c>
      <x:c r="L1205" s="10" t="n">
        <x:f>G1205*I1205</x:f>
        <x:v>34.95</x:v>
      </x:c>
      <x:c r="M1205" s="10" t="n">
        <x:f>ROUND((L1205-J1205)*H1205/G1205,2)</x:f>
        <x:v>0</x:v>
      </x:c>
      <x:c r="N1205" s="10" t="n">
        <x:f>L1205-J1205-M1205</x:f>
        <x:v>34.95</x:v>
      </x:c>
      <x:c r="O1205" s="10" t="n">
        <x:f>(G1205-H1205)*K1205</x:f>
        <x:v>13.5</x:v>
      </x:c>
      <x:c r="P1205" s="10" t="n">
        <x:f>N1205-O1205</x:f>
        <x:v>21.450000000000003</x:v>
      </x:c>
      <x:c r="Q1205" s="9" t="n">
        <x:f>A1205-WEEKDAY(A1205,2)+1</x:f>
        <x:v>46307</x:v>
      </x:c>
      <x:c r="R1205" s="2" t="str">
        <x:f>IF(AND(A1205&gt;='Review'!$B$4,A1205&lt;='Review'!$D$4),"Selected","Outside")</x:f>
        <x:v>Selected</x:v>
      </x:c>
    </x:row>
    <x:row r="1206" ht="20" customHeight="1">
      <x:c r="A1206" s="9" t="n">
        <x:v>46310</x:v>
      </x:c>
      <x:c r="B1206" s="2" t="str">
        <x:v>MM-1837</x:v>
      </x:c>
      <x:c r="C1206" s="2" t="str">
        <x:v>Paid Social</x:v>
      </x:c>
      <x:c r="D1206" s="2" t="str">
        <x:v>APP-001</x:v>
      </x:c>
      <x:c r="E1206" s="2" t="str">
        <x:f>_xlfn.IFNA(VLOOKUP(D1206,'Products'!$A$7:$I$22,2,FALSE),"Unmapped")</x:f>
        <x:v>Everyday crewneck</x:v>
      </x:c>
      <x:c r="F1206" s="2" t="str">
        <x:f>_xlfn.IFNA(VLOOKUP(D1206,'Products'!$A$7:$I$22,3,FALSE),"Unmapped")</x:f>
        <x:v>Apparel</x:v>
      </x:c>
      <x:c r="G1206" s="2" t="n">
        <x:v>1</x:v>
      </x:c>
      <x:c r="H1206" s="2" t="n">
        <x:v>0</x:v>
      </x:c>
      <x:c r="I1206" s="10" t="n">
        <x:v>54.95</x:v>
      </x:c>
      <x:c r="J1206" s="10" t="n">
        <x:v>5.49</x:v>
      </x:c>
      <x:c r="K1206" s="10" t="n">
        <x:v>22</x:v>
      </x:c>
      <x:c r="L1206" s="10" t="n">
        <x:f>G1206*I1206</x:f>
        <x:v>54.95</x:v>
      </x:c>
      <x:c r="M1206" s="10" t="n">
        <x:f>ROUND((L1206-J1206)*H1206/G1206,2)</x:f>
        <x:v>0</x:v>
      </x:c>
      <x:c r="N1206" s="10" t="n">
        <x:f>L1206-J1206-M1206</x:f>
        <x:v>49.46</x:v>
      </x:c>
      <x:c r="O1206" s="10" t="n">
        <x:f>(G1206-H1206)*K1206</x:f>
        <x:v>22</x:v>
      </x:c>
      <x:c r="P1206" s="10" t="n">
        <x:f>N1206-O1206</x:f>
        <x:v>27.46</x:v>
      </x:c>
      <x:c r="Q1206" s="9" t="n">
        <x:f>A1206-WEEKDAY(A1206,2)+1</x:f>
        <x:v>46307</x:v>
      </x:c>
      <x:c r="R1206" s="2" t="str">
        <x:f>IF(AND(A1206&gt;='Review'!$B$4,A1206&lt;='Review'!$D$4),"Selected","Outside")</x:f>
        <x:v>Selected</x:v>
      </x:c>
    </x:row>
    <x:row r="1207" ht="20" customHeight="1">
      <x:c r="A1207" s="9" t="n">
        <x:v>46310</x:v>
      </x:c>
      <x:c r="B1207" s="2" t="str">
        <x:v>MM-1838</x:v>
      </x:c>
      <x:c r="C1207" s="2" t="str">
        <x:v>Organic Search</x:v>
      </x:c>
      <x:c r="D1207" s="2" t="str">
        <x:v>TOTE-001</x:v>
      </x:c>
      <x:c r="E1207" s="2" t="str">
        <x:f>_xlfn.IFNA(VLOOKUP(D1207,'Products'!$A$7:$I$22,2,FALSE),"Unmapped")</x:f>
        <x:v>Market canvas tote</x:v>
      </x:c>
      <x:c r="F1207" s="2" t="str">
        <x:f>_xlfn.IFNA(VLOOKUP(D1207,'Products'!$A$7:$I$22,3,FALSE),"Unmapped")</x:f>
        <x:v>Accessories</x:v>
      </x:c>
      <x:c r="G1207" s="2" t="n">
        <x:v>1</x:v>
      </x:c>
      <x:c r="H1207" s="2" t="n">
        <x:v>0</x:v>
      </x:c>
      <x:c r="I1207" s="10" t="n">
        <x:v>19.95</x:v>
      </x:c>
      <x:c r="J1207" s="10" t="n">
        <x:v>0</x:v>
      </x:c>
      <x:c r="K1207" s="10" t="n">
        <x:v>6</x:v>
      </x:c>
      <x:c r="L1207" s="10" t="n">
        <x:f>G1207*I1207</x:f>
        <x:v>19.95</x:v>
      </x:c>
      <x:c r="M1207" s="10" t="n">
        <x:f>ROUND((L1207-J1207)*H1207/G1207,2)</x:f>
        <x:v>0</x:v>
      </x:c>
      <x:c r="N1207" s="10" t="n">
        <x:f>L1207-J1207-M1207</x:f>
        <x:v>19.95</x:v>
      </x:c>
      <x:c r="O1207" s="10" t="n">
        <x:f>(G1207-H1207)*K1207</x:f>
        <x:v>6</x:v>
      </x:c>
      <x:c r="P1207" s="10" t="n">
        <x:f>N1207-O1207</x:f>
        <x:v>13.95</x:v>
      </x:c>
      <x:c r="Q1207" s="9" t="n">
        <x:f>A1207-WEEKDAY(A1207,2)+1</x:f>
        <x:v>46307</x:v>
      </x:c>
      <x:c r="R1207" s="2" t="str">
        <x:f>IF(AND(A1207&gt;='Review'!$B$4,A1207&lt;='Review'!$D$4),"Selected","Outside")</x:f>
        <x:v>Selected</x:v>
      </x:c>
    </x:row>
    <x:row r="1208" ht="20" customHeight="1">
      <x:c r="A1208" s="9" t="n">
        <x:v>46310</x:v>
      </x:c>
      <x:c r="B1208" s="2" t="str">
        <x:v>MM-1852</x:v>
      </x:c>
      <x:c r="C1208" s="2" t="str">
        <x:v>Organic Search</x:v>
      </x:c>
      <x:c r="D1208" s="2" t="str">
        <x:v>TUM-001</x:v>
      </x:c>
      <x:c r="E1208" s="2" t="str">
        <x:f>_xlfn.IFNA(VLOOKUP(D1208,'Products'!$A$7:$I$22,2,FALSE),"Unmapped")</x:f>
        <x:v>Maple travel tumbler</x:v>
      </x:c>
      <x:c r="F1208" s="2" t="str">
        <x:f>_xlfn.IFNA(VLOOKUP(D1208,'Products'!$A$7:$I$22,3,FALSE),"Unmapped")</x:f>
        <x:v>Drinkware</x:v>
      </x:c>
      <x:c r="G1208" s="2" t="n">
        <x:v>1</x:v>
      </x:c>
      <x:c r="H1208" s="2" t="n">
        <x:v>0</x:v>
      </x:c>
      <x:c r="I1208" s="10" t="n">
        <x:v>32.95</x:v>
      </x:c>
      <x:c r="J1208" s="10" t="n">
        <x:v>0</x:v>
      </x:c>
      <x:c r="K1208" s="10" t="n">
        <x:v>12</x:v>
      </x:c>
      <x:c r="L1208" s="10" t="n">
        <x:f>G1208*I1208</x:f>
        <x:v>32.95</x:v>
      </x:c>
      <x:c r="M1208" s="10" t="n">
        <x:f>ROUND((L1208-J1208)*H1208/G1208,2)</x:f>
        <x:v>0</x:v>
      </x:c>
      <x:c r="N1208" s="10" t="n">
        <x:f>L1208-J1208-M1208</x:f>
        <x:v>32.95</x:v>
      </x:c>
      <x:c r="O1208" s="10" t="n">
        <x:f>(G1208-H1208)*K1208</x:f>
        <x:v>12</x:v>
      </x:c>
      <x:c r="P1208" s="10" t="n">
        <x:f>N1208-O1208</x:f>
        <x:v>20.950000000000003</x:v>
      </x:c>
      <x:c r="Q1208" s="9" t="n">
        <x:f>A1208-WEEKDAY(A1208,2)+1</x:f>
        <x:v>46307</x:v>
      </x:c>
      <x:c r="R1208" s="2" t="str">
        <x:f>IF(AND(A1208&gt;='Review'!$B$4,A1208&lt;='Review'!$D$4),"Selected","Outside")</x:f>
        <x:v>Selected</x:v>
      </x:c>
    </x:row>
    <x:row r="1209" ht="20" customHeight="1">
      <x:c r="A1209" s="9" t="n">
        <x:v>46310</x:v>
      </x:c>
      <x:c r="B1209" s="2" t="str">
        <x:v>MM-1852</x:v>
      </x:c>
      <x:c r="C1209" s="2" t="str">
        <x:v>Organic Search</x:v>
      </x:c>
      <x:c r="D1209" s="2" t="str">
        <x:v>TUM-002</x:v>
      </x:c>
      <x:c r="E1209" s="2" t="str">
        <x:f>_xlfn.IFNA(VLOOKUP(D1209,'Products'!$A$7:$I$22,2,FALSE),"Unmapped")</x:f>
        <x:v>Cold brew glass cup</x:v>
      </x:c>
      <x:c r="F1209" s="2" t="str">
        <x:f>_xlfn.IFNA(VLOOKUP(D1209,'Products'!$A$7:$I$22,3,FALSE),"Unmapped")</x:f>
        <x:v>Drinkware</x:v>
      </x:c>
      <x:c r="G1209" s="2" t="n">
        <x:v>2</x:v>
      </x:c>
      <x:c r="H1209" s="2" t="n">
        <x:v>0</x:v>
      </x:c>
      <x:c r="I1209" s="10" t="n">
        <x:v>24.95</x:v>
      </x:c>
      <x:c r="J1209" s="10" t="n">
        <x:v>0</x:v>
      </x:c>
      <x:c r="K1209" s="10" t="n">
        <x:v>9</x:v>
      </x:c>
      <x:c r="L1209" s="10" t="n">
        <x:f>G1209*I1209</x:f>
        <x:v>49.9</x:v>
      </x:c>
      <x:c r="M1209" s="10" t="n">
        <x:f>ROUND((L1209-J1209)*H1209/G1209,2)</x:f>
        <x:v>0</x:v>
      </x:c>
      <x:c r="N1209" s="10" t="n">
        <x:f>L1209-J1209-M1209</x:f>
        <x:v>49.9</x:v>
      </x:c>
      <x:c r="O1209" s="10" t="n">
        <x:f>(G1209-H1209)*K1209</x:f>
        <x:v>18</x:v>
      </x:c>
      <x:c r="P1209" s="10" t="n">
        <x:f>N1209-O1209</x:f>
        <x:v>31.9</x:v>
      </x:c>
      <x:c r="Q1209" s="9" t="n">
        <x:f>A1209-WEEKDAY(A1209,2)+1</x:f>
        <x:v>46307</x:v>
      </x:c>
      <x:c r="R1209" s="2" t="str">
        <x:f>IF(AND(A1209&gt;='Review'!$B$4,A1209&lt;='Review'!$D$4),"Selected","Outside")</x:f>
        <x:v>Selected</x:v>
      </x:c>
    </x:row>
    <x:row r="1210" ht="20" customHeight="1">
      <x:c r="A1210" s="9" t="n">
        <x:v>46311</x:v>
      </x:c>
      <x:c r="B1210" s="2" t="str">
        <x:v>MM-1858</x:v>
      </x:c>
      <x:c r="C1210" s="2" t="str">
        <x:v>Paid Social</x:v>
      </x:c>
      <x:c r="D1210" s="2" t="str">
        <x:v>HAT-001</x:v>
      </x:c>
      <x:c r="E1210" s="2" t="str">
        <x:f>_xlfn.IFNA(VLOOKUP(D1210,'Products'!$A$7:$I$22,2,FALSE),"Unmapped")</x:f>
        <x:v>Classic canvas cap</x:v>
      </x:c>
      <x:c r="F1210" s="2" t="str">
        <x:f>_xlfn.IFNA(VLOOKUP(D1210,'Products'!$A$7:$I$22,3,FALSE),"Unmapped")</x:f>
        <x:v>Accessories</x:v>
      </x:c>
      <x:c r="G1210" s="2" t="n">
        <x:v>1</x:v>
      </x:c>
      <x:c r="H1210" s="2" t="n">
        <x:v>0</x:v>
      </x:c>
      <x:c r="I1210" s="10" t="n">
        <x:v>24.95</x:v>
      </x:c>
      <x:c r="J1210" s="10" t="n">
        <x:v>0</x:v>
      </x:c>
      <x:c r="K1210" s="10" t="n">
        <x:v>8.5</x:v>
      </x:c>
      <x:c r="L1210" s="10" t="n">
        <x:f>G1210*I1210</x:f>
        <x:v>24.95</x:v>
      </x:c>
      <x:c r="M1210" s="10" t="n">
        <x:f>ROUND((L1210-J1210)*H1210/G1210,2)</x:f>
        <x:v>0</x:v>
      </x:c>
      <x:c r="N1210" s="10" t="n">
        <x:f>L1210-J1210-M1210</x:f>
        <x:v>24.95</x:v>
      </x:c>
      <x:c r="O1210" s="10" t="n">
        <x:f>(G1210-H1210)*K1210</x:f>
        <x:v>8.5</x:v>
      </x:c>
      <x:c r="P1210" s="10" t="n">
        <x:f>N1210-O1210</x:f>
        <x:v>16.45</x:v>
      </x:c>
      <x:c r="Q1210" s="9" t="n">
        <x:f>A1210-WEEKDAY(A1210,2)+1</x:f>
        <x:v>46307</x:v>
      </x:c>
      <x:c r="R1210" s="2" t="str">
        <x:f>IF(AND(A1210&gt;='Review'!$B$4,A1210&lt;='Review'!$D$4),"Selected","Outside")</x:f>
        <x:v>Selected</x:v>
      </x:c>
    </x:row>
    <x:row r="1211" ht="20" customHeight="1">
      <x:c r="A1211" s="9" t="n">
        <x:v>46311</x:v>
      </x:c>
      <x:c r="B1211" s="2" t="str">
        <x:v>MM-1858</x:v>
      </x:c>
      <x:c r="C1211" s="2" t="str">
        <x:v>Paid Social</x:v>
      </x:c>
      <x:c r="D1211" s="2" t="str">
        <x:v>TUM-001</x:v>
      </x:c>
      <x:c r="E1211" s="2" t="str">
        <x:f>_xlfn.IFNA(VLOOKUP(D1211,'Products'!$A$7:$I$22,2,FALSE),"Unmapped")</x:f>
        <x:v>Maple travel tumbler</x:v>
      </x:c>
      <x:c r="F1211" s="2" t="str">
        <x:f>_xlfn.IFNA(VLOOKUP(D1211,'Products'!$A$7:$I$22,3,FALSE),"Unmapped")</x:f>
        <x:v>Drinkware</x:v>
      </x:c>
      <x:c r="G1211" s="2" t="n">
        <x:v>1</x:v>
      </x:c>
      <x:c r="H1211" s="2" t="n">
        <x:v>0</x:v>
      </x:c>
      <x:c r="I1211" s="10" t="n">
        <x:v>32.95</x:v>
      </x:c>
      <x:c r="J1211" s="10" t="n">
        <x:v>0</x:v>
      </x:c>
      <x:c r="K1211" s="10" t="n">
        <x:v>12</x:v>
      </x:c>
      <x:c r="L1211" s="10" t="n">
        <x:f>G1211*I1211</x:f>
        <x:v>32.95</x:v>
      </x:c>
      <x:c r="M1211" s="10" t="n">
        <x:f>ROUND((L1211-J1211)*H1211/G1211,2)</x:f>
        <x:v>0</x:v>
      </x:c>
      <x:c r="N1211" s="10" t="n">
        <x:f>L1211-J1211-M1211</x:f>
        <x:v>32.95</x:v>
      </x:c>
      <x:c r="O1211" s="10" t="n">
        <x:f>(G1211-H1211)*K1211</x:f>
        <x:v>12</x:v>
      </x:c>
      <x:c r="P1211" s="10" t="n">
        <x:f>N1211-O1211</x:f>
        <x:v>20.950000000000003</x:v>
      </x:c>
      <x:c r="Q1211" s="9" t="n">
        <x:f>A1211-WEEKDAY(A1211,2)+1</x:f>
        <x:v>46307</x:v>
      </x:c>
      <x:c r="R1211" s="2" t="str">
        <x:f>IF(AND(A1211&gt;='Review'!$B$4,A1211&lt;='Review'!$D$4),"Selected","Outside")</x:f>
        <x:v>Selected</x:v>
      </x:c>
    </x:row>
    <x:row r="1212" ht="20" customHeight="1">
      <x:c r="A1212" s="9" t="n">
        <x:v>46311</x:v>
      </x:c>
      <x:c r="B1212" s="2" t="str">
        <x:v>MM-1873</x:v>
      </x:c>
      <x:c r="C1212" s="2" t="str">
        <x:v>Organic Search</x:v>
      </x:c>
      <x:c r="D1212" s="2" t="str">
        <x:v>TUM-002</x:v>
      </x:c>
      <x:c r="E1212" s="2" t="str">
        <x:f>_xlfn.IFNA(VLOOKUP(D1212,'Products'!$A$7:$I$22,2,FALSE),"Unmapped")</x:f>
        <x:v>Cold brew glass cup</x:v>
      </x:c>
      <x:c r="F1212" s="2" t="str">
        <x:f>_xlfn.IFNA(VLOOKUP(D1212,'Products'!$A$7:$I$22,3,FALSE),"Unmapped")</x:f>
        <x:v>Drinkware</x:v>
      </x:c>
      <x:c r="G1212" s="2" t="n">
        <x:v>1</x:v>
      </x:c>
      <x:c r="H1212" s="2" t="n">
        <x:v>0</x:v>
      </x:c>
      <x:c r="I1212" s="10" t="n">
        <x:v>24.95</x:v>
      </x:c>
      <x:c r="J1212" s="10" t="n">
        <x:v>2.49</x:v>
      </x:c>
      <x:c r="K1212" s="10" t="n">
        <x:v>9</x:v>
      </x:c>
      <x:c r="L1212" s="10" t="n">
        <x:f>G1212*I1212</x:f>
        <x:v>24.95</x:v>
      </x:c>
      <x:c r="M1212" s="10" t="n">
        <x:f>ROUND((L1212-J1212)*H1212/G1212,2)</x:f>
        <x:v>0</x:v>
      </x:c>
      <x:c r="N1212" s="10" t="n">
        <x:f>L1212-J1212-M1212</x:f>
        <x:v>22.46</x:v>
      </x:c>
      <x:c r="O1212" s="10" t="n">
        <x:f>(G1212-H1212)*K1212</x:f>
        <x:v>9</x:v>
      </x:c>
      <x:c r="P1212" s="10" t="n">
        <x:f>N1212-O1212</x:f>
        <x:v>13.46</x:v>
      </x:c>
      <x:c r="Q1212" s="9" t="n">
        <x:f>A1212-WEEKDAY(A1212,2)+1</x:f>
        <x:v>46307</x:v>
      </x:c>
      <x:c r="R1212" s="2" t="str">
        <x:f>IF(AND(A1212&gt;='Review'!$B$4,A1212&lt;='Review'!$D$4),"Selected","Outside")</x:f>
        <x:v>Selected</x:v>
      </x:c>
    </x:row>
    <x:row r="1213" ht="20" customHeight="1">
      <x:c r="A1213" s="9" t="n">
        <x:v>46311</x:v>
      </x:c>
      <x:c r="B1213" s="2" t="str">
        <x:v>MM-1873</x:v>
      </x:c>
      <x:c r="C1213" s="2" t="str">
        <x:v>Organic Search</x:v>
      </x:c>
      <x:c r="D1213" s="2" t="str">
        <x:v>GFT-002</x:v>
      </x:c>
      <x:c r="E1213" s="2" t="str">
        <x:f>_xlfn.IFNA(VLOOKUP(D1213,'Products'!$A$7:$I$22,2,FALSE),"Unmapped")</x:f>
        <x:v>Cozy weekend gift box</x:v>
      </x:c>
      <x:c r="F1213" s="2" t="str">
        <x:f>_xlfn.IFNA(VLOOKUP(D1213,'Products'!$A$7:$I$22,3,FALSE),"Unmapped")</x:f>
        <x:v>Gifts</x:v>
      </x:c>
      <x:c r="G1213" s="2" t="n">
        <x:v>1</x:v>
      </x:c>
      <x:c r="H1213" s="2" t="n">
        <x:v>0</x:v>
      </x:c>
      <x:c r="I1213" s="10" t="n">
        <x:v>79.95</x:v>
      </x:c>
      <x:c r="J1213" s="10" t="n">
        <x:v>0</x:v>
      </x:c>
      <x:c r="K1213" s="10" t="n">
        <x:v>32</x:v>
      </x:c>
      <x:c r="L1213" s="10" t="n">
        <x:f>G1213*I1213</x:f>
        <x:v>79.95</x:v>
      </x:c>
      <x:c r="M1213" s="10" t="n">
        <x:f>ROUND((L1213-J1213)*H1213/G1213,2)</x:f>
        <x:v>0</x:v>
      </x:c>
      <x:c r="N1213" s="10" t="n">
        <x:f>L1213-J1213-M1213</x:f>
        <x:v>79.95</x:v>
      </x:c>
      <x:c r="O1213" s="10" t="n">
        <x:f>(G1213-H1213)*K1213</x:f>
        <x:v>32</x:v>
      </x:c>
      <x:c r="P1213" s="10" t="n">
        <x:f>N1213-O1213</x:f>
        <x:v>47.95</x:v>
      </x:c>
      <x:c r="Q1213" s="9" t="n">
        <x:f>A1213-WEEKDAY(A1213,2)+1</x:f>
        <x:v>46307</x:v>
      </x:c>
      <x:c r="R1213" s="2" t="str">
        <x:f>IF(AND(A1213&gt;='Review'!$B$4,A1213&lt;='Review'!$D$4),"Selected","Outside")</x:f>
        <x:v>Selected</x:v>
      </x:c>
    </x:row>
    <x:row r="1214" ht="20" customHeight="1">
      <x:c r="A1214" s="9" t="n">
        <x:v>46311</x:v>
      </x:c>
      <x:c r="B1214" s="2" t="str">
        <x:v>MM-1862</x:v>
      </x:c>
      <x:c r="C1214" s="2" t="str">
        <x:v>Organic Search</x:v>
      </x:c>
      <x:c r="D1214" s="2" t="str">
        <x:v>MUG-002</x:v>
      </x:c>
      <x:c r="E1214" s="2" t="str">
        <x:f>_xlfn.IFNA(VLOOKUP(D1214,'Products'!$A$7:$I$22,2,FALSE),"Unmapped")</x:f>
        <x:v>Campfire enamel mug</x:v>
      </x:c>
      <x:c r="F1214" s="2" t="str">
        <x:f>_xlfn.IFNA(VLOOKUP(D1214,'Products'!$A$7:$I$22,3,FALSE),"Unmapped")</x:f>
        <x:v>Drinkware</x:v>
      </x:c>
      <x:c r="G1214" s="2" t="n">
        <x:v>1</x:v>
      </x:c>
      <x:c r="H1214" s="2" t="n">
        <x:v>0</x:v>
      </x:c>
      <x:c r="I1214" s="10" t="n">
        <x:v>22.95</x:v>
      </x:c>
      <x:c r="J1214" s="10" t="n">
        <x:v>0</x:v>
      </x:c>
      <x:c r="K1214" s="10" t="n">
        <x:v>8.5</x:v>
      </x:c>
      <x:c r="L1214" s="10" t="n">
        <x:f>G1214*I1214</x:f>
        <x:v>22.95</x:v>
      </x:c>
      <x:c r="M1214" s="10" t="n">
        <x:f>ROUND((L1214-J1214)*H1214/G1214,2)</x:f>
        <x:v>0</x:v>
      </x:c>
      <x:c r="N1214" s="10" t="n">
        <x:f>L1214-J1214-M1214</x:f>
        <x:v>22.95</x:v>
      </x:c>
      <x:c r="O1214" s="10" t="n">
        <x:f>(G1214-H1214)*K1214</x:f>
        <x:v>8.5</x:v>
      </x:c>
      <x:c r="P1214" s="10" t="n">
        <x:f>N1214-O1214</x:f>
        <x:v>14.45</x:v>
      </x:c>
      <x:c r="Q1214" s="9" t="n">
        <x:f>A1214-WEEKDAY(A1214,2)+1</x:f>
        <x:v>46307</x:v>
      </x:c>
      <x:c r="R1214" s="2" t="str">
        <x:f>IF(AND(A1214&gt;='Review'!$B$4,A1214&lt;='Review'!$D$4),"Selected","Outside")</x:f>
        <x:v>Selected</x:v>
      </x:c>
    </x:row>
    <x:row r="1215" ht="20" customHeight="1">
      <x:c r="A1215" s="9" t="n">
        <x:v>46311</x:v>
      </x:c>
      <x:c r="B1215" s="2" t="str">
        <x:v>MM-1865</x:v>
      </x:c>
      <x:c r="C1215" s="2" t="str">
        <x:v>Organic Search</x:v>
      </x:c>
      <x:c r="D1215" s="2" t="str">
        <x:v>TUM-002</x:v>
      </x:c>
      <x:c r="E1215" s="2" t="str">
        <x:f>_xlfn.IFNA(VLOOKUP(D1215,'Products'!$A$7:$I$22,2,FALSE),"Unmapped")</x:f>
        <x:v>Cold brew glass cup</x:v>
      </x:c>
      <x:c r="F1215" s="2" t="str">
        <x:f>_xlfn.IFNA(VLOOKUP(D1215,'Products'!$A$7:$I$22,3,FALSE),"Unmapped")</x:f>
        <x:v>Drinkware</x:v>
      </x:c>
      <x:c r="G1215" s="2" t="n">
        <x:v>1</x:v>
      </x:c>
      <x:c r="H1215" s="2" t="n">
        <x:v>0</x:v>
      </x:c>
      <x:c r="I1215" s="10" t="n">
        <x:v>24.95</x:v>
      </x:c>
      <x:c r="J1215" s="10" t="n">
        <x:v>0</x:v>
      </x:c>
      <x:c r="K1215" s="10" t="n">
        <x:v>9</x:v>
      </x:c>
      <x:c r="L1215" s="10" t="n">
        <x:f>G1215*I1215</x:f>
        <x:v>24.95</x:v>
      </x:c>
      <x:c r="M1215" s="10" t="n">
        <x:f>ROUND((L1215-J1215)*H1215/G1215,2)</x:f>
        <x:v>0</x:v>
      </x:c>
      <x:c r="N1215" s="10" t="n">
        <x:f>L1215-J1215-M1215</x:f>
        <x:v>24.95</x:v>
      </x:c>
      <x:c r="O1215" s="10" t="n">
        <x:f>(G1215-H1215)*K1215</x:f>
        <x:v>9</x:v>
      </x:c>
      <x:c r="P1215" s="10" t="n">
        <x:f>N1215-O1215</x:f>
        <x:v>15.95</x:v>
      </x:c>
      <x:c r="Q1215" s="9" t="n">
        <x:f>A1215-WEEKDAY(A1215,2)+1</x:f>
        <x:v>46307</x:v>
      </x:c>
      <x:c r="R1215" s="2" t="str">
        <x:f>IF(AND(A1215&gt;='Review'!$B$4,A1215&lt;='Review'!$D$4),"Selected","Outside")</x:f>
        <x:v>Selected</x:v>
      </x:c>
    </x:row>
    <x:row r="1216" ht="20" customHeight="1">
      <x:c r="A1216" s="9" t="n">
        <x:v>46311</x:v>
      </x:c>
      <x:c r="B1216" s="2" t="str">
        <x:v>MM-1856</x:v>
      </x:c>
      <x:c r="C1216" s="2" t="str">
        <x:v>Paid Social</x:v>
      </x:c>
      <x:c r="D1216" s="2" t="str">
        <x:v>GFT-001</x:v>
      </x:c>
      <x:c r="E1216" s="2" t="str">
        <x:f>_xlfn.IFNA(VLOOKUP(D1216,'Products'!$A$7:$I$22,2,FALSE),"Unmapped")</x:f>
        <x:v>Morning ritual gift set</x:v>
      </x:c>
      <x:c r="F1216" s="2" t="str">
        <x:f>_xlfn.IFNA(VLOOKUP(D1216,'Products'!$A$7:$I$22,3,FALSE),"Unmapped")</x:f>
        <x:v>Gifts</x:v>
      </x:c>
      <x:c r="G1216" s="2" t="n">
        <x:v>1</x:v>
      </x:c>
      <x:c r="H1216" s="2" t="n">
        <x:v>0</x:v>
      </x:c>
      <x:c r="I1216" s="10" t="n">
        <x:v>59.95</x:v>
      </x:c>
      <x:c r="J1216" s="10" t="n">
        <x:v>5.99</x:v>
      </x:c>
      <x:c r="K1216" s="10" t="n">
        <x:v>24</x:v>
      </x:c>
      <x:c r="L1216" s="10" t="n">
        <x:f>G1216*I1216</x:f>
        <x:v>59.95</x:v>
      </x:c>
      <x:c r="M1216" s="10" t="n">
        <x:f>ROUND((L1216-J1216)*H1216/G1216,2)</x:f>
        <x:v>0</x:v>
      </x:c>
      <x:c r="N1216" s="10" t="n">
        <x:f>L1216-J1216-M1216</x:f>
        <x:v>53.96</x:v>
      </x:c>
      <x:c r="O1216" s="10" t="n">
        <x:f>(G1216-H1216)*K1216</x:f>
        <x:v>24</x:v>
      </x:c>
      <x:c r="P1216" s="10" t="n">
        <x:f>N1216-O1216</x:f>
        <x:v>29.96</x:v>
      </x:c>
      <x:c r="Q1216" s="9" t="n">
        <x:f>A1216-WEEKDAY(A1216,2)+1</x:f>
        <x:v>46307</x:v>
      </x:c>
      <x:c r="R1216" s="2" t="str">
        <x:f>IF(AND(A1216&gt;='Review'!$B$4,A1216&lt;='Review'!$D$4),"Selected","Outside")</x:f>
        <x:v>Selected</x:v>
      </x:c>
    </x:row>
    <x:row r="1217" ht="20" customHeight="1">
      <x:c r="A1217" s="9" t="n">
        <x:v>46311</x:v>
      </x:c>
      <x:c r="B1217" s="2" t="str">
        <x:v>MM-1855</x:v>
      </x:c>
      <x:c r="C1217" s="2" t="str">
        <x:v>Email</x:v>
      </x:c>
      <x:c r="D1217" s="2" t="str">
        <x:v>MUG-001</x:v>
      </x:c>
      <x:c r="E1217" s="2" t="str">
        <x:f>_xlfn.IFNA(VLOOKUP(D1217,'Products'!$A$7:$I$22,2,FALSE),"Unmapped")</x:f>
        <x:v>Everyday ceramic mug</x:v>
      </x:c>
      <x:c r="F1217" s="2" t="str">
        <x:f>_xlfn.IFNA(VLOOKUP(D1217,'Products'!$A$7:$I$22,3,FALSE),"Unmapped")</x:f>
        <x:v>Drinkware</x:v>
      </x:c>
      <x:c r="G1217" s="2" t="n">
        <x:v>1</x:v>
      </x:c>
      <x:c r="H1217" s="2" t="n">
        <x:v>0</x:v>
      </x:c>
      <x:c r="I1217" s="10" t="n">
        <x:v>18.95</x:v>
      </x:c>
      <x:c r="J1217" s="10" t="n">
        <x:v>1.89</x:v>
      </x:c>
      <x:c r="K1217" s="10" t="n">
        <x:v>6.5</x:v>
      </x:c>
      <x:c r="L1217" s="10" t="n">
        <x:f>G1217*I1217</x:f>
        <x:v>18.95</x:v>
      </x:c>
      <x:c r="M1217" s="10" t="n">
        <x:f>ROUND((L1217-J1217)*H1217/G1217,2)</x:f>
        <x:v>0</x:v>
      </x:c>
      <x:c r="N1217" s="10" t="n">
        <x:f>L1217-J1217-M1217</x:f>
        <x:v>17.06</x:v>
      </x:c>
      <x:c r="O1217" s="10" t="n">
        <x:f>(G1217-H1217)*K1217</x:f>
        <x:v>6.5</x:v>
      </x:c>
      <x:c r="P1217" s="10" t="n">
        <x:f>N1217-O1217</x:f>
        <x:v>10.559999999999999</x:v>
      </x:c>
      <x:c r="Q1217" s="9" t="n">
        <x:f>A1217-WEEKDAY(A1217,2)+1</x:f>
        <x:v>46307</x:v>
      </x:c>
      <x:c r="R1217" s="2" t="str">
        <x:f>IF(AND(A1217&gt;='Review'!$B$4,A1217&lt;='Review'!$D$4),"Selected","Outside")</x:f>
        <x:v>Selected</x:v>
      </x:c>
    </x:row>
    <x:row r="1218" ht="20" customHeight="1">
      <x:c r="A1218" s="9" t="n">
        <x:v>46311</x:v>
      </x:c>
      <x:c r="B1218" s="2" t="str">
        <x:v>MM-1855</x:v>
      </x:c>
      <x:c r="C1218" s="2" t="str">
        <x:v>Email</x:v>
      </x:c>
      <x:c r="D1218" s="2" t="str">
        <x:v>APP-001</x:v>
      </x:c>
      <x:c r="E1218" s="2" t="str">
        <x:f>_xlfn.IFNA(VLOOKUP(D1218,'Products'!$A$7:$I$22,2,FALSE),"Unmapped")</x:f>
        <x:v>Everyday crewneck</x:v>
      </x:c>
      <x:c r="F1218" s="2" t="str">
        <x:f>_xlfn.IFNA(VLOOKUP(D1218,'Products'!$A$7:$I$22,3,FALSE),"Unmapped")</x:f>
        <x:v>Apparel</x:v>
      </x:c>
      <x:c r="G1218" s="2" t="n">
        <x:v>1</x:v>
      </x:c>
      <x:c r="H1218" s="2" t="n">
        <x:v>0</x:v>
      </x:c>
      <x:c r="I1218" s="10" t="n">
        <x:v>54.95</x:v>
      </x:c>
      <x:c r="J1218" s="10" t="n">
        <x:v>5.49</x:v>
      </x:c>
      <x:c r="K1218" s="10" t="n">
        <x:v>22</x:v>
      </x:c>
      <x:c r="L1218" s="10" t="n">
        <x:f>G1218*I1218</x:f>
        <x:v>54.95</x:v>
      </x:c>
      <x:c r="M1218" s="10" t="n">
        <x:f>ROUND((L1218-J1218)*H1218/G1218,2)</x:f>
        <x:v>0</x:v>
      </x:c>
      <x:c r="N1218" s="10" t="n">
        <x:f>L1218-J1218-M1218</x:f>
        <x:v>49.46</x:v>
      </x:c>
      <x:c r="O1218" s="10" t="n">
        <x:f>(G1218-H1218)*K1218</x:f>
        <x:v>22</x:v>
      </x:c>
      <x:c r="P1218" s="10" t="n">
        <x:f>N1218-O1218</x:f>
        <x:v>27.46</x:v>
      </x:c>
      <x:c r="Q1218" s="9" t="n">
        <x:f>A1218-WEEKDAY(A1218,2)+1</x:f>
        <x:v>46307</x:v>
      </x:c>
      <x:c r="R1218" s="2" t="str">
        <x:f>IF(AND(A1218&gt;='Review'!$B$4,A1218&lt;='Review'!$D$4),"Selected","Outside")</x:f>
        <x:v>Selected</x:v>
      </x:c>
    </x:row>
    <x:row r="1219" ht="20" customHeight="1">
      <x:c r="A1219" s="9" t="n">
        <x:v>46311</x:v>
      </x:c>
      <x:c r="B1219" s="2" t="str">
        <x:v>MM-1863</x:v>
      </x:c>
      <x:c r="C1219" s="2" t="str">
        <x:v>Email</x:v>
      </x:c>
      <x:c r="D1219" s="2" t="str">
        <x:v>MUG-002</x:v>
      </x:c>
      <x:c r="E1219" s="2" t="str">
        <x:f>_xlfn.IFNA(VLOOKUP(D1219,'Products'!$A$7:$I$22,2,FALSE),"Unmapped")</x:f>
        <x:v>Campfire enamel mug</x:v>
      </x:c>
      <x:c r="F1219" s="2" t="str">
        <x:f>_xlfn.IFNA(VLOOKUP(D1219,'Products'!$A$7:$I$22,3,FALSE),"Unmapped")</x:f>
        <x:v>Drinkware</x:v>
      </x:c>
      <x:c r="G1219" s="2" t="n">
        <x:v>1</x:v>
      </x:c>
      <x:c r="H1219" s="2" t="n">
        <x:v>0</x:v>
      </x:c>
      <x:c r="I1219" s="10" t="n">
        <x:v>22.95</x:v>
      </x:c>
      <x:c r="J1219" s="10" t="n">
        <x:v>2.29</x:v>
      </x:c>
      <x:c r="K1219" s="10" t="n">
        <x:v>8.5</x:v>
      </x:c>
      <x:c r="L1219" s="10" t="n">
        <x:f>G1219*I1219</x:f>
        <x:v>22.95</x:v>
      </x:c>
      <x:c r="M1219" s="10" t="n">
        <x:f>ROUND((L1219-J1219)*H1219/G1219,2)</x:f>
        <x:v>0</x:v>
      </x:c>
      <x:c r="N1219" s="10" t="n">
        <x:f>L1219-J1219-M1219</x:f>
        <x:v>20.66</x:v>
      </x:c>
      <x:c r="O1219" s="10" t="n">
        <x:f>(G1219-H1219)*K1219</x:f>
        <x:v>8.5</x:v>
      </x:c>
      <x:c r="P1219" s="10" t="n">
        <x:f>N1219-O1219</x:f>
        <x:v>12.16</x:v>
      </x:c>
      <x:c r="Q1219" s="9" t="n">
        <x:f>A1219-WEEKDAY(A1219,2)+1</x:f>
        <x:v>46307</x:v>
      </x:c>
      <x:c r="R1219" s="2" t="str">
        <x:f>IF(AND(A1219&gt;='Review'!$B$4,A1219&lt;='Review'!$D$4),"Selected","Outside")</x:f>
        <x:v>Selected</x:v>
      </x:c>
    </x:row>
    <x:row r="1220" ht="20" customHeight="1">
      <x:c r="A1220" s="9" t="n">
        <x:v>46311</x:v>
      </x:c>
      <x:c r="B1220" s="2" t="str">
        <x:v>MM-1863</x:v>
      </x:c>
      <x:c r="C1220" s="2" t="str">
        <x:v>Email</x:v>
      </x:c>
      <x:c r="D1220" s="2" t="str">
        <x:v>TOTE-001</x:v>
      </x:c>
      <x:c r="E1220" s="2" t="str">
        <x:f>_xlfn.IFNA(VLOOKUP(D1220,'Products'!$A$7:$I$22,2,FALSE),"Unmapped")</x:f>
        <x:v>Market canvas tote</x:v>
      </x:c>
      <x:c r="F1220" s="2" t="str">
        <x:f>_xlfn.IFNA(VLOOKUP(D1220,'Products'!$A$7:$I$22,3,FALSE),"Unmapped")</x:f>
        <x:v>Accessories</x:v>
      </x:c>
      <x:c r="G1220" s="2" t="n">
        <x:v>1</x:v>
      </x:c>
      <x:c r="H1220" s="2" t="n">
        <x:v>0</x:v>
      </x:c>
      <x:c r="I1220" s="10" t="n">
        <x:v>19.95</x:v>
      </x:c>
      <x:c r="J1220" s="10" t="n">
        <x:v>1.99</x:v>
      </x:c>
      <x:c r="K1220" s="10" t="n">
        <x:v>6</x:v>
      </x:c>
      <x:c r="L1220" s="10" t="n">
        <x:f>G1220*I1220</x:f>
        <x:v>19.95</x:v>
      </x:c>
      <x:c r="M1220" s="10" t="n">
        <x:f>ROUND((L1220-J1220)*H1220/G1220,2)</x:f>
        <x:v>0</x:v>
      </x:c>
      <x:c r="N1220" s="10" t="n">
        <x:f>L1220-J1220-M1220</x:f>
        <x:v>17.96</x:v>
      </x:c>
      <x:c r="O1220" s="10" t="n">
        <x:f>(G1220-H1220)*K1220</x:f>
        <x:v>6</x:v>
      </x:c>
      <x:c r="P1220" s="10" t="n">
        <x:f>N1220-O1220</x:f>
        <x:v>11.96</x:v>
      </x:c>
      <x:c r="Q1220" s="9" t="n">
        <x:f>A1220-WEEKDAY(A1220,2)+1</x:f>
        <x:v>46307</x:v>
      </x:c>
      <x:c r="R1220" s="2" t="str">
        <x:f>IF(AND(A1220&gt;='Review'!$B$4,A1220&lt;='Review'!$D$4),"Selected","Outside")</x:f>
        <x:v>Selected</x:v>
      </x:c>
    </x:row>
    <x:row r="1221" ht="20" customHeight="1">
      <x:c r="A1221" s="9" t="n">
        <x:v>46311</x:v>
      </x:c>
      <x:c r="B1221" s="2" t="str">
        <x:v>MM-1863</x:v>
      </x:c>
      <x:c r="C1221" s="2" t="str">
        <x:v>Email</x:v>
      </x:c>
      <x:c r="D1221" s="2" t="str">
        <x:v>HAT-001</x:v>
      </x:c>
      <x:c r="E1221" s="2" t="str">
        <x:f>_xlfn.IFNA(VLOOKUP(D1221,'Products'!$A$7:$I$22,2,FALSE),"Unmapped")</x:f>
        <x:v>Classic canvas cap</x:v>
      </x:c>
      <x:c r="F1221" s="2" t="str">
        <x:f>_xlfn.IFNA(VLOOKUP(D1221,'Products'!$A$7:$I$22,3,FALSE),"Unmapped")</x:f>
        <x:v>Accessories</x:v>
      </x:c>
      <x:c r="G1221" s="2" t="n">
        <x:v>1</x:v>
      </x:c>
      <x:c r="H1221" s="2" t="n">
        <x:v>0</x:v>
      </x:c>
      <x:c r="I1221" s="10" t="n">
        <x:v>24.95</x:v>
      </x:c>
      <x:c r="J1221" s="10" t="n">
        <x:v>2.49</x:v>
      </x:c>
      <x:c r="K1221" s="10" t="n">
        <x:v>8.5</x:v>
      </x:c>
      <x:c r="L1221" s="10" t="n">
        <x:f>G1221*I1221</x:f>
        <x:v>24.95</x:v>
      </x:c>
      <x:c r="M1221" s="10" t="n">
        <x:f>ROUND((L1221-J1221)*H1221/G1221,2)</x:f>
        <x:v>0</x:v>
      </x:c>
      <x:c r="N1221" s="10" t="n">
        <x:f>L1221-J1221-M1221</x:f>
        <x:v>22.46</x:v>
      </x:c>
      <x:c r="O1221" s="10" t="n">
        <x:f>(G1221-H1221)*K1221</x:f>
        <x:v>8.5</x:v>
      </x:c>
      <x:c r="P1221" s="10" t="n">
        <x:f>N1221-O1221</x:f>
        <x:v>13.96</x:v>
      </x:c>
      <x:c r="Q1221" s="9" t="n">
        <x:f>A1221-WEEKDAY(A1221,2)+1</x:f>
        <x:v>46307</x:v>
      </x:c>
      <x:c r="R1221" s="2" t="str">
        <x:f>IF(AND(A1221&gt;='Review'!$B$4,A1221&lt;='Review'!$D$4),"Selected","Outside")</x:f>
        <x:v>Selected</x:v>
      </x:c>
    </x:row>
    <x:row r="1222" ht="20" customHeight="1">
      <x:c r="A1222" s="9" t="n">
        <x:v>46311</x:v>
      </x:c>
      <x:c r="B1222" s="2" t="str">
        <x:v>MM-1870</x:v>
      </x:c>
      <x:c r="C1222" s="2" t="str">
        <x:v>Paid Social</x:v>
      </x:c>
      <x:c r="D1222" s="2" t="str">
        <x:v>TUM-002</x:v>
      </x:c>
      <x:c r="E1222" s="2" t="str">
        <x:f>_xlfn.IFNA(VLOOKUP(D1222,'Products'!$A$7:$I$22,2,FALSE),"Unmapped")</x:f>
        <x:v>Cold brew glass cup</x:v>
      </x:c>
      <x:c r="F1222" s="2" t="str">
        <x:f>_xlfn.IFNA(VLOOKUP(D1222,'Products'!$A$7:$I$22,3,FALSE),"Unmapped")</x:f>
        <x:v>Drinkware</x:v>
      </x:c>
      <x:c r="G1222" s="2" t="n">
        <x:v>2</x:v>
      </x:c>
      <x:c r="H1222" s="2" t="n">
        <x:v>0</x:v>
      </x:c>
      <x:c r="I1222" s="10" t="n">
        <x:v>24.95</x:v>
      </x:c>
      <x:c r="J1222" s="10" t="n">
        <x:v>0</x:v>
      </x:c>
      <x:c r="K1222" s="10" t="n">
        <x:v>9</x:v>
      </x:c>
      <x:c r="L1222" s="10" t="n">
        <x:f>G1222*I1222</x:f>
        <x:v>49.9</x:v>
      </x:c>
      <x:c r="M1222" s="10" t="n">
        <x:f>ROUND((L1222-J1222)*H1222/G1222,2)</x:f>
        <x:v>0</x:v>
      </x:c>
      <x:c r="N1222" s="10" t="n">
        <x:f>L1222-J1222-M1222</x:f>
        <x:v>49.9</x:v>
      </x:c>
      <x:c r="O1222" s="10" t="n">
        <x:f>(G1222-H1222)*K1222</x:f>
        <x:v>18</x:v>
      </x:c>
      <x:c r="P1222" s="10" t="n">
        <x:f>N1222-O1222</x:f>
        <x:v>31.9</x:v>
      </x:c>
      <x:c r="Q1222" s="9" t="n">
        <x:f>A1222-WEEKDAY(A1222,2)+1</x:f>
        <x:v>46307</x:v>
      </x:c>
      <x:c r="R1222" s="2" t="str">
        <x:f>IF(AND(A1222&gt;='Review'!$B$4,A1222&lt;='Review'!$D$4),"Selected","Outside")</x:f>
        <x:v>Selected</x:v>
      </x:c>
    </x:row>
    <x:row r="1223" ht="20" customHeight="1">
      <x:c r="A1223" s="9" t="n">
        <x:v>46311</x:v>
      </x:c>
      <x:c r="B1223" s="2" t="str">
        <x:v>MM-1857</x:v>
      </x:c>
      <x:c r="C1223" s="2" t="str">
        <x:v>Paid Social</x:v>
      </x:c>
      <x:c r="D1223" s="2" t="str">
        <x:v>TOTE-001</x:v>
      </x:c>
      <x:c r="E1223" s="2" t="str">
        <x:f>_xlfn.IFNA(VLOOKUP(D1223,'Products'!$A$7:$I$22,2,FALSE),"Unmapped")</x:f>
        <x:v>Market canvas tote</x:v>
      </x:c>
      <x:c r="F1223" s="2" t="str">
        <x:f>_xlfn.IFNA(VLOOKUP(D1223,'Products'!$A$7:$I$22,3,FALSE),"Unmapped")</x:f>
        <x:v>Accessories</x:v>
      </x:c>
      <x:c r="G1223" s="2" t="n">
        <x:v>1</x:v>
      </x:c>
      <x:c r="H1223" s="2" t="n">
        <x:v>0</x:v>
      </x:c>
      <x:c r="I1223" s="10" t="n">
        <x:v>19.95</x:v>
      </x:c>
      <x:c r="J1223" s="10" t="n">
        <x:v>0</x:v>
      </x:c>
      <x:c r="K1223" s="10" t="n">
        <x:v>6</x:v>
      </x:c>
      <x:c r="L1223" s="10" t="n">
        <x:f>G1223*I1223</x:f>
        <x:v>19.95</x:v>
      </x:c>
      <x:c r="M1223" s="10" t="n">
        <x:f>ROUND((L1223-J1223)*H1223/G1223,2)</x:f>
        <x:v>0</x:v>
      </x:c>
      <x:c r="N1223" s="10" t="n">
        <x:f>L1223-J1223-M1223</x:f>
        <x:v>19.95</x:v>
      </x:c>
      <x:c r="O1223" s="10" t="n">
        <x:f>(G1223-H1223)*K1223</x:f>
        <x:v>6</x:v>
      </x:c>
      <x:c r="P1223" s="10" t="n">
        <x:f>N1223-O1223</x:f>
        <x:v>13.95</x:v>
      </x:c>
      <x:c r="Q1223" s="9" t="n">
        <x:f>A1223-WEEKDAY(A1223,2)+1</x:f>
        <x:v>46307</x:v>
      </x:c>
      <x:c r="R1223" s="2" t="str">
        <x:f>IF(AND(A1223&gt;='Review'!$B$4,A1223&lt;='Review'!$D$4),"Selected","Outside")</x:f>
        <x:v>Selected</x:v>
      </x:c>
    </x:row>
    <x:row r="1224" ht="20" customHeight="1">
      <x:c r="A1224" s="9" t="n">
        <x:v>46311</x:v>
      </x:c>
      <x:c r="B1224" s="2" t="str">
        <x:v>MM-1857</x:v>
      </x:c>
      <x:c r="C1224" s="2" t="str">
        <x:v>Paid Social</x:v>
      </x:c>
      <x:c r="D1224" s="2" t="str">
        <x:v>TUM-002</x:v>
      </x:c>
      <x:c r="E1224" s="2" t="str">
        <x:f>_xlfn.IFNA(VLOOKUP(D1224,'Products'!$A$7:$I$22,2,FALSE),"Unmapped")</x:f>
        <x:v>Cold brew glass cup</x:v>
      </x:c>
      <x:c r="F1224" s="2" t="str">
        <x:f>_xlfn.IFNA(VLOOKUP(D1224,'Products'!$A$7:$I$22,3,FALSE),"Unmapped")</x:f>
        <x:v>Drinkware</x:v>
      </x:c>
      <x:c r="G1224" s="2" t="n">
        <x:v>1</x:v>
      </x:c>
      <x:c r="H1224" s="2" t="n">
        <x:v>0</x:v>
      </x:c>
      <x:c r="I1224" s="10" t="n">
        <x:v>24.95</x:v>
      </x:c>
      <x:c r="J1224" s="10" t="n">
        <x:v>0</x:v>
      </x:c>
      <x:c r="K1224" s="10" t="n">
        <x:v>9</x:v>
      </x:c>
      <x:c r="L1224" s="10" t="n">
        <x:f>G1224*I1224</x:f>
        <x:v>24.95</x:v>
      </x:c>
      <x:c r="M1224" s="10" t="n">
        <x:f>ROUND((L1224-J1224)*H1224/G1224,2)</x:f>
        <x:v>0</x:v>
      </x:c>
      <x:c r="N1224" s="10" t="n">
        <x:f>L1224-J1224-M1224</x:f>
        <x:v>24.95</x:v>
      </x:c>
      <x:c r="O1224" s="10" t="n">
        <x:f>(G1224-H1224)*K1224</x:f>
        <x:v>9</x:v>
      </x:c>
      <x:c r="P1224" s="10" t="n">
        <x:f>N1224-O1224</x:f>
        <x:v>15.95</x:v>
      </x:c>
      <x:c r="Q1224" s="9" t="n">
        <x:f>A1224-WEEKDAY(A1224,2)+1</x:f>
        <x:v>46307</x:v>
      </x:c>
      <x:c r="R1224" s="2" t="str">
        <x:f>IF(AND(A1224&gt;='Review'!$B$4,A1224&lt;='Review'!$D$4),"Selected","Outside")</x:f>
        <x:v>Selected</x:v>
      </x:c>
    </x:row>
    <x:row r="1225" ht="20" customHeight="1">
      <x:c r="A1225" s="9" t="n">
        <x:v>46311</x:v>
      </x:c>
      <x:c r="B1225" s="2" t="str">
        <x:v>MM-1866</x:v>
      </x:c>
      <x:c r="C1225" s="2" t="str">
        <x:v>Email</x:v>
      </x:c>
      <x:c r="D1225" s="2" t="str">
        <x:v>HAT-001</x:v>
      </x:c>
      <x:c r="E1225" s="2" t="str">
        <x:f>_xlfn.IFNA(VLOOKUP(D1225,'Products'!$A$7:$I$22,2,FALSE),"Unmapped")</x:f>
        <x:v>Classic canvas cap</x:v>
      </x:c>
      <x:c r="F1225" s="2" t="str">
        <x:f>_xlfn.IFNA(VLOOKUP(D1225,'Products'!$A$7:$I$22,3,FALSE),"Unmapped")</x:f>
        <x:v>Accessories</x:v>
      </x:c>
      <x:c r="G1225" s="2" t="n">
        <x:v>1</x:v>
      </x:c>
      <x:c r="H1225" s="2" t="n">
        <x:v>0</x:v>
      </x:c>
      <x:c r="I1225" s="10" t="n">
        <x:v>24.95</x:v>
      </x:c>
      <x:c r="J1225" s="10" t="n">
        <x:v>2.49</x:v>
      </x:c>
      <x:c r="K1225" s="10" t="n">
        <x:v>8.5</x:v>
      </x:c>
      <x:c r="L1225" s="10" t="n">
        <x:f>G1225*I1225</x:f>
        <x:v>24.95</x:v>
      </x:c>
      <x:c r="M1225" s="10" t="n">
        <x:f>ROUND((L1225-J1225)*H1225/G1225,2)</x:f>
        <x:v>0</x:v>
      </x:c>
      <x:c r="N1225" s="10" t="n">
        <x:f>L1225-J1225-M1225</x:f>
        <x:v>22.46</x:v>
      </x:c>
      <x:c r="O1225" s="10" t="n">
        <x:f>(G1225-H1225)*K1225</x:f>
        <x:v>8.5</x:v>
      </x:c>
      <x:c r="P1225" s="10" t="n">
        <x:f>N1225-O1225</x:f>
        <x:v>13.96</x:v>
      </x:c>
      <x:c r="Q1225" s="9" t="n">
        <x:f>A1225-WEEKDAY(A1225,2)+1</x:f>
        <x:v>46307</x:v>
      </x:c>
      <x:c r="R1225" s="2" t="str">
        <x:f>IF(AND(A1225&gt;='Review'!$B$4,A1225&lt;='Review'!$D$4),"Selected","Outside")</x:f>
        <x:v>Selected</x:v>
      </x:c>
    </x:row>
    <x:row r="1226" ht="20" customHeight="1">
      <x:c r="A1226" s="9" t="n">
        <x:v>46311</x:v>
      </x:c>
      <x:c r="B1226" s="2" t="str">
        <x:v>MM-1871</x:v>
      </x:c>
      <x:c r="C1226" s="2" t="str">
        <x:v>Direct</x:v>
      </x:c>
      <x:c r="D1226" s="2" t="str">
        <x:v>TUM-001</x:v>
      </x:c>
      <x:c r="E1226" s="2" t="str">
        <x:f>_xlfn.IFNA(VLOOKUP(D1226,'Products'!$A$7:$I$22,2,FALSE),"Unmapped")</x:f>
        <x:v>Maple travel tumbler</x:v>
      </x:c>
      <x:c r="F1226" s="2" t="str">
        <x:f>_xlfn.IFNA(VLOOKUP(D1226,'Products'!$A$7:$I$22,3,FALSE),"Unmapped")</x:f>
        <x:v>Drinkware</x:v>
      </x:c>
      <x:c r="G1226" s="2" t="n">
        <x:v>2</x:v>
      </x:c>
      <x:c r="H1226" s="2" t="n">
        <x:v>0</x:v>
      </x:c>
      <x:c r="I1226" s="10" t="n">
        <x:v>32.95</x:v>
      </x:c>
      <x:c r="J1226" s="10" t="n">
        <x:v>6.59</x:v>
      </x:c>
      <x:c r="K1226" s="10" t="n">
        <x:v>12</x:v>
      </x:c>
      <x:c r="L1226" s="10" t="n">
        <x:f>G1226*I1226</x:f>
        <x:v>65.9</x:v>
      </x:c>
      <x:c r="M1226" s="10" t="n">
        <x:f>ROUND((L1226-J1226)*H1226/G1226,2)</x:f>
        <x:v>0</x:v>
      </x:c>
      <x:c r="N1226" s="10" t="n">
        <x:f>L1226-J1226-M1226</x:f>
        <x:v>59.31</x:v>
      </x:c>
      <x:c r="O1226" s="10" t="n">
        <x:f>(G1226-H1226)*K1226</x:f>
        <x:v>24</x:v>
      </x:c>
      <x:c r="P1226" s="10" t="n">
        <x:f>N1226-O1226</x:f>
        <x:v>35.31</x:v>
      </x:c>
      <x:c r="Q1226" s="9" t="n">
        <x:f>A1226-WEEKDAY(A1226,2)+1</x:f>
        <x:v>46307</x:v>
      </x:c>
      <x:c r="R1226" s="2" t="str">
        <x:f>IF(AND(A1226&gt;='Review'!$B$4,A1226&lt;='Review'!$D$4),"Selected","Outside")</x:f>
        <x:v>Selected</x:v>
      </x:c>
    </x:row>
    <x:row r="1227" ht="20" customHeight="1">
      <x:c r="A1227" s="9" t="n">
        <x:v>46311</x:v>
      </x:c>
      <x:c r="B1227" s="2" t="str">
        <x:v>MM-1874</x:v>
      </x:c>
      <x:c r="C1227" s="2" t="str">
        <x:v>Paid Social</x:v>
      </x:c>
      <x:c r="D1227" s="2" t="str">
        <x:v>HAT-001</x:v>
      </x:c>
      <x:c r="E1227" s="2" t="str">
        <x:f>_xlfn.IFNA(VLOOKUP(D1227,'Products'!$A$7:$I$22,2,FALSE),"Unmapped")</x:f>
        <x:v>Classic canvas cap</x:v>
      </x:c>
      <x:c r="F1227" s="2" t="str">
        <x:f>_xlfn.IFNA(VLOOKUP(D1227,'Products'!$A$7:$I$22,3,FALSE),"Unmapped")</x:f>
        <x:v>Accessories</x:v>
      </x:c>
      <x:c r="G1227" s="2" t="n">
        <x:v>1</x:v>
      </x:c>
      <x:c r="H1227" s="2" t="n">
        <x:v>0</x:v>
      </x:c>
      <x:c r="I1227" s="10" t="n">
        <x:v>24.95</x:v>
      </x:c>
      <x:c r="J1227" s="10" t="n">
        <x:v>2.49</x:v>
      </x:c>
      <x:c r="K1227" s="10" t="n">
        <x:v>8.5</x:v>
      </x:c>
      <x:c r="L1227" s="10" t="n">
        <x:f>G1227*I1227</x:f>
        <x:v>24.95</x:v>
      </x:c>
      <x:c r="M1227" s="10" t="n">
        <x:f>ROUND((L1227-J1227)*H1227/G1227,2)</x:f>
        <x:v>0</x:v>
      </x:c>
      <x:c r="N1227" s="10" t="n">
        <x:f>L1227-J1227-M1227</x:f>
        <x:v>22.46</x:v>
      </x:c>
      <x:c r="O1227" s="10" t="n">
        <x:f>(G1227-H1227)*K1227</x:f>
        <x:v>8.5</x:v>
      </x:c>
      <x:c r="P1227" s="10" t="n">
        <x:f>N1227-O1227</x:f>
        <x:v>13.96</x:v>
      </x:c>
      <x:c r="Q1227" s="9" t="n">
        <x:f>A1227-WEEKDAY(A1227,2)+1</x:f>
        <x:v>46307</x:v>
      </x:c>
      <x:c r="R1227" s="2" t="str">
        <x:f>IF(AND(A1227&gt;='Review'!$B$4,A1227&lt;='Review'!$D$4),"Selected","Outside")</x:f>
        <x:v>Selected</x:v>
      </x:c>
    </x:row>
    <x:row r="1228" ht="20" customHeight="1">
      <x:c r="A1228" s="9" t="n">
        <x:v>46311</x:v>
      </x:c>
      <x:c r="B1228" s="2" t="str">
        <x:v>MM-1854</x:v>
      </x:c>
      <x:c r="C1228" s="2" t="str">
        <x:v>Organic Search</x:v>
      </x:c>
      <x:c r="D1228" s="2" t="str">
        <x:v>GFT-001</x:v>
      </x:c>
      <x:c r="E1228" s="2" t="str">
        <x:f>_xlfn.IFNA(VLOOKUP(D1228,'Products'!$A$7:$I$22,2,FALSE),"Unmapped")</x:f>
        <x:v>Morning ritual gift set</x:v>
      </x:c>
      <x:c r="F1228" s="2" t="str">
        <x:f>_xlfn.IFNA(VLOOKUP(D1228,'Products'!$A$7:$I$22,3,FALSE),"Unmapped")</x:f>
        <x:v>Gifts</x:v>
      </x:c>
      <x:c r="G1228" s="2" t="n">
        <x:v>3</x:v>
      </x:c>
      <x:c r="H1228" s="2" t="n">
        <x:v>0</x:v>
      </x:c>
      <x:c r="I1228" s="10" t="n">
        <x:v>59.95</x:v>
      </x:c>
      <x:c r="J1228" s="10" t="n">
        <x:v>0</x:v>
      </x:c>
      <x:c r="K1228" s="10" t="n">
        <x:v>24</x:v>
      </x:c>
      <x:c r="L1228" s="10" t="n">
        <x:f>G1228*I1228</x:f>
        <x:v>179.85000000000002</x:v>
      </x:c>
      <x:c r="M1228" s="10" t="n">
        <x:f>ROUND((L1228-J1228)*H1228/G1228,2)</x:f>
        <x:v>0</x:v>
      </x:c>
      <x:c r="N1228" s="10" t="n">
        <x:f>L1228-J1228-M1228</x:f>
        <x:v>179.85000000000002</x:v>
      </x:c>
      <x:c r="O1228" s="10" t="n">
        <x:f>(G1228-H1228)*K1228</x:f>
        <x:v>72</x:v>
      </x:c>
      <x:c r="P1228" s="10" t="n">
        <x:f>N1228-O1228</x:f>
        <x:v>107.85000000000002</x:v>
      </x:c>
      <x:c r="Q1228" s="9" t="n">
        <x:f>A1228-WEEKDAY(A1228,2)+1</x:f>
        <x:v>46307</x:v>
      </x:c>
      <x:c r="R1228" s="2" t="str">
        <x:f>IF(AND(A1228&gt;='Review'!$B$4,A1228&lt;='Review'!$D$4),"Selected","Outside")</x:f>
        <x:v>Selected</x:v>
      </x:c>
    </x:row>
    <x:row r="1229" ht="20" customHeight="1">
      <x:c r="A1229" s="9" t="n">
        <x:v>46311</x:v>
      </x:c>
      <x:c r="B1229" s="2" t="str">
        <x:v>MM-1854</x:v>
      </x:c>
      <x:c r="C1229" s="2" t="str">
        <x:v>Organic Search</x:v>
      </x:c>
      <x:c r="D1229" s="2" t="str">
        <x:v>GFT-002</x:v>
      </x:c>
      <x:c r="E1229" s="2" t="str">
        <x:f>_xlfn.IFNA(VLOOKUP(D1229,'Products'!$A$7:$I$22,2,FALSE),"Unmapped")</x:f>
        <x:v>Cozy weekend gift box</x:v>
      </x:c>
      <x:c r="F1229" s="2" t="str">
        <x:f>_xlfn.IFNA(VLOOKUP(D1229,'Products'!$A$7:$I$22,3,FALSE),"Unmapped")</x:f>
        <x:v>Gifts</x:v>
      </x:c>
      <x:c r="G1229" s="2" t="n">
        <x:v>1</x:v>
      </x:c>
      <x:c r="H1229" s="2" t="n">
        <x:v>0</x:v>
      </x:c>
      <x:c r="I1229" s="10" t="n">
        <x:v>79.95</x:v>
      </x:c>
      <x:c r="J1229" s="10" t="n">
        <x:v>0</x:v>
      </x:c>
      <x:c r="K1229" s="10" t="n">
        <x:v>32</x:v>
      </x:c>
      <x:c r="L1229" s="10" t="n">
        <x:f>G1229*I1229</x:f>
        <x:v>79.95</x:v>
      </x:c>
      <x:c r="M1229" s="10" t="n">
        <x:f>ROUND((L1229-J1229)*H1229/G1229,2)</x:f>
        <x:v>0</x:v>
      </x:c>
      <x:c r="N1229" s="10" t="n">
        <x:f>L1229-J1229-M1229</x:f>
        <x:v>79.95</x:v>
      </x:c>
      <x:c r="O1229" s="10" t="n">
        <x:f>(G1229-H1229)*K1229</x:f>
        <x:v>32</x:v>
      </x:c>
      <x:c r="P1229" s="10" t="n">
        <x:f>N1229-O1229</x:f>
        <x:v>47.95</x:v>
      </x:c>
      <x:c r="Q1229" s="9" t="n">
        <x:f>A1229-WEEKDAY(A1229,2)+1</x:f>
        <x:v>46307</x:v>
      </x:c>
      <x:c r="R1229" s="2" t="str">
        <x:f>IF(AND(A1229&gt;='Review'!$B$4,A1229&lt;='Review'!$D$4),"Selected","Outside")</x:f>
        <x:v>Selected</x:v>
      </x:c>
    </x:row>
    <x:row r="1230" ht="20" customHeight="1">
      <x:c r="A1230" s="9" t="n">
        <x:v>46311</x:v>
      </x:c>
      <x:c r="B1230" s="2" t="str">
        <x:v>MM-1861</x:v>
      </x:c>
      <x:c r="C1230" s="2" t="str">
        <x:v>Organic Search</x:v>
      </x:c>
      <x:c r="D1230" s="2" t="str">
        <x:v>KEY-001</x:v>
      </x:c>
      <x:c r="E1230" s="2" t="str">
        <x:f>_xlfn.IFNA(VLOOKUP(D1230,'Products'!$A$7:$I$22,2,FALSE),"Unmapped")</x:f>
        <x:v>Maple keyring</x:v>
      </x:c>
      <x:c r="F1230" s="2" t="str">
        <x:f>_xlfn.IFNA(VLOOKUP(D1230,'Products'!$A$7:$I$22,3,FALSE),"Unmapped")</x:f>
        <x:v>Accessories</x:v>
      </x:c>
      <x:c r="G1230" s="2" t="n">
        <x:v>1</x:v>
      </x:c>
      <x:c r="H1230" s="2" t="n">
        <x:v>0</x:v>
      </x:c>
      <x:c r="I1230" s="10" t="n">
        <x:v>12.95</x:v>
      </x:c>
      <x:c r="J1230" s="10" t="n">
        <x:v>0</x:v>
      </x:c>
      <x:c r="K1230" s="10" t="n">
        <x:v>3.5</x:v>
      </x:c>
      <x:c r="L1230" s="10" t="n">
        <x:f>G1230*I1230</x:f>
        <x:v>12.95</x:v>
      </x:c>
      <x:c r="M1230" s="10" t="n">
        <x:f>ROUND((L1230-J1230)*H1230/G1230,2)</x:f>
        <x:v>0</x:v>
      </x:c>
      <x:c r="N1230" s="10" t="n">
        <x:f>L1230-J1230-M1230</x:f>
        <x:v>12.95</x:v>
      </x:c>
      <x:c r="O1230" s="10" t="n">
        <x:f>(G1230-H1230)*K1230</x:f>
        <x:v>3.5</x:v>
      </x:c>
      <x:c r="P1230" s="10" t="n">
        <x:f>N1230-O1230</x:f>
        <x:v>9.45</x:v>
      </x:c>
      <x:c r="Q1230" s="9" t="n">
        <x:f>A1230-WEEKDAY(A1230,2)+1</x:f>
        <x:v>46307</x:v>
      </x:c>
      <x:c r="R1230" s="2" t="str">
        <x:f>IF(AND(A1230&gt;='Review'!$B$4,A1230&lt;='Review'!$D$4),"Selected","Outside")</x:f>
        <x:v>Selected</x:v>
      </x:c>
    </x:row>
    <x:row r="1231" ht="20" customHeight="1">
      <x:c r="A1231" s="9" t="n">
        <x:v>46311</x:v>
      </x:c>
      <x:c r="B1231" s="2" t="str">
        <x:v>MM-1861</x:v>
      </x:c>
      <x:c r="C1231" s="2" t="str">
        <x:v>Organic Search</x:v>
      </x:c>
      <x:c r="D1231" s="2" t="str">
        <x:v>TOTE-001</x:v>
      </x:c>
      <x:c r="E1231" s="2" t="str">
        <x:f>_xlfn.IFNA(VLOOKUP(D1231,'Products'!$A$7:$I$22,2,FALSE),"Unmapped")</x:f>
        <x:v>Market canvas tote</x:v>
      </x:c>
      <x:c r="F1231" s="2" t="str">
        <x:f>_xlfn.IFNA(VLOOKUP(D1231,'Products'!$A$7:$I$22,3,FALSE),"Unmapped")</x:f>
        <x:v>Accessories</x:v>
      </x:c>
      <x:c r="G1231" s="2" t="n">
        <x:v>1</x:v>
      </x:c>
      <x:c r="H1231" s="2" t="n">
        <x:v>0</x:v>
      </x:c>
      <x:c r="I1231" s="10" t="n">
        <x:v>19.95</x:v>
      </x:c>
      <x:c r="J1231" s="10" t="n">
        <x:v>0</x:v>
      </x:c>
      <x:c r="K1231" s="10" t="n">
        <x:v>6</x:v>
      </x:c>
      <x:c r="L1231" s="10" t="n">
        <x:f>G1231*I1231</x:f>
        <x:v>19.95</x:v>
      </x:c>
      <x:c r="M1231" s="10" t="n">
        <x:f>ROUND((L1231-J1231)*H1231/G1231,2)</x:f>
        <x:v>0</x:v>
      </x:c>
      <x:c r="N1231" s="10" t="n">
        <x:f>L1231-J1231-M1231</x:f>
        <x:v>19.95</x:v>
      </x:c>
      <x:c r="O1231" s="10" t="n">
        <x:f>(G1231-H1231)*K1231</x:f>
        <x:v>6</x:v>
      </x:c>
      <x:c r="P1231" s="10" t="n">
        <x:f>N1231-O1231</x:f>
        <x:v>13.95</x:v>
      </x:c>
      <x:c r="Q1231" s="9" t="n">
        <x:f>A1231-WEEKDAY(A1231,2)+1</x:f>
        <x:v>46307</x:v>
      </x:c>
      <x:c r="R1231" s="2" t="str">
        <x:f>IF(AND(A1231&gt;='Review'!$B$4,A1231&lt;='Review'!$D$4),"Selected","Outside")</x:f>
        <x:v>Selected</x:v>
      </x:c>
    </x:row>
    <x:row r="1232" ht="20" customHeight="1">
      <x:c r="A1232" s="9" t="n">
        <x:v>46311</x:v>
      </x:c>
      <x:c r="B1232" s="2" t="str">
        <x:v>MM-1864</x:v>
      </x:c>
      <x:c r="C1232" s="2" t="str">
        <x:v>Paid Social</x:v>
      </x:c>
      <x:c r="D1232" s="2" t="str">
        <x:v>BOT-001</x:v>
      </x:c>
      <x:c r="E1232" s="2" t="str">
        <x:f>_xlfn.IFNA(VLOOKUP(D1232,'Products'!$A$7:$I$22,2,FALSE),"Unmapped")</x:f>
        <x:v>Trail water bottle</x:v>
      </x:c>
      <x:c r="F1232" s="2" t="str">
        <x:f>_xlfn.IFNA(VLOOKUP(D1232,'Products'!$A$7:$I$22,3,FALSE),"Unmapped")</x:f>
        <x:v>Drinkware</x:v>
      </x:c>
      <x:c r="G1232" s="2" t="n">
        <x:v>1</x:v>
      </x:c>
      <x:c r="H1232" s="2" t="n">
        <x:v>0</x:v>
      </x:c>
      <x:c r="I1232" s="10" t="n">
        <x:v>34.95</x:v>
      </x:c>
      <x:c r="J1232" s="10" t="n">
        <x:v>0</x:v>
      </x:c>
      <x:c r="K1232" s="10" t="n">
        <x:v>13.5</x:v>
      </x:c>
      <x:c r="L1232" s="10" t="n">
        <x:f>G1232*I1232</x:f>
        <x:v>34.95</x:v>
      </x:c>
      <x:c r="M1232" s="10" t="n">
        <x:f>ROUND((L1232-J1232)*H1232/G1232,2)</x:f>
        <x:v>0</x:v>
      </x:c>
      <x:c r="N1232" s="10" t="n">
        <x:f>L1232-J1232-M1232</x:f>
        <x:v>34.95</x:v>
      </x:c>
      <x:c r="O1232" s="10" t="n">
        <x:f>(G1232-H1232)*K1232</x:f>
        <x:v>13.5</x:v>
      </x:c>
      <x:c r="P1232" s="10" t="n">
        <x:f>N1232-O1232</x:f>
        <x:v>21.450000000000003</x:v>
      </x:c>
      <x:c r="Q1232" s="9" t="n">
        <x:f>A1232-WEEKDAY(A1232,2)+1</x:f>
        <x:v>46307</x:v>
      </x:c>
      <x:c r="R1232" s="2" t="str">
        <x:f>IF(AND(A1232&gt;='Review'!$B$4,A1232&lt;='Review'!$D$4),"Selected","Outside")</x:f>
        <x:v>Selected</x:v>
      </x:c>
    </x:row>
    <x:row r="1233" ht="20" customHeight="1">
      <x:c r="A1233" s="9" t="n">
        <x:v>46311</x:v>
      </x:c>
      <x:c r="B1233" s="2" t="str">
        <x:v>MM-1864</x:v>
      </x:c>
      <x:c r="C1233" s="2" t="str">
        <x:v>Paid Social</x:v>
      </x:c>
      <x:c r="D1233" s="2" t="str">
        <x:v>APP-003</x:v>
      </x:c>
      <x:c r="E1233" s="2" t="str">
        <x:f>_xlfn.IFNA(VLOOKUP(D1233,'Products'!$A$7:$I$22,2,FALSE),"Unmapped")</x:f>
        <x:v>Coffee club tee</x:v>
      </x:c>
      <x:c r="F1233" s="2" t="str">
        <x:f>_xlfn.IFNA(VLOOKUP(D1233,'Products'!$A$7:$I$22,3,FALSE),"Unmapped")</x:f>
        <x:v>Apparel</x:v>
      </x:c>
      <x:c r="G1233" s="2" t="n">
        <x:v>1</x:v>
      </x:c>
      <x:c r="H1233" s="2" t="n">
        <x:v>0</x:v>
      </x:c>
      <x:c r="I1233" s="10" t="n">
        <x:v>29.95</x:v>
      </x:c>
      <x:c r="J1233" s="10" t="n">
        <x:v>2.99</x:v>
      </x:c>
      <x:c r="K1233" s="10" t="n">
        <x:v>10</x:v>
      </x:c>
      <x:c r="L1233" s="10" t="n">
        <x:f>G1233*I1233</x:f>
        <x:v>29.95</x:v>
      </x:c>
      <x:c r="M1233" s="10" t="n">
        <x:f>ROUND((L1233-J1233)*H1233/G1233,2)</x:f>
        <x:v>0</x:v>
      </x:c>
      <x:c r="N1233" s="10" t="n">
        <x:f>L1233-J1233-M1233</x:f>
        <x:v>26.96</x:v>
      </x:c>
      <x:c r="O1233" s="10" t="n">
        <x:f>(G1233-H1233)*K1233</x:f>
        <x:v>10</x:v>
      </x:c>
      <x:c r="P1233" s="10" t="n">
        <x:f>N1233-O1233</x:f>
        <x:v>16.96</x:v>
      </x:c>
      <x:c r="Q1233" s="9" t="n">
        <x:f>A1233-WEEKDAY(A1233,2)+1</x:f>
        <x:v>46307</x:v>
      </x:c>
      <x:c r="R1233" s="2" t="str">
        <x:f>IF(AND(A1233&gt;='Review'!$B$4,A1233&lt;='Review'!$D$4),"Selected","Outside")</x:f>
        <x:v>Selected</x:v>
      </x:c>
    </x:row>
    <x:row r="1234" ht="20" customHeight="1">
      <x:c r="A1234" s="9" t="n">
        <x:v>46311</x:v>
      </x:c>
      <x:c r="B1234" s="2" t="str">
        <x:v>MM-1864</x:v>
      </x:c>
      <x:c r="C1234" s="2" t="str">
        <x:v>Paid Social</x:v>
      </x:c>
      <x:c r="D1234" s="2" t="str">
        <x:v>APP-001</x:v>
      </x:c>
      <x:c r="E1234" s="2" t="str">
        <x:f>_xlfn.IFNA(VLOOKUP(D1234,'Products'!$A$7:$I$22,2,FALSE),"Unmapped")</x:f>
        <x:v>Everyday crewneck</x:v>
      </x:c>
      <x:c r="F1234" s="2" t="str">
        <x:f>_xlfn.IFNA(VLOOKUP(D1234,'Products'!$A$7:$I$22,3,FALSE),"Unmapped")</x:f>
        <x:v>Apparel</x:v>
      </x:c>
      <x:c r="G1234" s="2" t="n">
        <x:v>2</x:v>
      </x:c>
      <x:c r="H1234" s="2" t="n">
        <x:v>0</x:v>
      </x:c>
      <x:c r="I1234" s="10" t="n">
        <x:v>54.95</x:v>
      </x:c>
      <x:c r="J1234" s="10" t="n">
        <x:v>0</x:v>
      </x:c>
      <x:c r="K1234" s="10" t="n">
        <x:v>22</x:v>
      </x:c>
      <x:c r="L1234" s="10" t="n">
        <x:f>G1234*I1234</x:f>
        <x:v>109.9</x:v>
      </x:c>
      <x:c r="M1234" s="10" t="n">
        <x:f>ROUND((L1234-J1234)*H1234/G1234,2)</x:f>
        <x:v>0</x:v>
      </x:c>
      <x:c r="N1234" s="10" t="n">
        <x:f>L1234-J1234-M1234</x:f>
        <x:v>109.9</x:v>
      </x:c>
      <x:c r="O1234" s="10" t="n">
        <x:f>(G1234-H1234)*K1234</x:f>
        <x:v>44</x:v>
      </x:c>
      <x:c r="P1234" s="10" t="n">
        <x:f>N1234-O1234</x:f>
        <x:v>65.9</x:v>
      </x:c>
      <x:c r="Q1234" s="9" t="n">
        <x:f>A1234-WEEKDAY(A1234,2)+1</x:f>
        <x:v>46307</x:v>
      </x:c>
      <x:c r="R1234" s="2" t="str">
        <x:f>IF(AND(A1234&gt;='Review'!$B$4,A1234&lt;='Review'!$D$4),"Selected","Outside")</x:f>
        <x:v>Selected</x:v>
      </x:c>
    </x:row>
    <x:row r="1235" ht="20" customHeight="1">
      <x:c r="A1235" s="9" t="n">
        <x:v>46311</x:v>
      </x:c>
      <x:c r="B1235" s="2" t="str">
        <x:v>MM-1860</x:v>
      </x:c>
      <x:c r="C1235" s="2" t="str">
        <x:v>Direct</x:v>
      </x:c>
      <x:c r="D1235" s="2" t="str">
        <x:v>APP-003</x:v>
      </x:c>
      <x:c r="E1235" s="2" t="str">
        <x:f>_xlfn.IFNA(VLOOKUP(D1235,'Products'!$A$7:$I$22,2,FALSE),"Unmapped")</x:f>
        <x:v>Coffee club tee</x:v>
      </x:c>
      <x:c r="F1235" s="2" t="str">
        <x:f>_xlfn.IFNA(VLOOKUP(D1235,'Products'!$A$7:$I$22,3,FALSE),"Unmapped")</x:f>
        <x:v>Apparel</x:v>
      </x:c>
      <x:c r="G1235" s="2" t="n">
        <x:v>1</x:v>
      </x:c>
      <x:c r="H1235" s="2" t="n">
        <x:v>0</x:v>
      </x:c>
      <x:c r="I1235" s="10" t="n">
        <x:v>29.95</x:v>
      </x:c>
      <x:c r="J1235" s="10" t="n">
        <x:v>0</x:v>
      </x:c>
      <x:c r="K1235" s="10" t="n">
        <x:v>10</x:v>
      </x:c>
      <x:c r="L1235" s="10" t="n">
        <x:f>G1235*I1235</x:f>
        <x:v>29.95</x:v>
      </x:c>
      <x:c r="M1235" s="10" t="n">
        <x:f>ROUND((L1235-J1235)*H1235/G1235,2)</x:f>
        <x:v>0</x:v>
      </x:c>
      <x:c r="N1235" s="10" t="n">
        <x:f>L1235-J1235-M1235</x:f>
        <x:v>29.95</x:v>
      </x:c>
      <x:c r="O1235" s="10" t="n">
        <x:f>(G1235-H1235)*K1235</x:f>
        <x:v>10</x:v>
      </x:c>
      <x:c r="P1235" s="10" t="n">
        <x:f>N1235-O1235</x:f>
        <x:v>19.95</x:v>
      </x:c>
      <x:c r="Q1235" s="9" t="n">
        <x:f>A1235-WEEKDAY(A1235,2)+1</x:f>
        <x:v>46307</x:v>
      </x:c>
      <x:c r="R1235" s="2" t="str">
        <x:f>IF(AND(A1235&gt;='Review'!$B$4,A1235&lt;='Review'!$D$4),"Selected","Outside")</x:f>
        <x:v>Selected</x:v>
      </x:c>
    </x:row>
    <x:row r="1236" ht="20" customHeight="1">
      <x:c r="A1236" s="9" t="n">
        <x:v>46311</x:v>
      </x:c>
      <x:c r="B1236" s="2" t="str">
        <x:v>MM-1872</x:v>
      </x:c>
      <x:c r="C1236" s="2" t="str">
        <x:v>Organic Search</x:v>
      </x:c>
      <x:c r="D1236" s="2" t="str">
        <x:v>TOTE-001</x:v>
      </x:c>
      <x:c r="E1236" s="2" t="str">
        <x:f>_xlfn.IFNA(VLOOKUP(D1236,'Products'!$A$7:$I$22,2,FALSE),"Unmapped")</x:f>
        <x:v>Market canvas tote</x:v>
      </x:c>
      <x:c r="F1236" s="2" t="str">
        <x:f>_xlfn.IFNA(VLOOKUP(D1236,'Products'!$A$7:$I$22,3,FALSE),"Unmapped")</x:f>
        <x:v>Accessories</x:v>
      </x:c>
      <x:c r="G1236" s="2" t="n">
        <x:v>1</x:v>
      </x:c>
      <x:c r="H1236" s="2" t="n">
        <x:v>0</x:v>
      </x:c>
      <x:c r="I1236" s="10" t="n">
        <x:v>19.95</x:v>
      </x:c>
      <x:c r="J1236" s="10" t="n">
        <x:v>0</x:v>
      </x:c>
      <x:c r="K1236" s="10" t="n">
        <x:v>6</x:v>
      </x:c>
      <x:c r="L1236" s="10" t="n">
        <x:f>G1236*I1236</x:f>
        <x:v>19.95</x:v>
      </x:c>
      <x:c r="M1236" s="10" t="n">
        <x:f>ROUND((L1236-J1236)*H1236/G1236,2)</x:f>
        <x:v>0</x:v>
      </x:c>
      <x:c r="N1236" s="10" t="n">
        <x:f>L1236-J1236-M1236</x:f>
        <x:v>19.95</x:v>
      </x:c>
      <x:c r="O1236" s="10" t="n">
        <x:f>(G1236-H1236)*K1236</x:f>
        <x:v>6</x:v>
      </x:c>
      <x:c r="P1236" s="10" t="n">
        <x:f>N1236-O1236</x:f>
        <x:v>13.95</x:v>
      </x:c>
      <x:c r="Q1236" s="9" t="n">
        <x:f>A1236-WEEKDAY(A1236,2)+1</x:f>
        <x:v>46307</x:v>
      </x:c>
      <x:c r="R1236" s="2" t="str">
        <x:f>IF(AND(A1236&gt;='Review'!$B$4,A1236&lt;='Review'!$D$4),"Selected","Outside")</x:f>
        <x:v>Selected</x:v>
      </x:c>
    </x:row>
    <x:row r="1237" ht="20" customHeight="1">
      <x:c r="A1237" s="9" t="n">
        <x:v>46311</x:v>
      </x:c>
      <x:c r="B1237" s="2" t="str">
        <x:v>MM-1872</x:v>
      </x:c>
      <x:c r="C1237" s="2" t="str">
        <x:v>Organic Search</x:v>
      </x:c>
      <x:c r="D1237" s="2" t="str">
        <x:v>APP-003</x:v>
      </x:c>
      <x:c r="E1237" s="2" t="str">
        <x:f>_xlfn.IFNA(VLOOKUP(D1237,'Products'!$A$7:$I$22,2,FALSE),"Unmapped")</x:f>
        <x:v>Coffee club tee</x:v>
      </x:c>
      <x:c r="F1237" s="2" t="str">
        <x:f>_xlfn.IFNA(VLOOKUP(D1237,'Products'!$A$7:$I$22,3,FALSE),"Unmapped")</x:f>
        <x:v>Apparel</x:v>
      </x:c>
      <x:c r="G1237" s="2" t="n">
        <x:v>1</x:v>
      </x:c>
      <x:c r="H1237" s="2" t="n">
        <x:v>0</x:v>
      </x:c>
      <x:c r="I1237" s="10" t="n">
        <x:v>29.95</x:v>
      </x:c>
      <x:c r="J1237" s="10" t="n">
        <x:v>0</x:v>
      </x:c>
      <x:c r="K1237" s="10" t="n">
        <x:v>10</x:v>
      </x:c>
      <x:c r="L1237" s="10" t="n">
        <x:f>G1237*I1237</x:f>
        <x:v>29.95</x:v>
      </x:c>
      <x:c r="M1237" s="10" t="n">
        <x:f>ROUND((L1237-J1237)*H1237/G1237,2)</x:f>
        <x:v>0</x:v>
      </x:c>
      <x:c r="N1237" s="10" t="n">
        <x:f>L1237-J1237-M1237</x:f>
        <x:v>29.95</x:v>
      </x:c>
      <x:c r="O1237" s="10" t="n">
        <x:f>(G1237-H1237)*K1237</x:f>
        <x:v>10</x:v>
      </x:c>
      <x:c r="P1237" s="10" t="n">
        <x:f>N1237-O1237</x:f>
        <x:v>19.95</x:v>
      </x:c>
      <x:c r="Q1237" s="9" t="n">
        <x:f>A1237-WEEKDAY(A1237,2)+1</x:f>
        <x:v>46307</x:v>
      </x:c>
      <x:c r="R1237" s="2" t="str">
        <x:f>IF(AND(A1237&gt;='Review'!$B$4,A1237&lt;='Review'!$D$4),"Selected","Outside")</x:f>
        <x:v>Selected</x:v>
      </x:c>
    </x:row>
    <x:row r="1238" ht="20" customHeight="1">
      <x:c r="A1238" s="9" t="n">
        <x:v>46311</x:v>
      </x:c>
      <x:c r="B1238" s="2" t="str">
        <x:v>MM-1859</x:v>
      </x:c>
      <x:c r="C1238" s="2" t="str">
        <x:v>Email</x:v>
      </x:c>
      <x:c r="D1238" s="2" t="str">
        <x:v>TUM-002</x:v>
      </x:c>
      <x:c r="E1238" s="2" t="str">
        <x:f>_xlfn.IFNA(VLOOKUP(D1238,'Products'!$A$7:$I$22,2,FALSE),"Unmapped")</x:f>
        <x:v>Cold brew glass cup</x:v>
      </x:c>
      <x:c r="F1238" s="2" t="str">
        <x:f>_xlfn.IFNA(VLOOKUP(D1238,'Products'!$A$7:$I$22,3,FALSE),"Unmapped")</x:f>
        <x:v>Drinkware</x:v>
      </x:c>
      <x:c r="G1238" s="2" t="n">
        <x:v>1</x:v>
      </x:c>
      <x:c r="H1238" s="2" t="n">
        <x:v>0</x:v>
      </x:c>
      <x:c r="I1238" s="10" t="n">
        <x:v>24.95</x:v>
      </x:c>
      <x:c r="J1238" s="10" t="n">
        <x:v>2.49</x:v>
      </x:c>
      <x:c r="K1238" s="10" t="n">
        <x:v>9</x:v>
      </x:c>
      <x:c r="L1238" s="10" t="n">
        <x:f>G1238*I1238</x:f>
        <x:v>24.95</x:v>
      </x:c>
      <x:c r="M1238" s="10" t="n">
        <x:f>ROUND((L1238-J1238)*H1238/G1238,2)</x:f>
        <x:v>0</x:v>
      </x:c>
      <x:c r="N1238" s="10" t="n">
        <x:f>L1238-J1238-M1238</x:f>
        <x:v>22.46</x:v>
      </x:c>
      <x:c r="O1238" s="10" t="n">
        <x:f>(G1238-H1238)*K1238</x:f>
        <x:v>9</x:v>
      </x:c>
      <x:c r="P1238" s="10" t="n">
        <x:f>N1238-O1238</x:f>
        <x:v>13.46</x:v>
      </x:c>
      <x:c r="Q1238" s="9" t="n">
        <x:f>A1238-WEEKDAY(A1238,2)+1</x:f>
        <x:v>46307</x:v>
      </x:c>
      <x:c r="R1238" s="2" t="str">
        <x:f>IF(AND(A1238&gt;='Review'!$B$4,A1238&lt;='Review'!$D$4),"Selected","Outside")</x:f>
        <x:v>Selected</x:v>
      </x:c>
    </x:row>
    <x:row r="1239" ht="20" customHeight="1">
      <x:c r="A1239" s="9" t="n">
        <x:v>46311</x:v>
      </x:c>
      <x:c r="B1239" s="2" t="str">
        <x:v>MM-1859</x:v>
      </x:c>
      <x:c r="C1239" s="2" t="str">
        <x:v>Email</x:v>
      </x:c>
      <x:c r="D1239" s="2" t="str">
        <x:v>HAT-001</x:v>
      </x:c>
      <x:c r="E1239" s="2" t="str">
        <x:f>_xlfn.IFNA(VLOOKUP(D1239,'Products'!$A$7:$I$22,2,FALSE),"Unmapped")</x:f>
        <x:v>Classic canvas cap</x:v>
      </x:c>
      <x:c r="F1239" s="2" t="str">
        <x:f>_xlfn.IFNA(VLOOKUP(D1239,'Products'!$A$7:$I$22,3,FALSE),"Unmapped")</x:f>
        <x:v>Accessories</x:v>
      </x:c>
      <x:c r="G1239" s="2" t="n">
        <x:v>1</x:v>
      </x:c>
      <x:c r="H1239" s="2" t="n">
        <x:v>0</x:v>
      </x:c>
      <x:c r="I1239" s="10" t="n">
        <x:v>24.95</x:v>
      </x:c>
      <x:c r="J1239" s="10" t="n">
        <x:v>2.49</x:v>
      </x:c>
      <x:c r="K1239" s="10" t="n">
        <x:v>8.5</x:v>
      </x:c>
      <x:c r="L1239" s="10" t="n">
        <x:f>G1239*I1239</x:f>
        <x:v>24.95</x:v>
      </x:c>
      <x:c r="M1239" s="10" t="n">
        <x:f>ROUND((L1239-J1239)*H1239/G1239,2)</x:f>
        <x:v>0</x:v>
      </x:c>
      <x:c r="N1239" s="10" t="n">
        <x:f>L1239-J1239-M1239</x:f>
        <x:v>22.46</x:v>
      </x:c>
      <x:c r="O1239" s="10" t="n">
        <x:f>(G1239-H1239)*K1239</x:f>
        <x:v>8.5</x:v>
      </x:c>
      <x:c r="P1239" s="10" t="n">
        <x:f>N1239-O1239</x:f>
        <x:v>13.96</x:v>
      </x:c>
      <x:c r="Q1239" s="9" t="n">
        <x:f>A1239-WEEKDAY(A1239,2)+1</x:f>
        <x:v>46307</x:v>
      </x:c>
      <x:c r="R1239" s="2" t="str">
        <x:f>IF(AND(A1239&gt;='Review'!$B$4,A1239&lt;='Review'!$D$4),"Selected","Outside")</x:f>
        <x:v>Selected</x:v>
      </x:c>
    </x:row>
    <x:row r="1240" ht="20" customHeight="1">
      <x:c r="A1240" s="9" t="n">
        <x:v>46311</x:v>
      </x:c>
      <x:c r="B1240" s="2" t="str">
        <x:v>MM-1867</x:v>
      </x:c>
      <x:c r="C1240" s="2" t="str">
        <x:v>Organic Search</x:v>
      </x:c>
      <x:c r="D1240" s="2" t="str">
        <x:v>GFT-002</x:v>
      </x:c>
      <x:c r="E1240" s="2" t="str">
        <x:f>_xlfn.IFNA(VLOOKUP(D1240,'Products'!$A$7:$I$22,2,FALSE),"Unmapped")</x:f>
        <x:v>Cozy weekend gift box</x:v>
      </x:c>
      <x:c r="F1240" s="2" t="str">
        <x:f>_xlfn.IFNA(VLOOKUP(D1240,'Products'!$A$7:$I$22,3,FALSE),"Unmapped")</x:f>
        <x:v>Gifts</x:v>
      </x:c>
      <x:c r="G1240" s="2" t="n">
        <x:v>3</x:v>
      </x:c>
      <x:c r="H1240" s="2" t="n">
        <x:v>0</x:v>
      </x:c>
      <x:c r="I1240" s="10" t="n">
        <x:v>79.95</x:v>
      </x:c>
      <x:c r="J1240" s="10" t="n">
        <x:v>0</x:v>
      </x:c>
      <x:c r="K1240" s="10" t="n">
        <x:v>32</x:v>
      </x:c>
      <x:c r="L1240" s="10" t="n">
        <x:f>G1240*I1240</x:f>
        <x:v>239.85000000000002</x:v>
      </x:c>
      <x:c r="M1240" s="10" t="n">
        <x:f>ROUND((L1240-J1240)*H1240/G1240,2)</x:f>
        <x:v>0</x:v>
      </x:c>
      <x:c r="N1240" s="10" t="n">
        <x:f>L1240-J1240-M1240</x:f>
        <x:v>239.85000000000002</x:v>
      </x:c>
      <x:c r="O1240" s="10" t="n">
        <x:f>(G1240-H1240)*K1240</x:f>
        <x:v>96</x:v>
      </x:c>
      <x:c r="P1240" s="10" t="n">
        <x:f>N1240-O1240</x:f>
        <x:v>143.85000000000002</x:v>
      </x:c>
      <x:c r="Q1240" s="9" t="n">
        <x:f>A1240-WEEKDAY(A1240,2)+1</x:f>
        <x:v>46307</x:v>
      </x:c>
      <x:c r="R1240" s="2" t="str">
        <x:f>IF(AND(A1240&gt;='Review'!$B$4,A1240&lt;='Review'!$D$4),"Selected","Outside")</x:f>
        <x:v>Selected</x:v>
      </x:c>
    </x:row>
    <x:row r="1241" ht="20" customHeight="1">
      <x:c r="A1241" s="9" t="n">
        <x:v>46311</x:v>
      </x:c>
      <x:c r="B1241" s="2" t="str">
        <x:v>MM-1868</x:v>
      </x:c>
      <x:c r="C1241" s="2" t="str">
        <x:v>Organic Search</x:v>
      </x:c>
      <x:c r="D1241" s="2" t="str">
        <x:v>GFT-002</x:v>
      </x:c>
      <x:c r="E1241" s="2" t="str">
        <x:f>_xlfn.IFNA(VLOOKUP(D1241,'Products'!$A$7:$I$22,2,FALSE),"Unmapped")</x:f>
        <x:v>Cozy weekend gift box</x:v>
      </x:c>
      <x:c r="F1241" s="2" t="str">
        <x:f>_xlfn.IFNA(VLOOKUP(D1241,'Products'!$A$7:$I$22,3,FALSE),"Unmapped")</x:f>
        <x:v>Gifts</x:v>
      </x:c>
      <x:c r="G1241" s="2" t="n">
        <x:v>2</x:v>
      </x:c>
      <x:c r="H1241" s="2" t="n">
        <x:v>0</x:v>
      </x:c>
      <x:c r="I1241" s="10" t="n">
        <x:v>79.95</x:v>
      </x:c>
      <x:c r="J1241" s="10" t="n">
        <x:v>0</x:v>
      </x:c>
      <x:c r="K1241" s="10" t="n">
        <x:v>32</x:v>
      </x:c>
      <x:c r="L1241" s="10" t="n">
        <x:f>G1241*I1241</x:f>
        <x:v>159.9</x:v>
      </x:c>
      <x:c r="M1241" s="10" t="n">
        <x:f>ROUND((L1241-J1241)*H1241/G1241,2)</x:f>
        <x:v>0</x:v>
      </x:c>
      <x:c r="N1241" s="10" t="n">
        <x:f>L1241-J1241-M1241</x:f>
        <x:v>159.9</x:v>
      </x:c>
      <x:c r="O1241" s="10" t="n">
        <x:f>(G1241-H1241)*K1241</x:f>
        <x:v>64</x:v>
      </x:c>
      <x:c r="P1241" s="10" t="n">
        <x:f>N1241-O1241</x:f>
        <x:v>95.9</x:v>
      </x:c>
      <x:c r="Q1241" s="9" t="n">
        <x:f>A1241-WEEKDAY(A1241,2)+1</x:f>
        <x:v>46307</x:v>
      </x:c>
      <x:c r="R1241" s="2" t="str">
        <x:f>IF(AND(A1241&gt;='Review'!$B$4,A1241&lt;='Review'!$D$4),"Selected","Outside")</x:f>
        <x:v>Selected</x:v>
      </x:c>
    </x:row>
    <x:row r="1242" ht="20" customHeight="1">
      <x:c r="A1242" s="9" t="n">
        <x:v>46311</x:v>
      </x:c>
      <x:c r="B1242" s="2" t="str">
        <x:v>MM-1868</x:v>
      </x:c>
      <x:c r="C1242" s="2" t="str">
        <x:v>Organic Search</x:v>
      </x:c>
      <x:c r="D1242" s="2" t="str">
        <x:v>MUG-002</x:v>
      </x:c>
      <x:c r="E1242" s="2" t="str">
        <x:f>_xlfn.IFNA(VLOOKUP(D1242,'Products'!$A$7:$I$22,2,FALSE),"Unmapped")</x:f>
        <x:v>Campfire enamel mug</x:v>
      </x:c>
      <x:c r="F1242" s="2" t="str">
        <x:f>_xlfn.IFNA(VLOOKUP(D1242,'Products'!$A$7:$I$22,3,FALSE),"Unmapped")</x:f>
        <x:v>Drinkware</x:v>
      </x:c>
      <x:c r="G1242" s="2" t="n">
        <x:v>1</x:v>
      </x:c>
      <x:c r="H1242" s="2" t="n">
        <x:v>0</x:v>
      </x:c>
      <x:c r="I1242" s="10" t="n">
        <x:v>22.95</x:v>
      </x:c>
      <x:c r="J1242" s="10" t="n">
        <x:v>0</x:v>
      </x:c>
      <x:c r="K1242" s="10" t="n">
        <x:v>8.5</x:v>
      </x:c>
      <x:c r="L1242" s="10" t="n">
        <x:f>G1242*I1242</x:f>
        <x:v>22.95</x:v>
      </x:c>
      <x:c r="M1242" s="10" t="n">
        <x:f>ROUND((L1242-J1242)*H1242/G1242,2)</x:f>
        <x:v>0</x:v>
      </x:c>
      <x:c r="N1242" s="10" t="n">
        <x:f>L1242-J1242-M1242</x:f>
        <x:v>22.95</x:v>
      </x:c>
      <x:c r="O1242" s="10" t="n">
        <x:f>(G1242-H1242)*K1242</x:f>
        <x:v>8.5</x:v>
      </x:c>
      <x:c r="P1242" s="10" t="n">
        <x:f>N1242-O1242</x:f>
        <x:v>14.45</x:v>
      </x:c>
      <x:c r="Q1242" s="9" t="n">
        <x:f>A1242-WEEKDAY(A1242,2)+1</x:f>
        <x:v>46307</x:v>
      </x:c>
      <x:c r="R1242" s="2" t="str">
        <x:f>IF(AND(A1242&gt;='Review'!$B$4,A1242&lt;='Review'!$D$4),"Selected","Outside")</x:f>
        <x:v>Selected</x:v>
      </x:c>
    </x:row>
    <x:row r="1243" ht="20" customHeight="1">
      <x:c r="A1243" s="9" t="n">
        <x:v>46311</x:v>
      </x:c>
      <x:c r="B1243" s="2" t="str">
        <x:v>MM-1869</x:v>
      </x:c>
      <x:c r="C1243" s="2" t="str">
        <x:v>Organic Search</x:v>
      </x:c>
      <x:c r="D1243" s="2" t="str">
        <x:v>TOTE-001</x:v>
      </x:c>
      <x:c r="E1243" s="2" t="str">
        <x:f>_xlfn.IFNA(VLOOKUP(D1243,'Products'!$A$7:$I$22,2,FALSE),"Unmapped")</x:f>
        <x:v>Market canvas tote</x:v>
      </x:c>
      <x:c r="F1243" s="2" t="str">
        <x:f>_xlfn.IFNA(VLOOKUP(D1243,'Products'!$A$7:$I$22,3,FALSE),"Unmapped")</x:f>
        <x:v>Accessories</x:v>
      </x:c>
      <x:c r="G1243" s="2" t="n">
        <x:v>1</x:v>
      </x:c>
      <x:c r="H1243" s="2" t="n">
        <x:v>0</x:v>
      </x:c>
      <x:c r="I1243" s="10" t="n">
        <x:v>19.95</x:v>
      </x:c>
      <x:c r="J1243" s="10" t="n">
        <x:v>0</x:v>
      </x:c>
      <x:c r="K1243" s="10" t="n">
        <x:v>6</x:v>
      </x:c>
      <x:c r="L1243" s="10" t="n">
        <x:f>G1243*I1243</x:f>
        <x:v>19.95</x:v>
      </x:c>
      <x:c r="M1243" s="10" t="n">
        <x:f>ROUND((L1243-J1243)*H1243/G1243,2)</x:f>
        <x:v>0</x:v>
      </x:c>
      <x:c r="N1243" s="10" t="n">
        <x:f>L1243-J1243-M1243</x:f>
        <x:v>19.95</x:v>
      </x:c>
      <x:c r="O1243" s="10" t="n">
        <x:f>(G1243-H1243)*K1243</x:f>
        <x:v>6</x:v>
      </x:c>
      <x:c r="P1243" s="10" t="n">
        <x:f>N1243-O1243</x:f>
        <x:v>13.95</x:v>
      </x:c>
      <x:c r="Q1243" s="9" t="n">
        <x:f>A1243-WEEKDAY(A1243,2)+1</x:f>
        <x:v>46307</x:v>
      </x:c>
      <x:c r="R1243" s="2" t="str">
        <x:f>IF(AND(A1243&gt;='Review'!$B$4,A1243&lt;='Review'!$D$4),"Selected","Outside")</x:f>
        <x:v>Selected</x:v>
      </x:c>
    </x:row>
    <x:row r="1244" ht="20" customHeight="1">
      <x:c r="A1244" s="9" t="n">
        <x:v>46312</x:v>
      </x:c>
      <x:c r="B1244" s="2" t="str">
        <x:v>MM-1876</x:v>
      </x:c>
      <x:c r="C1244" s="2" t="str">
        <x:v>Email</x:v>
      </x:c>
      <x:c r="D1244" s="2" t="str">
        <x:v>PIN-001</x:v>
      </x:c>
      <x:c r="E1244" s="2" t="str">
        <x:f>_xlfn.IFNA(VLOOKUP(D1244,'Products'!$A$7:$I$22,2,FALSE),"Unmapped")</x:f>
        <x:v>Coffee enamel pin</x:v>
      </x:c>
      <x:c r="F1244" s="2" t="str">
        <x:f>_xlfn.IFNA(VLOOKUP(D1244,'Products'!$A$7:$I$22,3,FALSE),"Unmapped")</x:f>
        <x:v>Accessories</x:v>
      </x:c>
      <x:c r="G1244" s="2" t="n">
        <x:v>1</x:v>
      </x:c>
      <x:c r="H1244" s="2" t="n">
        <x:v>0</x:v>
      </x:c>
      <x:c r="I1244" s="10" t="n">
        <x:v>9.95</x:v>
      </x:c>
      <x:c r="J1244" s="10" t="n">
        <x:v>0.99</x:v>
      </x:c>
      <x:c r="K1244" s="10" t="n">
        <x:v>2.5</x:v>
      </x:c>
      <x:c r="L1244" s="10" t="n">
        <x:f>G1244*I1244</x:f>
        <x:v>9.95</x:v>
      </x:c>
      <x:c r="M1244" s="10" t="n">
        <x:f>ROUND((L1244-J1244)*H1244/G1244,2)</x:f>
        <x:v>0</x:v>
      </x:c>
      <x:c r="N1244" s="10" t="n">
        <x:f>L1244-J1244-M1244</x:f>
        <x:v>8.959999999999999</x:v>
      </x:c>
      <x:c r="O1244" s="10" t="n">
        <x:f>(G1244-H1244)*K1244</x:f>
        <x:v>2.5</x:v>
      </x:c>
      <x:c r="P1244" s="10" t="n">
        <x:f>N1244-O1244</x:f>
        <x:v>6.459999999999999</x:v>
      </x:c>
      <x:c r="Q1244" s="9" t="n">
        <x:f>A1244-WEEKDAY(A1244,2)+1</x:f>
        <x:v>46307</x:v>
      </x:c>
      <x:c r="R1244" s="2" t="str">
        <x:f>IF(AND(A1244&gt;='Review'!$B$4,A1244&lt;='Review'!$D$4),"Selected","Outside")</x:f>
        <x:v>Selected</x:v>
      </x:c>
    </x:row>
    <x:row r="1245" ht="20" customHeight="1">
      <x:c r="A1245" s="9" t="n">
        <x:v>46312</x:v>
      </x:c>
      <x:c r="B1245" s="2" t="str">
        <x:v>MM-1876</x:v>
      </x:c>
      <x:c r="C1245" s="2" t="str">
        <x:v>Email</x:v>
      </x:c>
      <x:c r="D1245" s="2" t="str">
        <x:v>APP-002</x:v>
      </x:c>
      <x:c r="E1245" s="2" t="str">
        <x:f>_xlfn.IFNA(VLOOKUP(D1245,'Products'!$A$7:$I$22,2,FALSE),"Unmapped")</x:f>
        <x:v>Weekend hoodie</x:v>
      </x:c>
      <x:c r="F1245" s="2" t="str">
        <x:f>_xlfn.IFNA(VLOOKUP(D1245,'Products'!$A$7:$I$22,3,FALSE),"Unmapped")</x:f>
        <x:v>Apparel</x:v>
      </x:c>
      <x:c r="G1245" s="2" t="n">
        <x:v>2</x:v>
      </x:c>
      <x:c r="H1245" s="2" t="n">
        <x:v>0</x:v>
      </x:c>
      <x:c r="I1245" s="10" t="n">
        <x:v>69.95</x:v>
      </x:c>
      <x:c r="J1245" s="10" t="n">
        <x:v>13.99</x:v>
      </x:c>
      <x:c r="K1245" s="10" t="n">
        <x:v>28</x:v>
      </x:c>
      <x:c r="L1245" s="10" t="n">
        <x:f>G1245*I1245</x:f>
        <x:v>139.9</x:v>
      </x:c>
      <x:c r="M1245" s="10" t="n">
        <x:f>ROUND((L1245-J1245)*H1245/G1245,2)</x:f>
        <x:v>0</x:v>
      </x:c>
      <x:c r="N1245" s="10" t="n">
        <x:f>L1245-J1245-M1245</x:f>
        <x:v>125.91000000000001</x:v>
      </x:c>
      <x:c r="O1245" s="10" t="n">
        <x:f>(G1245-H1245)*K1245</x:f>
        <x:v>56</x:v>
      </x:c>
      <x:c r="P1245" s="10" t="n">
        <x:f>N1245-O1245</x:f>
        <x:v>69.91000000000001</x:v>
      </x:c>
      <x:c r="Q1245" s="9" t="n">
        <x:f>A1245-WEEKDAY(A1245,2)+1</x:f>
        <x:v>46307</x:v>
      </x:c>
      <x:c r="R1245" s="2" t="str">
        <x:f>IF(AND(A1245&gt;='Review'!$B$4,A1245&lt;='Review'!$D$4),"Selected","Outside")</x:f>
        <x:v>Selected</x:v>
      </x:c>
    </x:row>
    <x:row r="1246" ht="20" customHeight="1">
      <x:c r="A1246" s="9" t="n">
        <x:v>46312</x:v>
      </x:c>
      <x:c r="B1246" s="2" t="str">
        <x:v>MM-1887</x:v>
      </x:c>
      <x:c r="C1246" s="2" t="str">
        <x:v>Paid Social</x:v>
      </x:c>
      <x:c r="D1246" s="2" t="str">
        <x:v>TUM-002</x:v>
      </x:c>
      <x:c r="E1246" s="2" t="str">
        <x:f>_xlfn.IFNA(VLOOKUP(D1246,'Products'!$A$7:$I$22,2,FALSE),"Unmapped")</x:f>
        <x:v>Cold brew glass cup</x:v>
      </x:c>
      <x:c r="F1246" s="2" t="str">
        <x:f>_xlfn.IFNA(VLOOKUP(D1246,'Products'!$A$7:$I$22,3,FALSE),"Unmapped")</x:f>
        <x:v>Drinkware</x:v>
      </x:c>
      <x:c r="G1246" s="2" t="n">
        <x:v>1</x:v>
      </x:c>
      <x:c r="H1246" s="2" t="n">
        <x:v>0</x:v>
      </x:c>
      <x:c r="I1246" s="10" t="n">
        <x:v>24.95</x:v>
      </x:c>
      <x:c r="J1246" s="10" t="n">
        <x:v>0</x:v>
      </x:c>
      <x:c r="K1246" s="10" t="n">
        <x:v>9</x:v>
      </x:c>
      <x:c r="L1246" s="10" t="n">
        <x:f>G1246*I1246</x:f>
        <x:v>24.95</x:v>
      </x:c>
      <x:c r="M1246" s="10" t="n">
        <x:f>ROUND((L1246-J1246)*H1246/G1246,2)</x:f>
        <x:v>0</x:v>
      </x:c>
      <x:c r="N1246" s="10" t="n">
        <x:f>L1246-J1246-M1246</x:f>
        <x:v>24.95</x:v>
      </x:c>
      <x:c r="O1246" s="10" t="n">
        <x:f>(G1246-H1246)*K1246</x:f>
        <x:v>9</x:v>
      </x:c>
      <x:c r="P1246" s="10" t="n">
        <x:f>N1246-O1246</x:f>
        <x:v>15.95</x:v>
      </x:c>
      <x:c r="Q1246" s="9" t="n">
        <x:f>A1246-WEEKDAY(A1246,2)+1</x:f>
        <x:v>46307</x:v>
      </x:c>
      <x:c r="R1246" s="2" t="str">
        <x:f>IF(AND(A1246&gt;='Review'!$B$4,A1246&lt;='Review'!$D$4),"Selected","Outside")</x:f>
        <x:v>Selected</x:v>
      </x:c>
    </x:row>
    <x:row r="1247" ht="20" customHeight="1">
      <x:c r="A1247" s="9" t="n">
        <x:v>46312</x:v>
      </x:c>
      <x:c r="B1247" s="2" t="str">
        <x:v>MM-1890</x:v>
      </x:c>
      <x:c r="C1247" s="2" t="str">
        <x:v>Paid Social</x:v>
      </x:c>
      <x:c r="D1247" s="2" t="str">
        <x:v>MUG-002</x:v>
      </x:c>
      <x:c r="E1247" s="2" t="str">
        <x:f>_xlfn.IFNA(VLOOKUP(D1247,'Products'!$A$7:$I$22,2,FALSE),"Unmapped")</x:f>
        <x:v>Campfire enamel mug</x:v>
      </x:c>
      <x:c r="F1247" s="2" t="str">
        <x:f>_xlfn.IFNA(VLOOKUP(D1247,'Products'!$A$7:$I$22,3,FALSE),"Unmapped")</x:f>
        <x:v>Drinkware</x:v>
      </x:c>
      <x:c r="G1247" s="2" t="n">
        <x:v>1</x:v>
      </x:c>
      <x:c r="H1247" s="2" t="n">
        <x:v>0</x:v>
      </x:c>
      <x:c r="I1247" s="10" t="n">
        <x:v>22.95</x:v>
      </x:c>
      <x:c r="J1247" s="10" t="n">
        <x:v>0</x:v>
      </x:c>
      <x:c r="K1247" s="10" t="n">
        <x:v>8.5</x:v>
      </x:c>
      <x:c r="L1247" s="10" t="n">
        <x:f>G1247*I1247</x:f>
        <x:v>22.95</x:v>
      </x:c>
      <x:c r="M1247" s="10" t="n">
        <x:f>ROUND((L1247-J1247)*H1247/G1247,2)</x:f>
        <x:v>0</x:v>
      </x:c>
      <x:c r="N1247" s="10" t="n">
        <x:f>L1247-J1247-M1247</x:f>
        <x:v>22.95</x:v>
      </x:c>
      <x:c r="O1247" s="10" t="n">
        <x:f>(G1247-H1247)*K1247</x:f>
        <x:v>8.5</x:v>
      </x:c>
      <x:c r="P1247" s="10" t="n">
        <x:f>N1247-O1247</x:f>
        <x:v>14.45</x:v>
      </x:c>
      <x:c r="Q1247" s="9" t="n">
        <x:f>A1247-WEEKDAY(A1247,2)+1</x:f>
        <x:v>46307</x:v>
      </x:c>
      <x:c r="R1247" s="2" t="str">
        <x:f>IF(AND(A1247&gt;='Review'!$B$4,A1247&lt;='Review'!$D$4),"Selected","Outside")</x:f>
        <x:v>Selected</x:v>
      </x:c>
    </x:row>
    <x:row r="1248" ht="20" customHeight="1">
      <x:c r="A1248" s="9" t="n">
        <x:v>46312</x:v>
      </x:c>
      <x:c r="B1248" s="2" t="str">
        <x:v>MM-1890</x:v>
      </x:c>
      <x:c r="C1248" s="2" t="str">
        <x:v>Paid Social</x:v>
      </x:c>
      <x:c r="D1248" s="2" t="str">
        <x:v>APP-001</x:v>
      </x:c>
      <x:c r="E1248" s="2" t="str">
        <x:f>_xlfn.IFNA(VLOOKUP(D1248,'Products'!$A$7:$I$22,2,FALSE),"Unmapped")</x:f>
        <x:v>Everyday crewneck</x:v>
      </x:c>
      <x:c r="F1248" s="2" t="str">
        <x:f>_xlfn.IFNA(VLOOKUP(D1248,'Products'!$A$7:$I$22,3,FALSE),"Unmapped")</x:f>
        <x:v>Apparel</x:v>
      </x:c>
      <x:c r="G1248" s="2" t="n">
        <x:v>1</x:v>
      </x:c>
      <x:c r="H1248" s="2" t="n">
        <x:v>0</x:v>
      </x:c>
      <x:c r="I1248" s="10" t="n">
        <x:v>54.95</x:v>
      </x:c>
      <x:c r="J1248" s="10" t="n">
        <x:v>0</x:v>
      </x:c>
      <x:c r="K1248" s="10" t="n">
        <x:v>22</x:v>
      </x:c>
      <x:c r="L1248" s="10" t="n">
        <x:f>G1248*I1248</x:f>
        <x:v>54.95</x:v>
      </x:c>
      <x:c r="M1248" s="10" t="n">
        <x:f>ROUND((L1248-J1248)*H1248/G1248,2)</x:f>
        <x:v>0</x:v>
      </x:c>
      <x:c r="N1248" s="10" t="n">
        <x:f>L1248-J1248-M1248</x:f>
        <x:v>54.95</x:v>
      </x:c>
      <x:c r="O1248" s="10" t="n">
        <x:f>(G1248-H1248)*K1248</x:f>
        <x:v>22</x:v>
      </x:c>
      <x:c r="P1248" s="10" t="n">
        <x:f>N1248-O1248</x:f>
        <x:v>32.95</x:v>
      </x:c>
      <x:c r="Q1248" s="9" t="n">
        <x:f>A1248-WEEKDAY(A1248,2)+1</x:f>
        <x:v>46307</x:v>
      </x:c>
      <x:c r="R1248" s="2" t="str">
        <x:f>IF(AND(A1248&gt;='Review'!$B$4,A1248&lt;='Review'!$D$4),"Selected","Outside")</x:f>
        <x:v>Selected</x:v>
      </x:c>
    </x:row>
    <x:row r="1249" ht="20" customHeight="1">
      <x:c r="A1249" s="9" t="n">
        <x:v>46312</x:v>
      </x:c>
      <x:c r="B1249" s="2" t="str">
        <x:v>MM-1880</x:v>
      </x:c>
      <x:c r="C1249" s="2" t="str">
        <x:v>Paid Social</x:v>
      </x:c>
      <x:c r="D1249" s="2" t="str">
        <x:v>KEY-001</x:v>
      </x:c>
      <x:c r="E1249" s="2" t="str">
        <x:f>_xlfn.IFNA(VLOOKUP(D1249,'Products'!$A$7:$I$22,2,FALSE),"Unmapped")</x:f>
        <x:v>Maple keyring</x:v>
      </x:c>
      <x:c r="F1249" s="2" t="str">
        <x:f>_xlfn.IFNA(VLOOKUP(D1249,'Products'!$A$7:$I$22,3,FALSE),"Unmapped")</x:f>
        <x:v>Accessories</x:v>
      </x:c>
      <x:c r="G1249" s="2" t="n">
        <x:v>1</x:v>
      </x:c>
      <x:c r="H1249" s="2" t="n">
        <x:v>0</x:v>
      </x:c>
      <x:c r="I1249" s="10" t="n">
        <x:v>12.95</x:v>
      </x:c>
      <x:c r="J1249" s="10" t="n">
        <x:v>0</x:v>
      </x:c>
      <x:c r="K1249" s="10" t="n">
        <x:v>3.5</x:v>
      </x:c>
      <x:c r="L1249" s="10" t="n">
        <x:f>G1249*I1249</x:f>
        <x:v>12.95</x:v>
      </x:c>
      <x:c r="M1249" s="10" t="n">
        <x:f>ROUND((L1249-J1249)*H1249/G1249,2)</x:f>
        <x:v>0</x:v>
      </x:c>
      <x:c r="N1249" s="10" t="n">
        <x:f>L1249-J1249-M1249</x:f>
        <x:v>12.95</x:v>
      </x:c>
      <x:c r="O1249" s="10" t="n">
        <x:f>(G1249-H1249)*K1249</x:f>
        <x:v>3.5</x:v>
      </x:c>
      <x:c r="P1249" s="10" t="n">
        <x:f>N1249-O1249</x:f>
        <x:v>9.45</x:v>
      </x:c>
      <x:c r="Q1249" s="9" t="n">
        <x:f>A1249-WEEKDAY(A1249,2)+1</x:f>
        <x:v>46307</x:v>
      </x:c>
      <x:c r="R1249" s="2" t="str">
        <x:f>IF(AND(A1249&gt;='Review'!$B$4,A1249&lt;='Review'!$D$4),"Selected","Outside")</x:f>
        <x:v>Selected</x:v>
      </x:c>
    </x:row>
    <x:row r="1250" ht="20" customHeight="1">
      <x:c r="A1250" s="9" t="n">
        <x:v>46312</x:v>
      </x:c>
      <x:c r="B1250" s="2" t="str">
        <x:v>MM-1884</x:v>
      </x:c>
      <x:c r="C1250" s="2" t="str">
        <x:v>Organic Search</x:v>
      </x:c>
      <x:c r="D1250" s="2" t="str">
        <x:v>MUG-001</x:v>
      </x:c>
      <x:c r="E1250" s="2" t="str">
        <x:f>_xlfn.IFNA(VLOOKUP(D1250,'Products'!$A$7:$I$22,2,FALSE),"Unmapped")</x:f>
        <x:v>Everyday ceramic mug</x:v>
      </x:c>
      <x:c r="F1250" s="2" t="str">
        <x:f>_xlfn.IFNA(VLOOKUP(D1250,'Products'!$A$7:$I$22,3,FALSE),"Unmapped")</x:f>
        <x:v>Drinkware</x:v>
      </x:c>
      <x:c r="G1250" s="2" t="n">
        <x:v>1</x:v>
      </x:c>
      <x:c r="H1250" s="2" t="n">
        <x:v>0</x:v>
      </x:c>
      <x:c r="I1250" s="10" t="n">
        <x:v>18.95</x:v>
      </x:c>
      <x:c r="J1250" s="10" t="n">
        <x:v>0</x:v>
      </x:c>
      <x:c r="K1250" s="10" t="n">
        <x:v>6.5</x:v>
      </x:c>
      <x:c r="L1250" s="10" t="n">
        <x:f>G1250*I1250</x:f>
        <x:v>18.95</x:v>
      </x:c>
      <x:c r="M1250" s="10" t="n">
        <x:f>ROUND((L1250-J1250)*H1250/G1250,2)</x:f>
        <x:v>0</x:v>
      </x:c>
      <x:c r="N1250" s="10" t="n">
        <x:f>L1250-J1250-M1250</x:f>
        <x:v>18.95</x:v>
      </x:c>
      <x:c r="O1250" s="10" t="n">
        <x:f>(G1250-H1250)*K1250</x:f>
        <x:v>6.5</x:v>
      </x:c>
      <x:c r="P1250" s="10" t="n">
        <x:f>N1250-O1250</x:f>
        <x:v>12.45</x:v>
      </x:c>
      <x:c r="Q1250" s="9" t="n">
        <x:f>A1250-WEEKDAY(A1250,2)+1</x:f>
        <x:v>46307</x:v>
      </x:c>
      <x:c r="R1250" s="2" t="str">
        <x:f>IF(AND(A1250&gt;='Review'!$B$4,A1250&lt;='Review'!$D$4),"Selected","Outside")</x:f>
        <x:v>Selected</x:v>
      </x:c>
    </x:row>
    <x:row r="1251" ht="20" customHeight="1">
      <x:c r="A1251" s="9" t="n">
        <x:v>46312</x:v>
      </x:c>
      <x:c r="B1251" s="2" t="str">
        <x:v>MM-1885</x:v>
      </x:c>
      <x:c r="C1251" s="2" t="str">
        <x:v>Direct</x:v>
      </x:c>
      <x:c r="D1251" s="2" t="str">
        <x:v>APP-003</x:v>
      </x:c>
      <x:c r="E1251" s="2" t="str">
        <x:f>_xlfn.IFNA(VLOOKUP(D1251,'Products'!$A$7:$I$22,2,FALSE),"Unmapped")</x:f>
        <x:v>Coffee club tee</x:v>
      </x:c>
      <x:c r="F1251" s="2" t="str">
        <x:f>_xlfn.IFNA(VLOOKUP(D1251,'Products'!$A$7:$I$22,3,FALSE),"Unmapped")</x:f>
        <x:v>Apparel</x:v>
      </x:c>
      <x:c r="G1251" s="2" t="n">
        <x:v>1</x:v>
      </x:c>
      <x:c r="H1251" s="2" t="n">
        <x:v>0</x:v>
      </x:c>
      <x:c r="I1251" s="10" t="n">
        <x:v>29.95</x:v>
      </x:c>
      <x:c r="J1251" s="10" t="n">
        <x:v>0</x:v>
      </x:c>
      <x:c r="K1251" s="10" t="n">
        <x:v>10</x:v>
      </x:c>
      <x:c r="L1251" s="10" t="n">
        <x:f>G1251*I1251</x:f>
        <x:v>29.95</x:v>
      </x:c>
      <x:c r="M1251" s="10" t="n">
        <x:f>ROUND((L1251-J1251)*H1251/G1251,2)</x:f>
        <x:v>0</x:v>
      </x:c>
      <x:c r="N1251" s="10" t="n">
        <x:f>L1251-J1251-M1251</x:f>
        <x:v>29.95</x:v>
      </x:c>
      <x:c r="O1251" s="10" t="n">
        <x:f>(G1251-H1251)*K1251</x:f>
        <x:v>10</x:v>
      </x:c>
      <x:c r="P1251" s="10" t="n">
        <x:f>N1251-O1251</x:f>
        <x:v>19.95</x:v>
      </x:c>
      <x:c r="Q1251" s="9" t="n">
        <x:f>A1251-WEEKDAY(A1251,2)+1</x:f>
        <x:v>46307</x:v>
      </x:c>
      <x:c r="R1251" s="2" t="str">
        <x:f>IF(AND(A1251&gt;='Review'!$B$4,A1251&lt;='Review'!$D$4),"Selected","Outside")</x:f>
        <x:v>Selected</x:v>
      </x:c>
    </x:row>
    <x:row r="1252" ht="20" customHeight="1">
      <x:c r="A1252" s="9" t="n">
        <x:v>46312</x:v>
      </x:c>
      <x:c r="B1252" s="2" t="str">
        <x:v>MM-1886</x:v>
      </x:c>
      <x:c r="C1252" s="2" t="str">
        <x:v>Paid Social</x:v>
      </x:c>
      <x:c r="D1252" s="2" t="str">
        <x:v>GFT-002</x:v>
      </x:c>
      <x:c r="E1252" s="2" t="str">
        <x:f>_xlfn.IFNA(VLOOKUP(D1252,'Products'!$A$7:$I$22,2,FALSE),"Unmapped")</x:f>
        <x:v>Cozy weekend gift box</x:v>
      </x:c>
      <x:c r="F1252" s="2" t="str">
        <x:f>_xlfn.IFNA(VLOOKUP(D1252,'Products'!$A$7:$I$22,3,FALSE),"Unmapped")</x:f>
        <x:v>Gifts</x:v>
      </x:c>
      <x:c r="G1252" s="2" t="n">
        <x:v>1</x:v>
      </x:c>
      <x:c r="H1252" s="2" t="n">
        <x:v>0</x:v>
      </x:c>
      <x:c r="I1252" s="10" t="n">
        <x:v>79.95</x:v>
      </x:c>
      <x:c r="J1252" s="10" t="n">
        <x:v>0</x:v>
      </x:c>
      <x:c r="K1252" s="10" t="n">
        <x:v>32</x:v>
      </x:c>
      <x:c r="L1252" s="10" t="n">
        <x:f>G1252*I1252</x:f>
        <x:v>79.95</x:v>
      </x:c>
      <x:c r="M1252" s="10" t="n">
        <x:f>ROUND((L1252-J1252)*H1252/G1252,2)</x:f>
        <x:v>0</x:v>
      </x:c>
      <x:c r="N1252" s="10" t="n">
        <x:f>L1252-J1252-M1252</x:f>
        <x:v>79.95</x:v>
      </x:c>
      <x:c r="O1252" s="10" t="n">
        <x:f>(G1252-H1252)*K1252</x:f>
        <x:v>32</x:v>
      </x:c>
      <x:c r="P1252" s="10" t="n">
        <x:f>N1252-O1252</x:f>
        <x:v>47.95</x:v>
      </x:c>
      <x:c r="Q1252" s="9" t="n">
        <x:f>A1252-WEEKDAY(A1252,2)+1</x:f>
        <x:v>46307</x:v>
      </x:c>
      <x:c r="R1252" s="2" t="str">
        <x:f>IF(AND(A1252&gt;='Review'!$B$4,A1252&lt;='Review'!$D$4),"Selected","Outside")</x:f>
        <x:v>Selected</x:v>
      </x:c>
    </x:row>
    <x:row r="1253" ht="20" customHeight="1">
      <x:c r="A1253" s="9" t="n">
        <x:v>46312</x:v>
      </x:c>
      <x:c r="B1253" s="2" t="str">
        <x:v>MM-1897</x:v>
      </x:c>
      <x:c r="C1253" s="2" t="str">
        <x:v>Email</x:v>
      </x:c>
      <x:c r="D1253" s="2" t="str">
        <x:v>KEY-001</x:v>
      </x:c>
      <x:c r="E1253" s="2" t="str">
        <x:f>_xlfn.IFNA(VLOOKUP(D1253,'Products'!$A$7:$I$22,2,FALSE),"Unmapped")</x:f>
        <x:v>Maple keyring</x:v>
      </x:c>
      <x:c r="F1253" s="2" t="str">
        <x:f>_xlfn.IFNA(VLOOKUP(D1253,'Products'!$A$7:$I$22,3,FALSE),"Unmapped")</x:f>
        <x:v>Accessories</x:v>
      </x:c>
      <x:c r="G1253" s="2" t="n">
        <x:v>2</x:v>
      </x:c>
      <x:c r="H1253" s="2" t="n">
        <x:v>0</x:v>
      </x:c>
      <x:c r="I1253" s="10" t="n">
        <x:v>12.95</x:v>
      </x:c>
      <x:c r="J1253" s="10" t="n">
        <x:v>2.59</x:v>
      </x:c>
      <x:c r="K1253" s="10" t="n">
        <x:v>3.5</x:v>
      </x:c>
      <x:c r="L1253" s="10" t="n">
        <x:f>G1253*I1253</x:f>
        <x:v>25.9</x:v>
      </x:c>
      <x:c r="M1253" s="10" t="n">
        <x:f>ROUND((L1253-J1253)*H1253/G1253,2)</x:f>
        <x:v>0</x:v>
      </x:c>
      <x:c r="N1253" s="10" t="n">
        <x:f>L1253-J1253-M1253</x:f>
        <x:v>23.31</x:v>
      </x:c>
      <x:c r="O1253" s="10" t="n">
        <x:f>(G1253-H1253)*K1253</x:f>
        <x:v>7</x:v>
      </x:c>
      <x:c r="P1253" s="10" t="n">
        <x:f>N1253-O1253</x:f>
        <x:v>16.31</x:v>
      </x:c>
      <x:c r="Q1253" s="9" t="n">
        <x:f>A1253-WEEKDAY(A1253,2)+1</x:f>
        <x:v>46307</x:v>
      </x:c>
      <x:c r="R1253" s="2" t="str">
        <x:f>IF(AND(A1253&gt;='Review'!$B$4,A1253&lt;='Review'!$D$4),"Selected","Outside")</x:f>
        <x:v>Selected</x:v>
      </x:c>
    </x:row>
    <x:row r="1254" ht="20" customHeight="1">
      <x:c r="A1254" s="9" t="n">
        <x:v>46312</x:v>
      </x:c>
      <x:c r="B1254" s="2" t="str">
        <x:v>MM-1879</x:v>
      </x:c>
      <x:c r="C1254" s="2" t="str">
        <x:v>Email</x:v>
      </x:c>
      <x:c r="D1254" s="2" t="str">
        <x:v>APP-003</x:v>
      </x:c>
      <x:c r="E1254" s="2" t="str">
        <x:f>_xlfn.IFNA(VLOOKUP(D1254,'Products'!$A$7:$I$22,2,FALSE),"Unmapped")</x:f>
        <x:v>Coffee club tee</x:v>
      </x:c>
      <x:c r="F1254" s="2" t="str">
        <x:f>_xlfn.IFNA(VLOOKUP(D1254,'Products'!$A$7:$I$22,3,FALSE),"Unmapped")</x:f>
        <x:v>Apparel</x:v>
      </x:c>
      <x:c r="G1254" s="2" t="n">
        <x:v>1</x:v>
      </x:c>
      <x:c r="H1254" s="2" t="n">
        <x:v>0</x:v>
      </x:c>
      <x:c r="I1254" s="10" t="n">
        <x:v>29.95</x:v>
      </x:c>
      <x:c r="J1254" s="10" t="n">
        <x:v>2.99</x:v>
      </x:c>
      <x:c r="K1254" s="10" t="n">
        <x:v>10</x:v>
      </x:c>
      <x:c r="L1254" s="10" t="n">
        <x:f>G1254*I1254</x:f>
        <x:v>29.95</x:v>
      </x:c>
      <x:c r="M1254" s="10" t="n">
        <x:f>ROUND((L1254-J1254)*H1254/G1254,2)</x:f>
        <x:v>0</x:v>
      </x:c>
      <x:c r="N1254" s="10" t="n">
        <x:f>L1254-J1254-M1254</x:f>
        <x:v>26.96</x:v>
      </x:c>
      <x:c r="O1254" s="10" t="n">
        <x:f>(G1254-H1254)*K1254</x:f>
        <x:v>10</x:v>
      </x:c>
      <x:c r="P1254" s="10" t="n">
        <x:f>N1254-O1254</x:f>
        <x:v>16.96</x:v>
      </x:c>
      <x:c r="Q1254" s="9" t="n">
        <x:f>A1254-WEEKDAY(A1254,2)+1</x:f>
        <x:v>46307</x:v>
      </x:c>
      <x:c r="R1254" s="2" t="str">
        <x:f>IF(AND(A1254&gt;='Review'!$B$4,A1254&lt;='Review'!$D$4),"Selected","Outside")</x:f>
        <x:v>Selected</x:v>
      </x:c>
    </x:row>
    <x:row r="1255" ht="20" customHeight="1">
      <x:c r="A1255" s="9" t="n">
        <x:v>46312</x:v>
      </x:c>
      <x:c r="B1255" s="2" t="str">
        <x:v>MM-1879</x:v>
      </x:c>
      <x:c r="C1255" s="2" t="str">
        <x:v>Email</x:v>
      </x:c>
      <x:c r="D1255" s="2" t="str">
        <x:v>MUG-002</x:v>
      </x:c>
      <x:c r="E1255" s="2" t="str">
        <x:f>_xlfn.IFNA(VLOOKUP(D1255,'Products'!$A$7:$I$22,2,FALSE),"Unmapped")</x:f>
        <x:v>Campfire enamel mug</x:v>
      </x:c>
      <x:c r="F1255" s="2" t="str">
        <x:f>_xlfn.IFNA(VLOOKUP(D1255,'Products'!$A$7:$I$22,3,FALSE),"Unmapped")</x:f>
        <x:v>Drinkware</x:v>
      </x:c>
      <x:c r="G1255" s="2" t="n">
        <x:v>1</x:v>
      </x:c>
      <x:c r="H1255" s="2" t="n">
        <x:v>0</x:v>
      </x:c>
      <x:c r="I1255" s="10" t="n">
        <x:v>22.95</x:v>
      </x:c>
      <x:c r="J1255" s="10" t="n">
        <x:v>2.29</x:v>
      </x:c>
      <x:c r="K1255" s="10" t="n">
        <x:v>8.5</x:v>
      </x:c>
      <x:c r="L1255" s="10" t="n">
        <x:f>G1255*I1255</x:f>
        <x:v>22.95</x:v>
      </x:c>
      <x:c r="M1255" s="10" t="n">
        <x:f>ROUND((L1255-J1255)*H1255/G1255,2)</x:f>
        <x:v>0</x:v>
      </x:c>
      <x:c r="N1255" s="10" t="n">
        <x:f>L1255-J1255-M1255</x:f>
        <x:v>20.66</x:v>
      </x:c>
      <x:c r="O1255" s="10" t="n">
        <x:f>(G1255-H1255)*K1255</x:f>
        <x:v>8.5</x:v>
      </x:c>
      <x:c r="P1255" s="10" t="n">
        <x:f>N1255-O1255</x:f>
        <x:v>12.16</x:v>
      </x:c>
      <x:c r="Q1255" s="9" t="n">
        <x:f>A1255-WEEKDAY(A1255,2)+1</x:f>
        <x:v>46307</x:v>
      </x:c>
      <x:c r="R1255" s="2" t="str">
        <x:f>IF(AND(A1255&gt;='Review'!$B$4,A1255&lt;='Review'!$D$4),"Selected","Outside")</x:f>
        <x:v>Selected</x:v>
      </x:c>
    </x:row>
    <x:row r="1256" ht="20" customHeight="1">
      <x:c r="A1256" s="9" t="n">
        <x:v>46312</x:v>
      </x:c>
      <x:c r="B1256" s="2" t="str">
        <x:v>MM-1879</x:v>
      </x:c>
      <x:c r="C1256" s="2" t="str">
        <x:v>Email</x:v>
      </x:c>
      <x:c r="D1256" s="2" t="str">
        <x:v>BOT-001</x:v>
      </x:c>
      <x:c r="E1256" s="2" t="str">
        <x:f>_xlfn.IFNA(VLOOKUP(D1256,'Products'!$A$7:$I$22,2,FALSE),"Unmapped")</x:f>
        <x:v>Trail water bottle</x:v>
      </x:c>
      <x:c r="F1256" s="2" t="str">
        <x:f>_xlfn.IFNA(VLOOKUP(D1256,'Products'!$A$7:$I$22,3,FALSE),"Unmapped")</x:f>
        <x:v>Drinkware</x:v>
      </x:c>
      <x:c r="G1256" s="2" t="n">
        <x:v>1</x:v>
      </x:c>
      <x:c r="H1256" s="2" t="n">
        <x:v>0</x:v>
      </x:c>
      <x:c r="I1256" s="10" t="n">
        <x:v>34.95</x:v>
      </x:c>
      <x:c r="J1256" s="10" t="n">
        <x:v>3.49</x:v>
      </x:c>
      <x:c r="K1256" s="10" t="n">
        <x:v>13.5</x:v>
      </x:c>
      <x:c r="L1256" s="10" t="n">
        <x:f>G1256*I1256</x:f>
        <x:v>34.95</x:v>
      </x:c>
      <x:c r="M1256" s="10" t="n">
        <x:f>ROUND((L1256-J1256)*H1256/G1256,2)</x:f>
        <x:v>0</x:v>
      </x:c>
      <x:c r="N1256" s="10" t="n">
        <x:f>L1256-J1256-M1256</x:f>
        <x:v>31.46</x:v>
      </x:c>
      <x:c r="O1256" s="10" t="n">
        <x:f>(G1256-H1256)*K1256</x:f>
        <x:v>13.5</x:v>
      </x:c>
      <x:c r="P1256" s="10" t="n">
        <x:f>N1256-O1256</x:f>
        <x:v>17.96</x:v>
      </x:c>
      <x:c r="Q1256" s="9" t="n">
        <x:f>A1256-WEEKDAY(A1256,2)+1</x:f>
        <x:v>46307</x:v>
      </x:c>
      <x:c r="R1256" s="2" t="str">
        <x:f>IF(AND(A1256&gt;='Review'!$B$4,A1256&lt;='Review'!$D$4),"Selected","Outside")</x:f>
        <x:v>Selected</x:v>
      </x:c>
    </x:row>
    <x:row r="1257" ht="20" customHeight="1">
      <x:c r="A1257" s="9" t="n">
        <x:v>46312</x:v>
      </x:c>
      <x:c r="B1257" s="2" t="str">
        <x:v>MM-1888</x:v>
      </x:c>
      <x:c r="C1257" s="2" t="str">
        <x:v>Paid Social</x:v>
      </x:c>
      <x:c r="D1257" s="2" t="str">
        <x:v>GFT-002</x:v>
      </x:c>
      <x:c r="E1257" s="2" t="str">
        <x:f>_xlfn.IFNA(VLOOKUP(D1257,'Products'!$A$7:$I$22,2,FALSE),"Unmapped")</x:f>
        <x:v>Cozy weekend gift box</x:v>
      </x:c>
      <x:c r="F1257" s="2" t="str">
        <x:f>_xlfn.IFNA(VLOOKUP(D1257,'Products'!$A$7:$I$22,3,FALSE),"Unmapped")</x:f>
        <x:v>Gifts</x:v>
      </x:c>
      <x:c r="G1257" s="2" t="n">
        <x:v>1</x:v>
      </x:c>
      <x:c r="H1257" s="2" t="n">
        <x:v>0</x:v>
      </x:c>
      <x:c r="I1257" s="10" t="n">
        <x:v>79.95</x:v>
      </x:c>
      <x:c r="J1257" s="10" t="n">
        <x:v>0</x:v>
      </x:c>
      <x:c r="K1257" s="10" t="n">
        <x:v>32</x:v>
      </x:c>
      <x:c r="L1257" s="10" t="n">
        <x:f>G1257*I1257</x:f>
        <x:v>79.95</x:v>
      </x:c>
      <x:c r="M1257" s="10" t="n">
        <x:f>ROUND((L1257-J1257)*H1257/G1257,2)</x:f>
        <x:v>0</x:v>
      </x:c>
      <x:c r="N1257" s="10" t="n">
        <x:f>L1257-J1257-M1257</x:f>
        <x:v>79.95</x:v>
      </x:c>
      <x:c r="O1257" s="10" t="n">
        <x:f>(G1257-H1257)*K1257</x:f>
        <x:v>32</x:v>
      </x:c>
      <x:c r="P1257" s="10" t="n">
        <x:f>N1257-O1257</x:f>
        <x:v>47.95</x:v>
      </x:c>
      <x:c r="Q1257" s="9" t="n">
        <x:f>A1257-WEEKDAY(A1257,2)+1</x:f>
        <x:v>46307</x:v>
      </x:c>
      <x:c r="R1257" s="2" t="str">
        <x:f>IF(AND(A1257&gt;='Review'!$B$4,A1257&lt;='Review'!$D$4),"Selected","Outside")</x:f>
        <x:v>Selected</x:v>
      </x:c>
    </x:row>
    <x:row r="1258" ht="20" customHeight="1">
      <x:c r="A1258" s="9" t="n">
        <x:v>46312</x:v>
      </x:c>
      <x:c r="B1258" s="2" t="str">
        <x:v>MM-1882</x:v>
      </x:c>
      <x:c r="C1258" s="2" t="str">
        <x:v>Direct</x:v>
      </x:c>
      <x:c r="D1258" s="2" t="str">
        <x:v>APP-003</x:v>
      </x:c>
      <x:c r="E1258" s="2" t="str">
        <x:f>_xlfn.IFNA(VLOOKUP(D1258,'Products'!$A$7:$I$22,2,FALSE),"Unmapped")</x:f>
        <x:v>Coffee club tee</x:v>
      </x:c>
      <x:c r="F1258" s="2" t="str">
        <x:f>_xlfn.IFNA(VLOOKUP(D1258,'Products'!$A$7:$I$22,3,FALSE),"Unmapped")</x:f>
        <x:v>Apparel</x:v>
      </x:c>
      <x:c r="G1258" s="2" t="n">
        <x:v>1</x:v>
      </x:c>
      <x:c r="H1258" s="2" t="n">
        <x:v>0</x:v>
      </x:c>
      <x:c r="I1258" s="10" t="n">
        <x:v>29.95</x:v>
      </x:c>
      <x:c r="J1258" s="10" t="n">
        <x:v>2.99</x:v>
      </x:c>
      <x:c r="K1258" s="10" t="n">
        <x:v>10</x:v>
      </x:c>
      <x:c r="L1258" s="10" t="n">
        <x:f>G1258*I1258</x:f>
        <x:v>29.95</x:v>
      </x:c>
      <x:c r="M1258" s="10" t="n">
        <x:f>ROUND((L1258-J1258)*H1258/G1258,2)</x:f>
        <x:v>0</x:v>
      </x:c>
      <x:c r="N1258" s="10" t="n">
        <x:f>L1258-J1258-M1258</x:f>
        <x:v>26.96</x:v>
      </x:c>
      <x:c r="O1258" s="10" t="n">
        <x:f>(G1258-H1258)*K1258</x:f>
        <x:v>10</x:v>
      </x:c>
      <x:c r="P1258" s="10" t="n">
        <x:f>N1258-O1258</x:f>
        <x:v>16.96</x:v>
      </x:c>
      <x:c r="Q1258" s="9" t="n">
        <x:f>A1258-WEEKDAY(A1258,2)+1</x:f>
        <x:v>46307</x:v>
      </x:c>
      <x:c r="R1258" s="2" t="str">
        <x:f>IF(AND(A1258&gt;='Review'!$B$4,A1258&lt;='Review'!$D$4),"Selected","Outside")</x:f>
        <x:v>Selected</x:v>
      </x:c>
    </x:row>
    <x:row r="1259" ht="20" customHeight="1">
      <x:c r="A1259" s="9" t="n">
        <x:v>46312</x:v>
      </x:c>
      <x:c r="B1259" s="2" t="str">
        <x:v>MM-1893</x:v>
      </x:c>
      <x:c r="C1259" s="2" t="str">
        <x:v>Direct</x:v>
      </x:c>
      <x:c r="D1259" s="2" t="str">
        <x:v>MUG-001</x:v>
      </x:c>
      <x:c r="E1259" s="2" t="str">
        <x:f>_xlfn.IFNA(VLOOKUP(D1259,'Products'!$A$7:$I$22,2,FALSE),"Unmapped")</x:f>
        <x:v>Everyday ceramic mug</x:v>
      </x:c>
      <x:c r="F1259" s="2" t="str">
        <x:f>_xlfn.IFNA(VLOOKUP(D1259,'Products'!$A$7:$I$22,3,FALSE),"Unmapped")</x:f>
        <x:v>Drinkware</x:v>
      </x:c>
      <x:c r="G1259" s="2" t="n">
        <x:v>1</x:v>
      </x:c>
      <x:c r="H1259" s="2" t="n">
        <x:v>0</x:v>
      </x:c>
      <x:c r="I1259" s="10" t="n">
        <x:v>18.95</x:v>
      </x:c>
      <x:c r="J1259" s="10" t="n">
        <x:v>0</x:v>
      </x:c>
      <x:c r="K1259" s="10" t="n">
        <x:v>6.5</x:v>
      </x:c>
      <x:c r="L1259" s="10" t="n">
        <x:f>G1259*I1259</x:f>
        <x:v>18.95</x:v>
      </x:c>
      <x:c r="M1259" s="10" t="n">
        <x:f>ROUND((L1259-J1259)*H1259/G1259,2)</x:f>
        <x:v>0</x:v>
      </x:c>
      <x:c r="N1259" s="10" t="n">
        <x:f>L1259-J1259-M1259</x:f>
        <x:v>18.95</x:v>
      </x:c>
      <x:c r="O1259" s="10" t="n">
        <x:f>(G1259-H1259)*K1259</x:f>
        <x:v>6.5</x:v>
      </x:c>
      <x:c r="P1259" s="10" t="n">
        <x:f>N1259-O1259</x:f>
        <x:v>12.45</x:v>
      </x:c>
      <x:c r="Q1259" s="9" t="n">
        <x:f>A1259-WEEKDAY(A1259,2)+1</x:f>
        <x:v>46307</x:v>
      </x:c>
      <x:c r="R1259" s="2" t="str">
        <x:f>IF(AND(A1259&gt;='Review'!$B$4,A1259&lt;='Review'!$D$4),"Selected","Outside")</x:f>
        <x:v>Selected</x:v>
      </x:c>
    </x:row>
    <x:row r="1260" ht="20" customHeight="1">
      <x:c r="A1260" s="9" t="n">
        <x:v>46312</x:v>
      </x:c>
      <x:c r="B1260" s="2" t="str">
        <x:v>MM-1895</x:v>
      </x:c>
      <x:c r="C1260" s="2" t="str">
        <x:v>Organic Search</x:v>
      </x:c>
      <x:c r="D1260" s="2" t="str">
        <x:v>BOT-001</x:v>
      </x:c>
      <x:c r="E1260" s="2" t="str">
        <x:f>_xlfn.IFNA(VLOOKUP(D1260,'Products'!$A$7:$I$22,2,FALSE),"Unmapped")</x:f>
        <x:v>Trail water bottle</x:v>
      </x:c>
      <x:c r="F1260" s="2" t="str">
        <x:f>_xlfn.IFNA(VLOOKUP(D1260,'Products'!$A$7:$I$22,3,FALSE),"Unmapped")</x:f>
        <x:v>Drinkware</x:v>
      </x:c>
      <x:c r="G1260" s="2" t="n">
        <x:v>1</x:v>
      </x:c>
      <x:c r="H1260" s="2" t="n">
        <x:v>0</x:v>
      </x:c>
      <x:c r="I1260" s="10" t="n">
        <x:v>34.95</x:v>
      </x:c>
      <x:c r="J1260" s="10" t="n">
        <x:v>0</x:v>
      </x:c>
      <x:c r="K1260" s="10" t="n">
        <x:v>13.5</x:v>
      </x:c>
      <x:c r="L1260" s="10" t="n">
        <x:f>G1260*I1260</x:f>
        <x:v>34.95</x:v>
      </x:c>
      <x:c r="M1260" s="10" t="n">
        <x:f>ROUND((L1260-J1260)*H1260/G1260,2)</x:f>
        <x:v>0</x:v>
      </x:c>
      <x:c r="N1260" s="10" t="n">
        <x:f>L1260-J1260-M1260</x:f>
        <x:v>34.95</x:v>
      </x:c>
      <x:c r="O1260" s="10" t="n">
        <x:f>(G1260-H1260)*K1260</x:f>
        <x:v>13.5</x:v>
      </x:c>
      <x:c r="P1260" s="10" t="n">
        <x:f>N1260-O1260</x:f>
        <x:v>21.450000000000003</x:v>
      </x:c>
      <x:c r="Q1260" s="9" t="n">
        <x:f>A1260-WEEKDAY(A1260,2)+1</x:f>
        <x:v>46307</x:v>
      </x:c>
      <x:c r="R1260" s="2" t="str">
        <x:f>IF(AND(A1260&gt;='Review'!$B$4,A1260&lt;='Review'!$D$4),"Selected","Outside")</x:f>
        <x:v>Selected</x:v>
      </x:c>
    </x:row>
    <x:row r="1261" ht="20" customHeight="1">
      <x:c r="A1261" s="9" t="n">
        <x:v>46312</x:v>
      </x:c>
      <x:c r="B1261" s="2" t="str">
        <x:v>MM-1895</x:v>
      </x:c>
      <x:c r="C1261" s="2" t="str">
        <x:v>Organic Search</x:v>
      </x:c>
      <x:c r="D1261" s="2" t="str">
        <x:v>APP-002</x:v>
      </x:c>
      <x:c r="E1261" s="2" t="str">
        <x:f>_xlfn.IFNA(VLOOKUP(D1261,'Products'!$A$7:$I$22,2,FALSE),"Unmapped")</x:f>
        <x:v>Weekend hoodie</x:v>
      </x:c>
      <x:c r="F1261" s="2" t="str">
        <x:f>_xlfn.IFNA(VLOOKUP(D1261,'Products'!$A$7:$I$22,3,FALSE),"Unmapped")</x:f>
        <x:v>Apparel</x:v>
      </x:c>
      <x:c r="G1261" s="2" t="n">
        <x:v>3</x:v>
      </x:c>
      <x:c r="H1261" s="2" t="n">
        <x:v>0</x:v>
      </x:c>
      <x:c r="I1261" s="10" t="n">
        <x:v>69.95</x:v>
      </x:c>
      <x:c r="J1261" s="10" t="n">
        <x:v>0</x:v>
      </x:c>
      <x:c r="K1261" s="10" t="n">
        <x:v>28</x:v>
      </x:c>
      <x:c r="L1261" s="10" t="n">
        <x:f>G1261*I1261</x:f>
        <x:v>209.85000000000002</x:v>
      </x:c>
      <x:c r="M1261" s="10" t="n">
        <x:f>ROUND((L1261-J1261)*H1261/G1261,2)</x:f>
        <x:v>0</x:v>
      </x:c>
      <x:c r="N1261" s="10" t="n">
        <x:f>L1261-J1261-M1261</x:f>
        <x:v>209.85000000000002</x:v>
      </x:c>
      <x:c r="O1261" s="10" t="n">
        <x:f>(G1261-H1261)*K1261</x:f>
        <x:v>84</x:v>
      </x:c>
      <x:c r="P1261" s="10" t="n">
        <x:f>N1261-O1261</x:f>
        <x:v>125.85000000000002</x:v>
      </x:c>
      <x:c r="Q1261" s="9" t="n">
        <x:f>A1261-WEEKDAY(A1261,2)+1</x:f>
        <x:v>46307</x:v>
      </x:c>
      <x:c r="R1261" s="2" t="str">
        <x:f>IF(AND(A1261&gt;='Review'!$B$4,A1261&lt;='Review'!$D$4),"Selected","Outside")</x:f>
        <x:v>Selected</x:v>
      </x:c>
    </x:row>
    <x:row r="1262" ht="20" customHeight="1">
      <x:c r="A1262" s="9" t="n">
        <x:v>46312</x:v>
      </x:c>
      <x:c r="B1262" s="2" t="str">
        <x:v>MM-1881</x:v>
      </x:c>
      <x:c r="C1262" s="2" t="str">
        <x:v>Paid Social</x:v>
      </x:c>
      <x:c r="D1262" s="2" t="str">
        <x:v>GFT-002</x:v>
      </x:c>
      <x:c r="E1262" s="2" t="str">
        <x:f>_xlfn.IFNA(VLOOKUP(D1262,'Products'!$A$7:$I$22,2,FALSE),"Unmapped")</x:f>
        <x:v>Cozy weekend gift box</x:v>
      </x:c>
      <x:c r="F1262" s="2" t="str">
        <x:f>_xlfn.IFNA(VLOOKUP(D1262,'Products'!$A$7:$I$22,3,FALSE),"Unmapped")</x:f>
        <x:v>Gifts</x:v>
      </x:c>
      <x:c r="G1262" s="2" t="n">
        <x:v>2</x:v>
      </x:c>
      <x:c r="H1262" s="2" t="n">
        <x:v>0</x:v>
      </x:c>
      <x:c r="I1262" s="10" t="n">
        <x:v>79.95</x:v>
      </x:c>
      <x:c r="J1262" s="10" t="n">
        <x:v>0</x:v>
      </x:c>
      <x:c r="K1262" s="10" t="n">
        <x:v>32</x:v>
      </x:c>
      <x:c r="L1262" s="10" t="n">
        <x:f>G1262*I1262</x:f>
        <x:v>159.9</x:v>
      </x:c>
      <x:c r="M1262" s="10" t="n">
        <x:f>ROUND((L1262-J1262)*H1262/G1262,2)</x:f>
        <x:v>0</x:v>
      </x:c>
      <x:c r="N1262" s="10" t="n">
        <x:f>L1262-J1262-M1262</x:f>
        <x:v>159.9</x:v>
      </x:c>
      <x:c r="O1262" s="10" t="n">
        <x:f>(G1262-H1262)*K1262</x:f>
        <x:v>64</x:v>
      </x:c>
      <x:c r="P1262" s="10" t="n">
        <x:f>N1262-O1262</x:f>
        <x:v>95.9</x:v>
      </x:c>
      <x:c r="Q1262" s="9" t="n">
        <x:f>A1262-WEEKDAY(A1262,2)+1</x:f>
        <x:v>46307</x:v>
      </x:c>
      <x:c r="R1262" s="2" t="str">
        <x:f>IF(AND(A1262&gt;='Review'!$B$4,A1262&lt;='Review'!$D$4),"Selected","Outside")</x:f>
        <x:v>Selected</x:v>
      </x:c>
    </x:row>
    <x:row r="1263" ht="20" customHeight="1">
      <x:c r="A1263" s="9" t="n">
        <x:v>46312</x:v>
      </x:c>
      <x:c r="B1263" s="2" t="str">
        <x:v>MM-1894</x:v>
      </x:c>
      <x:c r="C1263" s="2" t="str">
        <x:v>Organic Search</x:v>
      </x:c>
      <x:c r="D1263" s="2" t="str">
        <x:v>GFT-002</x:v>
      </x:c>
      <x:c r="E1263" s="2" t="str">
        <x:f>_xlfn.IFNA(VLOOKUP(D1263,'Products'!$A$7:$I$22,2,FALSE),"Unmapped")</x:f>
        <x:v>Cozy weekend gift box</x:v>
      </x:c>
      <x:c r="F1263" s="2" t="str">
        <x:f>_xlfn.IFNA(VLOOKUP(D1263,'Products'!$A$7:$I$22,3,FALSE),"Unmapped")</x:f>
        <x:v>Gifts</x:v>
      </x:c>
      <x:c r="G1263" s="2" t="n">
        <x:v>2</x:v>
      </x:c>
      <x:c r="H1263" s="2" t="n">
        <x:v>0</x:v>
      </x:c>
      <x:c r="I1263" s="10" t="n">
        <x:v>79.95</x:v>
      </x:c>
      <x:c r="J1263" s="10" t="n">
        <x:v>15.99</x:v>
      </x:c>
      <x:c r="K1263" s="10" t="n">
        <x:v>32</x:v>
      </x:c>
      <x:c r="L1263" s="10" t="n">
        <x:f>G1263*I1263</x:f>
        <x:v>159.9</x:v>
      </x:c>
      <x:c r="M1263" s="10" t="n">
        <x:f>ROUND((L1263-J1263)*H1263/G1263,2)</x:f>
        <x:v>0</x:v>
      </x:c>
      <x:c r="N1263" s="10" t="n">
        <x:f>L1263-J1263-M1263</x:f>
        <x:v>143.91</x:v>
      </x:c>
      <x:c r="O1263" s="10" t="n">
        <x:f>(G1263-H1263)*K1263</x:f>
        <x:v>64</x:v>
      </x:c>
      <x:c r="P1263" s="10" t="n">
        <x:f>N1263-O1263</x:f>
        <x:v>79.91</x:v>
      </x:c>
      <x:c r="Q1263" s="9" t="n">
        <x:f>A1263-WEEKDAY(A1263,2)+1</x:f>
        <x:v>46307</x:v>
      </x:c>
      <x:c r="R1263" s="2" t="str">
        <x:f>IF(AND(A1263&gt;='Review'!$B$4,A1263&lt;='Review'!$D$4),"Selected","Outside")</x:f>
        <x:v>Selected</x:v>
      </x:c>
    </x:row>
    <x:row r="1264" ht="20" customHeight="1">
      <x:c r="A1264" s="9" t="n">
        <x:v>46312</x:v>
      </x:c>
      <x:c r="B1264" s="2" t="str">
        <x:v>MM-1894</x:v>
      </x:c>
      <x:c r="C1264" s="2" t="str">
        <x:v>Organic Search</x:v>
      </x:c>
      <x:c r="D1264" s="2" t="str">
        <x:v>HAT-001</x:v>
      </x:c>
      <x:c r="E1264" s="2" t="str">
        <x:f>_xlfn.IFNA(VLOOKUP(D1264,'Products'!$A$7:$I$22,2,FALSE),"Unmapped")</x:f>
        <x:v>Classic canvas cap</x:v>
      </x:c>
      <x:c r="F1264" s="2" t="str">
        <x:f>_xlfn.IFNA(VLOOKUP(D1264,'Products'!$A$7:$I$22,3,FALSE),"Unmapped")</x:f>
        <x:v>Accessories</x:v>
      </x:c>
      <x:c r="G1264" s="2" t="n">
        <x:v>2</x:v>
      </x:c>
      <x:c r="H1264" s="2" t="n">
        <x:v>0</x:v>
      </x:c>
      <x:c r="I1264" s="10" t="n">
        <x:v>24.95</x:v>
      </x:c>
      <x:c r="J1264" s="10" t="n">
        <x:v>0</x:v>
      </x:c>
      <x:c r="K1264" s="10" t="n">
        <x:v>8.5</x:v>
      </x:c>
      <x:c r="L1264" s="10" t="n">
        <x:f>G1264*I1264</x:f>
        <x:v>49.9</x:v>
      </x:c>
      <x:c r="M1264" s="10" t="n">
        <x:f>ROUND((L1264-J1264)*H1264/G1264,2)</x:f>
        <x:v>0</x:v>
      </x:c>
      <x:c r="N1264" s="10" t="n">
        <x:f>L1264-J1264-M1264</x:f>
        <x:v>49.9</x:v>
      </x:c>
      <x:c r="O1264" s="10" t="n">
        <x:f>(G1264-H1264)*K1264</x:f>
        <x:v>17</x:v>
      </x:c>
      <x:c r="P1264" s="10" t="n">
        <x:f>N1264-O1264</x:f>
        <x:v>32.9</x:v>
      </x:c>
      <x:c r="Q1264" s="9" t="n">
        <x:f>A1264-WEEKDAY(A1264,2)+1</x:f>
        <x:v>46307</x:v>
      </x:c>
      <x:c r="R1264" s="2" t="str">
        <x:f>IF(AND(A1264&gt;='Review'!$B$4,A1264&lt;='Review'!$D$4),"Selected","Outside")</x:f>
        <x:v>Selected</x:v>
      </x:c>
    </x:row>
    <x:row r="1265" ht="20" customHeight="1">
      <x:c r="A1265" s="9" t="n">
        <x:v>46312</x:v>
      </x:c>
      <x:c r="B1265" s="2" t="str">
        <x:v>MM-1883</x:v>
      </x:c>
      <x:c r="C1265" s="2" t="str">
        <x:v>Paid Social</x:v>
      </x:c>
      <x:c r="D1265" s="2" t="str">
        <x:v>TUM-001</x:v>
      </x:c>
      <x:c r="E1265" s="2" t="str">
        <x:f>_xlfn.IFNA(VLOOKUP(D1265,'Products'!$A$7:$I$22,2,FALSE),"Unmapped")</x:f>
        <x:v>Maple travel tumbler</x:v>
      </x:c>
      <x:c r="F1265" s="2" t="str">
        <x:f>_xlfn.IFNA(VLOOKUP(D1265,'Products'!$A$7:$I$22,3,FALSE),"Unmapped")</x:f>
        <x:v>Drinkware</x:v>
      </x:c>
      <x:c r="G1265" s="2" t="n">
        <x:v>1</x:v>
      </x:c>
      <x:c r="H1265" s="2" t="n">
        <x:v>0</x:v>
      </x:c>
      <x:c r="I1265" s="10" t="n">
        <x:v>32.95</x:v>
      </x:c>
      <x:c r="J1265" s="10" t="n">
        <x:v>0</x:v>
      </x:c>
      <x:c r="K1265" s="10" t="n">
        <x:v>12</x:v>
      </x:c>
      <x:c r="L1265" s="10" t="n">
        <x:f>G1265*I1265</x:f>
        <x:v>32.95</x:v>
      </x:c>
      <x:c r="M1265" s="10" t="n">
        <x:f>ROUND((L1265-J1265)*H1265/G1265,2)</x:f>
        <x:v>0</x:v>
      </x:c>
      <x:c r="N1265" s="10" t="n">
        <x:f>L1265-J1265-M1265</x:f>
        <x:v>32.95</x:v>
      </x:c>
      <x:c r="O1265" s="10" t="n">
        <x:f>(G1265-H1265)*K1265</x:f>
        <x:v>12</x:v>
      </x:c>
      <x:c r="P1265" s="10" t="n">
        <x:f>N1265-O1265</x:f>
        <x:v>20.950000000000003</x:v>
      </x:c>
      <x:c r="Q1265" s="9" t="n">
        <x:f>A1265-WEEKDAY(A1265,2)+1</x:f>
        <x:v>46307</x:v>
      </x:c>
      <x:c r="R1265" s="2" t="str">
        <x:f>IF(AND(A1265&gt;='Review'!$B$4,A1265&lt;='Review'!$D$4),"Selected","Outside")</x:f>
        <x:v>Selected</x:v>
      </x:c>
    </x:row>
    <x:row r="1266" ht="20" customHeight="1">
      <x:c r="A1266" s="9" t="n">
        <x:v>46312</x:v>
      </x:c>
      <x:c r="B1266" s="2" t="str">
        <x:v>MM-1883</x:v>
      </x:c>
      <x:c r="C1266" s="2" t="str">
        <x:v>Paid Social</x:v>
      </x:c>
      <x:c r="D1266" s="2" t="str">
        <x:v>TUM-002</x:v>
      </x:c>
      <x:c r="E1266" s="2" t="str">
        <x:f>_xlfn.IFNA(VLOOKUP(D1266,'Products'!$A$7:$I$22,2,FALSE),"Unmapped")</x:f>
        <x:v>Cold brew glass cup</x:v>
      </x:c>
      <x:c r="F1266" s="2" t="str">
        <x:f>_xlfn.IFNA(VLOOKUP(D1266,'Products'!$A$7:$I$22,3,FALSE),"Unmapped")</x:f>
        <x:v>Drinkware</x:v>
      </x:c>
      <x:c r="G1266" s="2" t="n">
        <x:v>1</x:v>
      </x:c>
      <x:c r="H1266" s="2" t="n">
        <x:v>0</x:v>
      </x:c>
      <x:c r="I1266" s="10" t="n">
        <x:v>24.95</x:v>
      </x:c>
      <x:c r="J1266" s="10" t="n">
        <x:v>0</x:v>
      </x:c>
      <x:c r="K1266" s="10" t="n">
        <x:v>9</x:v>
      </x:c>
      <x:c r="L1266" s="10" t="n">
        <x:f>G1266*I1266</x:f>
        <x:v>24.95</x:v>
      </x:c>
      <x:c r="M1266" s="10" t="n">
        <x:f>ROUND((L1266-J1266)*H1266/G1266,2)</x:f>
        <x:v>0</x:v>
      </x:c>
      <x:c r="N1266" s="10" t="n">
        <x:f>L1266-J1266-M1266</x:f>
        <x:v>24.95</x:v>
      </x:c>
      <x:c r="O1266" s="10" t="n">
        <x:f>(G1266-H1266)*K1266</x:f>
        <x:v>9</x:v>
      </x:c>
      <x:c r="P1266" s="10" t="n">
        <x:f>N1266-O1266</x:f>
        <x:v>15.95</x:v>
      </x:c>
      <x:c r="Q1266" s="9" t="n">
        <x:f>A1266-WEEKDAY(A1266,2)+1</x:f>
        <x:v>46307</x:v>
      </x:c>
      <x:c r="R1266" s="2" t="str">
        <x:f>IF(AND(A1266&gt;='Review'!$B$4,A1266&lt;='Review'!$D$4),"Selected","Outside")</x:f>
        <x:v>Selected</x:v>
      </x:c>
    </x:row>
    <x:row r="1267" ht="20" customHeight="1">
      <x:c r="A1267" s="9" t="n">
        <x:v>46312</x:v>
      </x:c>
      <x:c r="B1267" s="2" t="str">
        <x:v>MM-1891</x:v>
      </x:c>
      <x:c r="C1267" s="2" t="str">
        <x:v>Email</x:v>
      </x:c>
      <x:c r="D1267" s="2" t="str">
        <x:v>PIN-001</x:v>
      </x:c>
      <x:c r="E1267" s="2" t="str">
        <x:f>_xlfn.IFNA(VLOOKUP(D1267,'Products'!$A$7:$I$22,2,FALSE),"Unmapped")</x:f>
        <x:v>Coffee enamel pin</x:v>
      </x:c>
      <x:c r="F1267" s="2" t="str">
        <x:f>_xlfn.IFNA(VLOOKUP(D1267,'Products'!$A$7:$I$22,3,FALSE),"Unmapped")</x:f>
        <x:v>Accessories</x:v>
      </x:c>
      <x:c r="G1267" s="2" t="n">
        <x:v>1</x:v>
      </x:c>
      <x:c r="H1267" s="2" t="n">
        <x:v>0</x:v>
      </x:c>
      <x:c r="I1267" s="10" t="n">
        <x:v>9.95</x:v>
      </x:c>
      <x:c r="J1267" s="10" t="n">
        <x:v>0.99</x:v>
      </x:c>
      <x:c r="K1267" s="10" t="n">
        <x:v>2.5</x:v>
      </x:c>
      <x:c r="L1267" s="10" t="n">
        <x:f>G1267*I1267</x:f>
        <x:v>9.95</x:v>
      </x:c>
      <x:c r="M1267" s="10" t="n">
        <x:f>ROUND((L1267-J1267)*H1267/G1267,2)</x:f>
        <x:v>0</x:v>
      </x:c>
      <x:c r="N1267" s="10" t="n">
        <x:f>L1267-J1267-M1267</x:f>
        <x:v>8.959999999999999</x:v>
      </x:c>
      <x:c r="O1267" s="10" t="n">
        <x:f>(G1267-H1267)*K1267</x:f>
        <x:v>2.5</x:v>
      </x:c>
      <x:c r="P1267" s="10" t="n">
        <x:f>N1267-O1267</x:f>
        <x:v>6.459999999999999</x:v>
      </x:c>
      <x:c r="Q1267" s="9" t="n">
        <x:f>A1267-WEEKDAY(A1267,2)+1</x:f>
        <x:v>46307</x:v>
      </x:c>
      <x:c r="R1267" s="2" t="str">
        <x:f>IF(AND(A1267&gt;='Review'!$B$4,A1267&lt;='Review'!$D$4),"Selected","Outside")</x:f>
        <x:v>Selected</x:v>
      </x:c>
    </x:row>
    <x:row r="1268" ht="20" customHeight="1">
      <x:c r="A1268" s="9" t="n">
        <x:v>46312</x:v>
      </x:c>
      <x:c r="B1268" s="2" t="str">
        <x:v>MM-1889</x:v>
      </x:c>
      <x:c r="C1268" s="2" t="str">
        <x:v>Paid Social</x:v>
      </x:c>
      <x:c r="D1268" s="2" t="str">
        <x:v>TOTE-001</x:v>
      </x:c>
      <x:c r="E1268" s="2" t="str">
        <x:f>_xlfn.IFNA(VLOOKUP(D1268,'Products'!$A$7:$I$22,2,FALSE),"Unmapped")</x:f>
        <x:v>Market canvas tote</x:v>
      </x:c>
      <x:c r="F1268" s="2" t="str">
        <x:f>_xlfn.IFNA(VLOOKUP(D1268,'Products'!$A$7:$I$22,3,FALSE),"Unmapped")</x:f>
        <x:v>Accessories</x:v>
      </x:c>
      <x:c r="G1268" s="2" t="n">
        <x:v>1</x:v>
      </x:c>
      <x:c r="H1268" s="2" t="n">
        <x:v>0</x:v>
      </x:c>
      <x:c r="I1268" s="10" t="n">
        <x:v>19.95</x:v>
      </x:c>
      <x:c r="J1268" s="10" t="n">
        <x:v>0</x:v>
      </x:c>
      <x:c r="K1268" s="10" t="n">
        <x:v>6</x:v>
      </x:c>
      <x:c r="L1268" s="10" t="n">
        <x:f>G1268*I1268</x:f>
        <x:v>19.95</x:v>
      </x:c>
      <x:c r="M1268" s="10" t="n">
        <x:f>ROUND((L1268-J1268)*H1268/G1268,2)</x:f>
        <x:v>0</x:v>
      </x:c>
      <x:c r="N1268" s="10" t="n">
        <x:f>L1268-J1268-M1268</x:f>
        <x:v>19.95</x:v>
      </x:c>
      <x:c r="O1268" s="10" t="n">
        <x:f>(G1268-H1268)*K1268</x:f>
        <x:v>6</x:v>
      </x:c>
      <x:c r="P1268" s="10" t="n">
        <x:f>N1268-O1268</x:f>
        <x:v>13.95</x:v>
      </x:c>
      <x:c r="Q1268" s="9" t="n">
        <x:f>A1268-WEEKDAY(A1268,2)+1</x:f>
        <x:v>46307</x:v>
      </x:c>
      <x:c r="R1268" s="2" t="str">
        <x:f>IF(AND(A1268&gt;='Review'!$B$4,A1268&lt;='Review'!$D$4),"Selected","Outside")</x:f>
        <x:v>Selected</x:v>
      </x:c>
    </x:row>
    <x:row r="1269" ht="20" customHeight="1">
      <x:c r="A1269" s="9" t="n">
        <x:v>46312</x:v>
      </x:c>
      <x:c r="B1269" s="2" t="str">
        <x:v>MM-1878</x:v>
      </x:c>
      <x:c r="C1269" s="2" t="str">
        <x:v>Paid Social</x:v>
      </x:c>
      <x:c r="D1269" s="2" t="str">
        <x:v>KEY-001</x:v>
      </x:c>
      <x:c r="E1269" s="2" t="str">
        <x:f>_xlfn.IFNA(VLOOKUP(D1269,'Products'!$A$7:$I$22,2,FALSE),"Unmapped")</x:f>
        <x:v>Maple keyring</x:v>
      </x:c>
      <x:c r="F1269" s="2" t="str">
        <x:f>_xlfn.IFNA(VLOOKUP(D1269,'Products'!$A$7:$I$22,3,FALSE),"Unmapped")</x:f>
        <x:v>Accessories</x:v>
      </x:c>
      <x:c r="G1269" s="2" t="n">
        <x:v>1</x:v>
      </x:c>
      <x:c r="H1269" s="2" t="n">
        <x:v>0</x:v>
      </x:c>
      <x:c r="I1269" s="10" t="n">
        <x:v>12.95</x:v>
      </x:c>
      <x:c r="J1269" s="10" t="n">
        <x:v>0</x:v>
      </x:c>
      <x:c r="K1269" s="10" t="n">
        <x:v>3.5</x:v>
      </x:c>
      <x:c r="L1269" s="10" t="n">
        <x:f>G1269*I1269</x:f>
        <x:v>12.95</x:v>
      </x:c>
      <x:c r="M1269" s="10" t="n">
        <x:f>ROUND((L1269-J1269)*H1269/G1269,2)</x:f>
        <x:v>0</x:v>
      </x:c>
      <x:c r="N1269" s="10" t="n">
        <x:f>L1269-J1269-M1269</x:f>
        <x:v>12.95</x:v>
      </x:c>
      <x:c r="O1269" s="10" t="n">
        <x:f>(G1269-H1269)*K1269</x:f>
        <x:v>3.5</x:v>
      </x:c>
      <x:c r="P1269" s="10" t="n">
        <x:f>N1269-O1269</x:f>
        <x:v>9.45</x:v>
      </x:c>
      <x:c r="Q1269" s="9" t="n">
        <x:f>A1269-WEEKDAY(A1269,2)+1</x:f>
        <x:v>46307</x:v>
      </x:c>
      <x:c r="R1269" s="2" t="str">
        <x:f>IF(AND(A1269&gt;='Review'!$B$4,A1269&lt;='Review'!$D$4),"Selected","Outside")</x:f>
        <x:v>Selected</x:v>
      </x:c>
    </x:row>
    <x:row r="1270" ht="20" customHeight="1">
      <x:c r="A1270" s="9" t="n">
        <x:v>46312</x:v>
      </x:c>
      <x:c r="B1270" s="2" t="str">
        <x:v>MM-1878</x:v>
      </x:c>
      <x:c r="C1270" s="2" t="str">
        <x:v>Paid Social</x:v>
      </x:c>
      <x:c r="D1270" s="2" t="str">
        <x:v>TUM-002</x:v>
      </x:c>
      <x:c r="E1270" s="2" t="str">
        <x:f>_xlfn.IFNA(VLOOKUP(D1270,'Products'!$A$7:$I$22,2,FALSE),"Unmapped")</x:f>
        <x:v>Cold brew glass cup</x:v>
      </x:c>
      <x:c r="F1270" s="2" t="str">
        <x:f>_xlfn.IFNA(VLOOKUP(D1270,'Products'!$A$7:$I$22,3,FALSE),"Unmapped")</x:f>
        <x:v>Drinkware</x:v>
      </x:c>
      <x:c r="G1270" s="2" t="n">
        <x:v>1</x:v>
      </x:c>
      <x:c r="H1270" s="2" t="n">
        <x:v>0</x:v>
      </x:c>
      <x:c r="I1270" s="10" t="n">
        <x:v>24.95</x:v>
      </x:c>
      <x:c r="J1270" s="10" t="n">
        <x:v>0</x:v>
      </x:c>
      <x:c r="K1270" s="10" t="n">
        <x:v>9</x:v>
      </x:c>
      <x:c r="L1270" s="10" t="n">
        <x:f>G1270*I1270</x:f>
        <x:v>24.95</x:v>
      </x:c>
      <x:c r="M1270" s="10" t="n">
        <x:f>ROUND((L1270-J1270)*H1270/G1270,2)</x:f>
        <x:v>0</x:v>
      </x:c>
      <x:c r="N1270" s="10" t="n">
        <x:f>L1270-J1270-M1270</x:f>
        <x:v>24.95</x:v>
      </x:c>
      <x:c r="O1270" s="10" t="n">
        <x:f>(G1270-H1270)*K1270</x:f>
        <x:v>9</x:v>
      </x:c>
      <x:c r="P1270" s="10" t="n">
        <x:f>N1270-O1270</x:f>
        <x:v>15.95</x:v>
      </x:c>
      <x:c r="Q1270" s="9" t="n">
        <x:f>A1270-WEEKDAY(A1270,2)+1</x:f>
        <x:v>46307</x:v>
      </x:c>
      <x:c r="R1270" s="2" t="str">
        <x:f>IF(AND(A1270&gt;='Review'!$B$4,A1270&lt;='Review'!$D$4),"Selected","Outside")</x:f>
        <x:v>Selected</x:v>
      </x:c>
    </x:row>
    <x:row r="1271" ht="20" customHeight="1">
      <x:c r="A1271" s="9" t="n">
        <x:v>46312</x:v>
      </x:c>
      <x:c r="B1271" s="2" t="str">
        <x:v>MM-1892</x:v>
      </x:c>
      <x:c r="C1271" s="2" t="str">
        <x:v>Email</x:v>
      </x:c>
      <x:c r="D1271" s="2" t="str">
        <x:v>PIN-001</x:v>
      </x:c>
      <x:c r="E1271" s="2" t="str">
        <x:f>_xlfn.IFNA(VLOOKUP(D1271,'Products'!$A$7:$I$22,2,FALSE),"Unmapped")</x:f>
        <x:v>Coffee enamel pin</x:v>
      </x:c>
      <x:c r="F1271" s="2" t="str">
        <x:f>_xlfn.IFNA(VLOOKUP(D1271,'Products'!$A$7:$I$22,3,FALSE),"Unmapped")</x:f>
        <x:v>Accessories</x:v>
      </x:c>
      <x:c r="G1271" s="2" t="n">
        <x:v>1</x:v>
      </x:c>
      <x:c r="H1271" s="2" t="n">
        <x:v>0</x:v>
      </x:c>
      <x:c r="I1271" s="10" t="n">
        <x:v>9.95</x:v>
      </x:c>
      <x:c r="J1271" s="10" t="n">
        <x:v>0.99</x:v>
      </x:c>
      <x:c r="K1271" s="10" t="n">
        <x:v>2.5</x:v>
      </x:c>
      <x:c r="L1271" s="10" t="n">
        <x:f>G1271*I1271</x:f>
        <x:v>9.95</x:v>
      </x:c>
      <x:c r="M1271" s="10" t="n">
        <x:f>ROUND((L1271-J1271)*H1271/G1271,2)</x:f>
        <x:v>0</x:v>
      </x:c>
      <x:c r="N1271" s="10" t="n">
        <x:f>L1271-J1271-M1271</x:f>
        <x:v>8.959999999999999</x:v>
      </x:c>
      <x:c r="O1271" s="10" t="n">
        <x:f>(G1271-H1271)*K1271</x:f>
        <x:v>2.5</x:v>
      </x:c>
      <x:c r="P1271" s="10" t="n">
        <x:f>N1271-O1271</x:f>
        <x:v>6.459999999999999</x:v>
      </x:c>
      <x:c r="Q1271" s="9" t="n">
        <x:f>A1271-WEEKDAY(A1271,2)+1</x:f>
        <x:v>46307</x:v>
      </x:c>
      <x:c r="R1271" s="2" t="str">
        <x:f>IF(AND(A1271&gt;='Review'!$B$4,A1271&lt;='Review'!$D$4),"Selected","Outside")</x:f>
        <x:v>Selected</x:v>
      </x:c>
    </x:row>
    <x:row r="1272" ht="20" customHeight="1">
      <x:c r="A1272" s="9" t="n">
        <x:v>46312</x:v>
      </x:c>
      <x:c r="B1272" s="2" t="str">
        <x:v>MM-1875</x:v>
      </x:c>
      <x:c r="C1272" s="2" t="str">
        <x:v>Organic Search</x:v>
      </x:c>
      <x:c r="D1272" s="2" t="str">
        <x:v>APP-003</x:v>
      </x:c>
      <x:c r="E1272" s="2" t="str">
        <x:f>_xlfn.IFNA(VLOOKUP(D1272,'Products'!$A$7:$I$22,2,FALSE),"Unmapped")</x:f>
        <x:v>Coffee club tee</x:v>
      </x:c>
      <x:c r="F1272" s="2" t="str">
        <x:f>_xlfn.IFNA(VLOOKUP(D1272,'Products'!$A$7:$I$22,3,FALSE),"Unmapped")</x:f>
        <x:v>Apparel</x:v>
      </x:c>
      <x:c r="G1272" s="2" t="n">
        <x:v>1</x:v>
      </x:c>
      <x:c r="H1272" s="2" t="n">
        <x:v>0</x:v>
      </x:c>
      <x:c r="I1272" s="10" t="n">
        <x:v>29.95</x:v>
      </x:c>
      <x:c r="J1272" s="10" t="n">
        <x:v>0</x:v>
      </x:c>
      <x:c r="K1272" s="10" t="n">
        <x:v>10</x:v>
      </x:c>
      <x:c r="L1272" s="10" t="n">
        <x:f>G1272*I1272</x:f>
        <x:v>29.95</x:v>
      </x:c>
      <x:c r="M1272" s="10" t="n">
        <x:f>ROUND((L1272-J1272)*H1272/G1272,2)</x:f>
        <x:v>0</x:v>
      </x:c>
      <x:c r="N1272" s="10" t="n">
        <x:f>L1272-J1272-M1272</x:f>
        <x:v>29.95</x:v>
      </x:c>
      <x:c r="O1272" s="10" t="n">
        <x:f>(G1272-H1272)*K1272</x:f>
        <x:v>10</x:v>
      </x:c>
      <x:c r="P1272" s="10" t="n">
        <x:f>N1272-O1272</x:f>
        <x:v>19.95</x:v>
      </x:c>
      <x:c r="Q1272" s="9" t="n">
        <x:f>A1272-WEEKDAY(A1272,2)+1</x:f>
        <x:v>46307</x:v>
      </x:c>
      <x:c r="R1272" s="2" t="str">
        <x:f>IF(AND(A1272&gt;='Review'!$B$4,A1272&lt;='Review'!$D$4),"Selected","Outside")</x:f>
        <x:v>Selected</x:v>
      </x:c>
    </x:row>
    <x:row r="1273" ht="20" customHeight="1">
      <x:c r="A1273" s="9" t="n">
        <x:v>46312</x:v>
      </x:c>
      <x:c r="B1273" s="2" t="str">
        <x:v>MM-1877</x:v>
      </x:c>
      <x:c r="C1273" s="2" t="str">
        <x:v>Paid Social</x:v>
      </x:c>
      <x:c r="D1273" s="2" t="str">
        <x:v>GFT-001</x:v>
      </x:c>
      <x:c r="E1273" s="2" t="str">
        <x:f>_xlfn.IFNA(VLOOKUP(D1273,'Products'!$A$7:$I$22,2,FALSE),"Unmapped")</x:f>
        <x:v>Morning ritual gift set</x:v>
      </x:c>
      <x:c r="F1273" s="2" t="str">
        <x:f>_xlfn.IFNA(VLOOKUP(D1273,'Products'!$A$7:$I$22,3,FALSE),"Unmapped")</x:f>
        <x:v>Gifts</x:v>
      </x:c>
      <x:c r="G1273" s="2" t="n">
        <x:v>1</x:v>
      </x:c>
      <x:c r="H1273" s="2" t="n">
        <x:v>0</x:v>
      </x:c>
      <x:c r="I1273" s="10" t="n">
        <x:v>59.95</x:v>
      </x:c>
      <x:c r="J1273" s="10" t="n">
        <x:v>0</x:v>
      </x:c>
      <x:c r="K1273" s="10" t="n">
        <x:v>24</x:v>
      </x:c>
      <x:c r="L1273" s="10" t="n">
        <x:f>G1273*I1273</x:f>
        <x:v>59.95</x:v>
      </x:c>
      <x:c r="M1273" s="10" t="n">
        <x:f>ROUND((L1273-J1273)*H1273/G1273,2)</x:f>
        <x:v>0</x:v>
      </x:c>
      <x:c r="N1273" s="10" t="n">
        <x:f>L1273-J1273-M1273</x:f>
        <x:v>59.95</x:v>
      </x:c>
      <x:c r="O1273" s="10" t="n">
        <x:f>(G1273-H1273)*K1273</x:f>
        <x:v>24</x:v>
      </x:c>
      <x:c r="P1273" s="10" t="n">
        <x:f>N1273-O1273</x:f>
        <x:v>35.95</x:v>
      </x:c>
      <x:c r="Q1273" s="9" t="n">
        <x:f>A1273-WEEKDAY(A1273,2)+1</x:f>
        <x:v>46307</x:v>
      </x:c>
      <x:c r="R1273" s="2" t="str">
        <x:f>IF(AND(A1273&gt;='Review'!$B$4,A1273&lt;='Review'!$D$4),"Selected","Outside")</x:f>
        <x:v>Selected</x:v>
      </x:c>
    </x:row>
    <x:row r="1274" ht="20" customHeight="1">
      <x:c r="A1274" s="9" t="n">
        <x:v>46313</x:v>
      </x:c>
      <x:c r="B1274" s="2" t="str">
        <x:v>MM-1898</x:v>
      </x:c>
      <x:c r="C1274" s="2" t="str">
        <x:v>Direct</x:v>
      </x:c>
      <x:c r="D1274" s="2" t="str">
        <x:v>KEY-001</x:v>
      </x:c>
      <x:c r="E1274" s="2" t="str">
        <x:f>_xlfn.IFNA(VLOOKUP(D1274,'Products'!$A$7:$I$22,2,FALSE),"Unmapped")</x:f>
        <x:v>Maple keyring</x:v>
      </x:c>
      <x:c r="F1274" s="2" t="str">
        <x:f>_xlfn.IFNA(VLOOKUP(D1274,'Products'!$A$7:$I$22,3,FALSE),"Unmapped")</x:f>
        <x:v>Accessories</x:v>
      </x:c>
      <x:c r="G1274" s="2" t="n">
        <x:v>3</x:v>
      </x:c>
      <x:c r="H1274" s="2" t="n">
        <x:v>0</x:v>
      </x:c>
      <x:c r="I1274" s="10" t="n">
        <x:v>12.95</x:v>
      </x:c>
      <x:c r="J1274" s="10" t="n">
        <x:v>3.88</x:v>
      </x:c>
      <x:c r="K1274" s="10" t="n">
        <x:v>3.5</x:v>
      </x:c>
      <x:c r="L1274" s="10" t="n">
        <x:f>G1274*I1274</x:f>
        <x:v>38.849999999999994</x:v>
      </x:c>
      <x:c r="M1274" s="10" t="n">
        <x:f>ROUND((L1274-J1274)*H1274/G1274,2)</x:f>
        <x:v>0</x:v>
      </x:c>
      <x:c r="N1274" s="10" t="n">
        <x:f>L1274-J1274-M1274</x:f>
        <x:v>34.96999999999999</x:v>
      </x:c>
      <x:c r="O1274" s="10" t="n">
        <x:f>(G1274-H1274)*K1274</x:f>
        <x:v>10.5</x:v>
      </x:c>
      <x:c r="P1274" s="10" t="n">
        <x:f>N1274-O1274</x:f>
        <x:v>24.46999999999999</x:v>
      </x:c>
      <x:c r="Q1274" s="9" t="n">
        <x:f>A1274-WEEKDAY(A1274,2)+1</x:f>
        <x:v>46307</x:v>
      </x:c>
      <x:c r="R1274" s="2" t="str">
        <x:f>IF(AND(A1274&gt;='Review'!$B$4,A1274&lt;='Review'!$D$4),"Selected","Outside")</x:f>
        <x:v>Selected</x:v>
      </x:c>
    </x:row>
    <x:row r="1275" ht="20" customHeight="1">
      <x:c r="A1275" s="9" t="n">
        <x:v>46313</x:v>
      </x:c>
      <x:c r="B1275" s="2" t="str">
        <x:v>MM-1899</x:v>
      </x:c>
      <x:c r="C1275" s="2" t="str">
        <x:v>Email</x:v>
      </x:c>
      <x:c r="D1275" s="2" t="str">
        <x:v>APP-001</x:v>
      </x:c>
      <x:c r="E1275" s="2" t="str">
        <x:f>_xlfn.IFNA(VLOOKUP(D1275,'Products'!$A$7:$I$22,2,FALSE),"Unmapped")</x:f>
        <x:v>Everyday crewneck</x:v>
      </x:c>
      <x:c r="F1275" s="2" t="str">
        <x:f>_xlfn.IFNA(VLOOKUP(D1275,'Products'!$A$7:$I$22,3,FALSE),"Unmapped")</x:f>
        <x:v>Apparel</x:v>
      </x:c>
      <x:c r="G1275" s="2" t="n">
        <x:v>1</x:v>
      </x:c>
      <x:c r="H1275" s="2" t="n">
        <x:v>0</x:v>
      </x:c>
      <x:c r="I1275" s="10" t="n">
        <x:v>54.95</x:v>
      </x:c>
      <x:c r="J1275" s="10" t="n">
        <x:v>5.49</x:v>
      </x:c>
      <x:c r="K1275" s="10" t="n">
        <x:v>22</x:v>
      </x:c>
      <x:c r="L1275" s="10" t="n">
        <x:f>G1275*I1275</x:f>
        <x:v>54.95</x:v>
      </x:c>
      <x:c r="M1275" s="10" t="n">
        <x:f>ROUND((L1275-J1275)*H1275/G1275,2)</x:f>
        <x:v>0</x:v>
      </x:c>
      <x:c r="N1275" s="10" t="n">
        <x:f>L1275-J1275-M1275</x:f>
        <x:v>49.46</x:v>
      </x:c>
      <x:c r="O1275" s="10" t="n">
        <x:f>(G1275-H1275)*K1275</x:f>
        <x:v>22</x:v>
      </x:c>
      <x:c r="P1275" s="10" t="n">
        <x:f>N1275-O1275</x:f>
        <x:v>27.46</x:v>
      </x:c>
      <x:c r="Q1275" s="9" t="n">
        <x:f>A1275-WEEKDAY(A1275,2)+1</x:f>
        <x:v>46307</x:v>
      </x:c>
      <x:c r="R1275" s="2" t="str">
        <x:f>IF(AND(A1275&gt;='Review'!$B$4,A1275&lt;='Review'!$D$4),"Selected","Outside")</x:f>
        <x:v>Selected</x:v>
      </x:c>
    </x:row>
    <x:row r="1276" ht="20" customHeight="1">
      <x:c r="A1276" s="9" t="n">
        <x:v>46313</x:v>
      </x:c>
      <x:c r="B1276" s="2" t="str">
        <x:v>MM-1899</x:v>
      </x:c>
      <x:c r="C1276" s="2" t="str">
        <x:v>Email</x:v>
      </x:c>
      <x:c r="D1276" s="2" t="str">
        <x:v>BOT-001</x:v>
      </x:c>
      <x:c r="E1276" s="2" t="str">
        <x:f>_xlfn.IFNA(VLOOKUP(D1276,'Products'!$A$7:$I$22,2,FALSE),"Unmapped")</x:f>
        <x:v>Trail water bottle</x:v>
      </x:c>
      <x:c r="F1276" s="2" t="str">
        <x:f>_xlfn.IFNA(VLOOKUP(D1276,'Products'!$A$7:$I$22,3,FALSE),"Unmapped")</x:f>
        <x:v>Drinkware</x:v>
      </x:c>
      <x:c r="G1276" s="2" t="n">
        <x:v>3</x:v>
      </x:c>
      <x:c r="H1276" s="2" t="n">
        <x:v>0</x:v>
      </x:c>
      <x:c r="I1276" s="10" t="n">
        <x:v>34.95</x:v>
      </x:c>
      <x:c r="J1276" s="10" t="n">
        <x:v>10.48</x:v>
      </x:c>
      <x:c r="K1276" s="10" t="n">
        <x:v>13.5</x:v>
      </x:c>
      <x:c r="L1276" s="10" t="n">
        <x:f>G1276*I1276</x:f>
        <x:v>104.85000000000001</x:v>
      </x:c>
      <x:c r="M1276" s="10" t="n">
        <x:f>ROUND((L1276-J1276)*H1276/G1276,2)</x:f>
        <x:v>0</x:v>
      </x:c>
      <x:c r="N1276" s="10" t="n">
        <x:f>L1276-J1276-M1276</x:f>
        <x:v>94.37</x:v>
      </x:c>
      <x:c r="O1276" s="10" t="n">
        <x:f>(G1276-H1276)*K1276</x:f>
        <x:v>40.5</x:v>
      </x:c>
      <x:c r="P1276" s="10" t="n">
        <x:f>N1276-O1276</x:f>
        <x:v>53.870000000000005</x:v>
      </x:c>
      <x:c r="Q1276" s="9" t="n">
        <x:f>A1276-WEEKDAY(A1276,2)+1</x:f>
        <x:v>46307</x:v>
      </x:c>
      <x:c r="R1276" s="2" t="str">
        <x:f>IF(AND(A1276&gt;='Review'!$B$4,A1276&lt;='Review'!$D$4),"Selected","Outside")</x:f>
        <x:v>Selected</x:v>
      </x:c>
    </x:row>
    <x:row r="1277" ht="20" customHeight="1">
      <x:c r="A1277" s="9" t="n">
        <x:v>46313</x:v>
      </x:c>
      <x:c r="B1277" s="2" t="str">
        <x:v>MM-1902</x:v>
      </x:c>
      <x:c r="C1277" s="2" t="str">
        <x:v>Organic Search</x:v>
      </x:c>
      <x:c r="D1277" s="2" t="str">
        <x:v>MUG-001</x:v>
      </x:c>
      <x:c r="E1277" s="2" t="str">
        <x:f>_xlfn.IFNA(VLOOKUP(D1277,'Products'!$A$7:$I$22,2,FALSE),"Unmapped")</x:f>
        <x:v>Everyday ceramic mug</x:v>
      </x:c>
      <x:c r="F1277" s="2" t="str">
        <x:f>_xlfn.IFNA(VLOOKUP(D1277,'Products'!$A$7:$I$22,3,FALSE),"Unmapped")</x:f>
        <x:v>Drinkware</x:v>
      </x:c>
      <x:c r="G1277" s="2" t="n">
        <x:v>2</x:v>
      </x:c>
      <x:c r="H1277" s="2" t="n">
        <x:v>0</x:v>
      </x:c>
      <x:c r="I1277" s="10" t="n">
        <x:v>18.95</x:v>
      </x:c>
      <x:c r="J1277" s="10" t="n">
        <x:v>0</x:v>
      </x:c>
      <x:c r="K1277" s="10" t="n">
        <x:v>6.5</x:v>
      </x:c>
      <x:c r="L1277" s="10" t="n">
        <x:f>G1277*I1277</x:f>
        <x:v>37.9</x:v>
      </x:c>
      <x:c r="M1277" s="10" t="n">
        <x:f>ROUND((L1277-J1277)*H1277/G1277,2)</x:f>
        <x:v>0</x:v>
      </x:c>
      <x:c r="N1277" s="10" t="n">
        <x:f>L1277-J1277-M1277</x:f>
        <x:v>37.9</x:v>
      </x:c>
      <x:c r="O1277" s="10" t="n">
        <x:f>(G1277-H1277)*K1277</x:f>
        <x:v>13</x:v>
      </x:c>
      <x:c r="P1277" s="10" t="n">
        <x:f>N1277-O1277</x:f>
        <x:v>24.9</x:v>
      </x:c>
      <x:c r="Q1277" s="9" t="n">
        <x:f>A1277-WEEKDAY(A1277,2)+1</x:f>
        <x:v>46307</x:v>
      </x:c>
      <x:c r="R1277" s="2" t="str">
        <x:f>IF(AND(A1277&gt;='Review'!$B$4,A1277&lt;='Review'!$D$4),"Selected","Outside")</x:f>
        <x:v>Selected</x:v>
      </x:c>
    </x:row>
    <x:row r="1278" ht="20" customHeight="1">
      <x:c r="A1278" s="9" t="n">
        <x:v>46313</x:v>
      </x:c>
      <x:c r="B1278" s="2" t="str">
        <x:v>MM-1916</x:v>
      </x:c>
      <x:c r="C1278" s="2" t="str">
        <x:v>Email</x:v>
      </x:c>
      <x:c r="D1278" s="2" t="str">
        <x:v>PIN-001</x:v>
      </x:c>
      <x:c r="E1278" s="2" t="str">
        <x:f>_xlfn.IFNA(VLOOKUP(D1278,'Products'!$A$7:$I$22,2,FALSE),"Unmapped")</x:f>
        <x:v>Coffee enamel pin</x:v>
      </x:c>
      <x:c r="F1278" s="2" t="str">
        <x:f>_xlfn.IFNA(VLOOKUP(D1278,'Products'!$A$7:$I$22,3,FALSE),"Unmapped")</x:f>
        <x:v>Accessories</x:v>
      </x:c>
      <x:c r="G1278" s="2" t="n">
        <x:v>1</x:v>
      </x:c>
      <x:c r="H1278" s="2" t="n">
        <x:v>0</x:v>
      </x:c>
      <x:c r="I1278" s="10" t="n">
        <x:v>9.95</x:v>
      </x:c>
      <x:c r="J1278" s="10" t="n">
        <x:v>0.99</x:v>
      </x:c>
      <x:c r="K1278" s="10" t="n">
        <x:v>2.5</x:v>
      </x:c>
      <x:c r="L1278" s="10" t="n">
        <x:f>G1278*I1278</x:f>
        <x:v>9.95</x:v>
      </x:c>
      <x:c r="M1278" s="10" t="n">
        <x:f>ROUND((L1278-J1278)*H1278/G1278,2)</x:f>
        <x:v>0</x:v>
      </x:c>
      <x:c r="N1278" s="10" t="n">
        <x:f>L1278-J1278-M1278</x:f>
        <x:v>8.959999999999999</x:v>
      </x:c>
      <x:c r="O1278" s="10" t="n">
        <x:f>(G1278-H1278)*K1278</x:f>
        <x:v>2.5</x:v>
      </x:c>
      <x:c r="P1278" s="10" t="n">
        <x:f>N1278-O1278</x:f>
        <x:v>6.459999999999999</x:v>
      </x:c>
      <x:c r="Q1278" s="9" t="n">
        <x:f>A1278-WEEKDAY(A1278,2)+1</x:f>
        <x:v>46307</x:v>
      </x:c>
      <x:c r="R1278" s="2" t="str">
        <x:f>IF(AND(A1278&gt;='Review'!$B$4,A1278&lt;='Review'!$D$4),"Selected","Outside")</x:f>
        <x:v>Selected</x:v>
      </x:c>
    </x:row>
    <x:row r="1279" ht="20" customHeight="1">
      <x:c r="A1279" s="9" t="n">
        <x:v>46313</x:v>
      </x:c>
      <x:c r="B1279" s="2" t="str">
        <x:v>MM-1915</x:v>
      </x:c>
      <x:c r="C1279" s="2" t="str">
        <x:v>Email</x:v>
      </x:c>
      <x:c r="D1279" s="2" t="str">
        <x:v>APP-002</x:v>
      </x:c>
      <x:c r="E1279" s="2" t="str">
        <x:f>_xlfn.IFNA(VLOOKUP(D1279,'Products'!$A$7:$I$22,2,FALSE),"Unmapped")</x:f>
        <x:v>Weekend hoodie</x:v>
      </x:c>
      <x:c r="F1279" s="2" t="str">
        <x:f>_xlfn.IFNA(VLOOKUP(D1279,'Products'!$A$7:$I$22,3,FALSE),"Unmapped")</x:f>
        <x:v>Apparel</x:v>
      </x:c>
      <x:c r="G1279" s="2" t="n">
        <x:v>1</x:v>
      </x:c>
      <x:c r="H1279" s="2" t="n">
        <x:v>0</x:v>
      </x:c>
      <x:c r="I1279" s="10" t="n">
        <x:v>69.95</x:v>
      </x:c>
      <x:c r="J1279" s="10" t="n">
        <x:v>6.99</x:v>
      </x:c>
      <x:c r="K1279" s="10" t="n">
        <x:v>28</x:v>
      </x:c>
      <x:c r="L1279" s="10" t="n">
        <x:f>G1279*I1279</x:f>
        <x:v>69.95</x:v>
      </x:c>
      <x:c r="M1279" s="10" t="n">
        <x:f>ROUND((L1279-J1279)*H1279/G1279,2)</x:f>
        <x:v>0</x:v>
      </x:c>
      <x:c r="N1279" s="10" t="n">
        <x:f>L1279-J1279-M1279</x:f>
        <x:v>62.96</x:v>
      </x:c>
      <x:c r="O1279" s="10" t="n">
        <x:f>(G1279-H1279)*K1279</x:f>
        <x:v>28</x:v>
      </x:c>
      <x:c r="P1279" s="10" t="n">
        <x:f>N1279-O1279</x:f>
        <x:v>34.96</x:v>
      </x:c>
      <x:c r="Q1279" s="9" t="n">
        <x:f>A1279-WEEKDAY(A1279,2)+1</x:f>
        <x:v>46307</x:v>
      </x:c>
      <x:c r="R1279" s="2" t="str">
        <x:f>IF(AND(A1279&gt;='Review'!$B$4,A1279&lt;='Review'!$D$4),"Selected","Outside")</x:f>
        <x:v>Selected</x:v>
      </x:c>
    </x:row>
    <x:row r="1280" ht="20" customHeight="1">
      <x:c r="A1280" s="9" t="n">
        <x:v>46313</x:v>
      </x:c>
      <x:c r="B1280" s="2" t="str">
        <x:v>MM-1904</x:v>
      </x:c>
      <x:c r="C1280" s="2" t="str">
        <x:v>Organic Search</x:v>
      </x:c>
      <x:c r="D1280" s="2" t="str">
        <x:v>TUM-002</x:v>
      </x:c>
      <x:c r="E1280" s="2" t="str">
        <x:f>_xlfn.IFNA(VLOOKUP(D1280,'Products'!$A$7:$I$22,2,FALSE),"Unmapped")</x:f>
        <x:v>Cold brew glass cup</x:v>
      </x:c>
      <x:c r="F1280" s="2" t="str">
        <x:f>_xlfn.IFNA(VLOOKUP(D1280,'Products'!$A$7:$I$22,3,FALSE),"Unmapped")</x:f>
        <x:v>Drinkware</x:v>
      </x:c>
      <x:c r="G1280" s="2" t="n">
        <x:v>2</x:v>
      </x:c>
      <x:c r="H1280" s="2" t="n">
        <x:v>0</x:v>
      </x:c>
      <x:c r="I1280" s="10" t="n">
        <x:v>24.95</x:v>
      </x:c>
      <x:c r="J1280" s="10" t="n">
        <x:v>0</x:v>
      </x:c>
      <x:c r="K1280" s="10" t="n">
        <x:v>9</x:v>
      </x:c>
      <x:c r="L1280" s="10" t="n">
        <x:f>G1280*I1280</x:f>
        <x:v>49.9</x:v>
      </x:c>
      <x:c r="M1280" s="10" t="n">
        <x:f>ROUND((L1280-J1280)*H1280/G1280,2)</x:f>
        <x:v>0</x:v>
      </x:c>
      <x:c r="N1280" s="10" t="n">
        <x:f>L1280-J1280-M1280</x:f>
        <x:v>49.9</x:v>
      </x:c>
      <x:c r="O1280" s="10" t="n">
        <x:f>(G1280-H1280)*K1280</x:f>
        <x:v>18</x:v>
      </x:c>
      <x:c r="P1280" s="10" t="n">
        <x:f>N1280-O1280</x:f>
        <x:v>31.9</x:v>
      </x:c>
      <x:c r="Q1280" s="9" t="n">
        <x:f>A1280-WEEKDAY(A1280,2)+1</x:f>
        <x:v>46307</x:v>
      </x:c>
      <x:c r="R1280" s="2" t="str">
        <x:f>IF(AND(A1280&gt;='Review'!$B$4,A1280&lt;='Review'!$D$4),"Selected","Outside")</x:f>
        <x:v>Selected</x:v>
      </x:c>
    </x:row>
    <x:row r="1281" ht="20" customHeight="1">
      <x:c r="A1281" s="9" t="n">
        <x:v>46313</x:v>
      </x:c>
      <x:c r="B1281" s="2" t="str">
        <x:v>MM-1904</x:v>
      </x:c>
      <x:c r="C1281" s="2" t="str">
        <x:v>Organic Search</x:v>
      </x:c>
      <x:c r="D1281" s="2" t="str">
        <x:v>TUM-001</x:v>
      </x:c>
      <x:c r="E1281" s="2" t="str">
        <x:f>_xlfn.IFNA(VLOOKUP(D1281,'Products'!$A$7:$I$22,2,FALSE),"Unmapped")</x:f>
        <x:v>Maple travel tumbler</x:v>
      </x:c>
      <x:c r="F1281" s="2" t="str">
        <x:f>_xlfn.IFNA(VLOOKUP(D1281,'Products'!$A$7:$I$22,3,FALSE),"Unmapped")</x:f>
        <x:v>Drinkware</x:v>
      </x:c>
      <x:c r="G1281" s="2" t="n">
        <x:v>3</x:v>
      </x:c>
      <x:c r="H1281" s="2" t="n">
        <x:v>0</x:v>
      </x:c>
      <x:c r="I1281" s="10" t="n">
        <x:v>32.95</x:v>
      </x:c>
      <x:c r="J1281" s="10" t="n">
        <x:v>0</x:v>
      </x:c>
      <x:c r="K1281" s="10" t="n">
        <x:v>12</x:v>
      </x:c>
      <x:c r="L1281" s="10" t="n">
        <x:f>G1281*I1281</x:f>
        <x:v>98.85000000000001</x:v>
      </x:c>
      <x:c r="M1281" s="10" t="n">
        <x:f>ROUND((L1281-J1281)*H1281/G1281,2)</x:f>
        <x:v>0</x:v>
      </x:c>
      <x:c r="N1281" s="10" t="n">
        <x:f>L1281-J1281-M1281</x:f>
        <x:v>98.85000000000001</x:v>
      </x:c>
      <x:c r="O1281" s="10" t="n">
        <x:f>(G1281-H1281)*K1281</x:f>
        <x:v>36</x:v>
      </x:c>
      <x:c r="P1281" s="10" t="n">
        <x:f>N1281-O1281</x:f>
        <x:v>62.85000000000001</x:v>
      </x:c>
      <x:c r="Q1281" s="9" t="n">
        <x:f>A1281-WEEKDAY(A1281,2)+1</x:f>
        <x:v>46307</x:v>
      </x:c>
      <x:c r="R1281" s="2" t="str">
        <x:f>IF(AND(A1281&gt;='Review'!$B$4,A1281&lt;='Review'!$D$4),"Selected","Outside")</x:f>
        <x:v>Selected</x:v>
      </x:c>
    </x:row>
    <x:row r="1282" ht="20" customHeight="1">
      <x:c r="A1282" s="9" t="n">
        <x:v>46313</x:v>
      </x:c>
      <x:c r="B1282" s="2" t="str">
        <x:v>MM-1908</x:v>
      </x:c>
      <x:c r="C1282" s="2" t="str">
        <x:v>Email</x:v>
      </x:c>
      <x:c r="D1282" s="2" t="str">
        <x:v>APP-001</x:v>
      </x:c>
      <x:c r="E1282" s="2" t="str">
        <x:f>_xlfn.IFNA(VLOOKUP(D1282,'Products'!$A$7:$I$22,2,FALSE),"Unmapped")</x:f>
        <x:v>Everyday crewneck</x:v>
      </x:c>
      <x:c r="F1282" s="2" t="str">
        <x:f>_xlfn.IFNA(VLOOKUP(D1282,'Products'!$A$7:$I$22,3,FALSE),"Unmapped")</x:f>
        <x:v>Apparel</x:v>
      </x:c>
      <x:c r="G1282" s="2" t="n">
        <x:v>1</x:v>
      </x:c>
      <x:c r="H1282" s="2" t="n">
        <x:v>0</x:v>
      </x:c>
      <x:c r="I1282" s="10" t="n">
        <x:v>54.95</x:v>
      </x:c>
      <x:c r="J1282" s="10" t="n">
        <x:v>5.49</x:v>
      </x:c>
      <x:c r="K1282" s="10" t="n">
        <x:v>22</x:v>
      </x:c>
      <x:c r="L1282" s="10" t="n">
        <x:f>G1282*I1282</x:f>
        <x:v>54.95</x:v>
      </x:c>
      <x:c r="M1282" s="10" t="n">
        <x:f>ROUND((L1282-J1282)*H1282/G1282,2)</x:f>
        <x:v>0</x:v>
      </x:c>
      <x:c r="N1282" s="10" t="n">
        <x:f>L1282-J1282-M1282</x:f>
        <x:v>49.46</x:v>
      </x:c>
      <x:c r="O1282" s="10" t="n">
        <x:f>(G1282-H1282)*K1282</x:f>
        <x:v>22</x:v>
      </x:c>
      <x:c r="P1282" s="10" t="n">
        <x:f>N1282-O1282</x:f>
        <x:v>27.46</x:v>
      </x:c>
      <x:c r="Q1282" s="9" t="n">
        <x:f>A1282-WEEKDAY(A1282,2)+1</x:f>
        <x:v>46307</x:v>
      </x:c>
      <x:c r="R1282" s="2" t="str">
        <x:f>IF(AND(A1282&gt;='Review'!$B$4,A1282&lt;='Review'!$D$4),"Selected","Outside")</x:f>
        <x:v>Selected</x:v>
      </x:c>
    </x:row>
    <x:row r="1283" ht="20" customHeight="1">
      <x:c r="A1283" s="9" t="n">
        <x:v>46313</x:v>
      </x:c>
      <x:c r="B1283" s="2" t="str">
        <x:v>MM-1908</x:v>
      </x:c>
      <x:c r="C1283" s="2" t="str">
        <x:v>Email</x:v>
      </x:c>
      <x:c r="D1283" s="2" t="str">
        <x:v>MUG-002</x:v>
      </x:c>
      <x:c r="E1283" s="2" t="str">
        <x:f>_xlfn.IFNA(VLOOKUP(D1283,'Products'!$A$7:$I$22,2,FALSE),"Unmapped")</x:f>
        <x:v>Campfire enamel mug</x:v>
      </x:c>
      <x:c r="F1283" s="2" t="str">
        <x:f>_xlfn.IFNA(VLOOKUP(D1283,'Products'!$A$7:$I$22,3,FALSE),"Unmapped")</x:f>
        <x:v>Drinkware</x:v>
      </x:c>
      <x:c r="G1283" s="2" t="n">
        <x:v>1</x:v>
      </x:c>
      <x:c r="H1283" s="2" t="n">
        <x:v>0</x:v>
      </x:c>
      <x:c r="I1283" s="10" t="n">
        <x:v>22.95</x:v>
      </x:c>
      <x:c r="J1283" s="10" t="n">
        <x:v>2.29</x:v>
      </x:c>
      <x:c r="K1283" s="10" t="n">
        <x:v>8.5</x:v>
      </x:c>
      <x:c r="L1283" s="10" t="n">
        <x:f>G1283*I1283</x:f>
        <x:v>22.95</x:v>
      </x:c>
      <x:c r="M1283" s="10" t="n">
        <x:f>ROUND((L1283-J1283)*H1283/G1283,2)</x:f>
        <x:v>0</x:v>
      </x:c>
      <x:c r="N1283" s="10" t="n">
        <x:f>L1283-J1283-M1283</x:f>
        <x:v>20.66</x:v>
      </x:c>
      <x:c r="O1283" s="10" t="n">
        <x:f>(G1283-H1283)*K1283</x:f>
        <x:v>8.5</x:v>
      </x:c>
      <x:c r="P1283" s="10" t="n">
        <x:f>N1283-O1283</x:f>
        <x:v>12.16</x:v>
      </x:c>
      <x:c r="Q1283" s="9" t="n">
        <x:f>A1283-WEEKDAY(A1283,2)+1</x:f>
        <x:v>46307</x:v>
      </x:c>
      <x:c r="R1283" s="2" t="str">
        <x:f>IF(AND(A1283&gt;='Review'!$B$4,A1283&lt;='Review'!$D$4),"Selected","Outside")</x:f>
        <x:v>Selected</x:v>
      </x:c>
    </x:row>
    <x:row r="1284" ht="20" customHeight="1">
      <x:c r="A1284" s="9" t="n">
        <x:v>46313</x:v>
      </x:c>
      <x:c r="B1284" s="2" t="str">
        <x:v>MM-1908</x:v>
      </x:c>
      <x:c r="C1284" s="2" t="str">
        <x:v>Email</x:v>
      </x:c>
      <x:c r="D1284" s="2" t="str">
        <x:v>GFT-001</x:v>
      </x:c>
      <x:c r="E1284" s="2" t="str">
        <x:f>_xlfn.IFNA(VLOOKUP(D1284,'Products'!$A$7:$I$22,2,FALSE),"Unmapped")</x:f>
        <x:v>Morning ritual gift set</x:v>
      </x:c>
      <x:c r="F1284" s="2" t="str">
        <x:f>_xlfn.IFNA(VLOOKUP(D1284,'Products'!$A$7:$I$22,3,FALSE),"Unmapped")</x:f>
        <x:v>Gifts</x:v>
      </x:c>
      <x:c r="G1284" s="2" t="n">
        <x:v>1</x:v>
      </x:c>
      <x:c r="H1284" s="2" t="n">
        <x:v>0</x:v>
      </x:c>
      <x:c r="I1284" s="10" t="n">
        <x:v>59.95</x:v>
      </x:c>
      <x:c r="J1284" s="10" t="n">
        <x:v>5.99</x:v>
      </x:c>
      <x:c r="K1284" s="10" t="n">
        <x:v>24</x:v>
      </x:c>
      <x:c r="L1284" s="10" t="n">
        <x:f>G1284*I1284</x:f>
        <x:v>59.95</x:v>
      </x:c>
      <x:c r="M1284" s="10" t="n">
        <x:f>ROUND((L1284-J1284)*H1284/G1284,2)</x:f>
        <x:v>0</x:v>
      </x:c>
      <x:c r="N1284" s="10" t="n">
        <x:f>L1284-J1284-M1284</x:f>
        <x:v>53.96</x:v>
      </x:c>
      <x:c r="O1284" s="10" t="n">
        <x:f>(G1284-H1284)*K1284</x:f>
        <x:v>24</x:v>
      </x:c>
      <x:c r="P1284" s="10" t="n">
        <x:f>N1284-O1284</x:f>
        <x:v>29.96</x:v>
      </x:c>
      <x:c r="Q1284" s="9" t="n">
        <x:f>A1284-WEEKDAY(A1284,2)+1</x:f>
        <x:v>46307</x:v>
      </x:c>
      <x:c r="R1284" s="2" t="str">
        <x:f>IF(AND(A1284&gt;='Review'!$B$4,A1284&lt;='Review'!$D$4),"Selected","Outside")</x:f>
        <x:v>Selected</x:v>
      </x:c>
    </x:row>
    <x:row r="1285" ht="20" customHeight="1">
      <x:c r="A1285" s="9" t="n">
        <x:v>46313</x:v>
      </x:c>
      <x:c r="B1285" s="2" t="str">
        <x:v>MM-1905</x:v>
      </x:c>
      <x:c r="C1285" s="2" t="str">
        <x:v>Email</x:v>
      </x:c>
      <x:c r="D1285" s="2" t="str">
        <x:v>APP-003</x:v>
      </x:c>
      <x:c r="E1285" s="2" t="str">
        <x:f>_xlfn.IFNA(VLOOKUP(D1285,'Products'!$A$7:$I$22,2,FALSE),"Unmapped")</x:f>
        <x:v>Coffee club tee</x:v>
      </x:c>
      <x:c r="F1285" s="2" t="str">
        <x:f>_xlfn.IFNA(VLOOKUP(D1285,'Products'!$A$7:$I$22,3,FALSE),"Unmapped")</x:f>
        <x:v>Apparel</x:v>
      </x:c>
      <x:c r="G1285" s="2" t="n">
        <x:v>2</x:v>
      </x:c>
      <x:c r="H1285" s="2" t="n">
        <x:v>0</x:v>
      </x:c>
      <x:c r="I1285" s="10" t="n">
        <x:v>29.95</x:v>
      </x:c>
      <x:c r="J1285" s="10" t="n">
        <x:v>5.99</x:v>
      </x:c>
      <x:c r="K1285" s="10" t="n">
        <x:v>10</x:v>
      </x:c>
      <x:c r="L1285" s="10" t="n">
        <x:f>G1285*I1285</x:f>
        <x:v>59.9</x:v>
      </x:c>
      <x:c r="M1285" s="10" t="n">
        <x:f>ROUND((L1285-J1285)*H1285/G1285,2)</x:f>
        <x:v>0</x:v>
      </x:c>
      <x:c r="N1285" s="10" t="n">
        <x:f>L1285-J1285-M1285</x:f>
        <x:v>53.91</x:v>
      </x:c>
      <x:c r="O1285" s="10" t="n">
        <x:f>(G1285-H1285)*K1285</x:f>
        <x:v>20</x:v>
      </x:c>
      <x:c r="P1285" s="10" t="n">
        <x:f>N1285-O1285</x:f>
        <x:v>33.91</x:v>
      </x:c>
      <x:c r="Q1285" s="9" t="n">
        <x:f>A1285-WEEKDAY(A1285,2)+1</x:f>
        <x:v>46307</x:v>
      </x:c>
      <x:c r="R1285" s="2" t="str">
        <x:f>IF(AND(A1285&gt;='Review'!$B$4,A1285&lt;='Review'!$D$4),"Selected","Outside")</x:f>
        <x:v>Selected</x:v>
      </x:c>
    </x:row>
    <x:row r="1286" ht="20" customHeight="1">
      <x:c r="A1286" s="9" t="n">
        <x:v>46313</x:v>
      </x:c>
      <x:c r="B1286" s="2" t="str">
        <x:v>MM-1905</x:v>
      </x:c>
      <x:c r="C1286" s="2" t="str">
        <x:v>Email</x:v>
      </x:c>
      <x:c r="D1286" s="2" t="str">
        <x:v>BOT-001</x:v>
      </x:c>
      <x:c r="E1286" s="2" t="str">
        <x:f>_xlfn.IFNA(VLOOKUP(D1286,'Products'!$A$7:$I$22,2,FALSE),"Unmapped")</x:f>
        <x:v>Trail water bottle</x:v>
      </x:c>
      <x:c r="F1286" s="2" t="str">
        <x:f>_xlfn.IFNA(VLOOKUP(D1286,'Products'!$A$7:$I$22,3,FALSE),"Unmapped")</x:f>
        <x:v>Drinkware</x:v>
      </x:c>
      <x:c r="G1286" s="2" t="n">
        <x:v>1</x:v>
      </x:c>
      <x:c r="H1286" s="2" t="n">
        <x:v>0</x:v>
      </x:c>
      <x:c r="I1286" s="10" t="n">
        <x:v>34.95</x:v>
      </x:c>
      <x:c r="J1286" s="10" t="n">
        <x:v>3.49</x:v>
      </x:c>
      <x:c r="K1286" s="10" t="n">
        <x:v>13.5</x:v>
      </x:c>
      <x:c r="L1286" s="10" t="n">
        <x:f>G1286*I1286</x:f>
        <x:v>34.95</x:v>
      </x:c>
      <x:c r="M1286" s="10" t="n">
        <x:f>ROUND((L1286-J1286)*H1286/G1286,2)</x:f>
        <x:v>0</x:v>
      </x:c>
      <x:c r="N1286" s="10" t="n">
        <x:f>L1286-J1286-M1286</x:f>
        <x:v>31.46</x:v>
      </x:c>
      <x:c r="O1286" s="10" t="n">
        <x:f>(G1286-H1286)*K1286</x:f>
        <x:v>13.5</x:v>
      </x:c>
      <x:c r="P1286" s="10" t="n">
        <x:f>N1286-O1286</x:f>
        <x:v>17.96</x:v>
      </x:c>
      <x:c r="Q1286" s="9" t="n">
        <x:f>A1286-WEEKDAY(A1286,2)+1</x:f>
        <x:v>46307</x:v>
      </x:c>
      <x:c r="R1286" s="2" t="str">
        <x:f>IF(AND(A1286&gt;='Review'!$B$4,A1286&lt;='Review'!$D$4),"Selected","Outside")</x:f>
        <x:v>Selected</x:v>
      </x:c>
    </x:row>
    <x:row r="1287" ht="20" customHeight="1">
      <x:c r="A1287" s="9" t="n">
        <x:v>46313</x:v>
      </x:c>
      <x:c r="B1287" s="2" t="str">
        <x:v>MM-1909</x:v>
      </x:c>
      <x:c r="C1287" s="2" t="str">
        <x:v>Organic Search</x:v>
      </x:c>
      <x:c r="D1287" s="2" t="str">
        <x:v>BOT-001</x:v>
      </x:c>
      <x:c r="E1287" s="2" t="str">
        <x:f>_xlfn.IFNA(VLOOKUP(D1287,'Products'!$A$7:$I$22,2,FALSE),"Unmapped")</x:f>
        <x:v>Trail water bottle</x:v>
      </x:c>
      <x:c r="F1287" s="2" t="str">
        <x:f>_xlfn.IFNA(VLOOKUP(D1287,'Products'!$A$7:$I$22,3,FALSE),"Unmapped")</x:f>
        <x:v>Drinkware</x:v>
      </x:c>
      <x:c r="G1287" s="2" t="n">
        <x:v>2</x:v>
      </x:c>
      <x:c r="H1287" s="2" t="n">
        <x:v>0</x:v>
      </x:c>
      <x:c r="I1287" s="10" t="n">
        <x:v>34.95</x:v>
      </x:c>
      <x:c r="J1287" s="10" t="n">
        <x:v>0</x:v>
      </x:c>
      <x:c r="K1287" s="10" t="n">
        <x:v>13.5</x:v>
      </x:c>
      <x:c r="L1287" s="10" t="n">
        <x:f>G1287*I1287</x:f>
        <x:v>69.9</x:v>
      </x:c>
      <x:c r="M1287" s="10" t="n">
        <x:f>ROUND((L1287-J1287)*H1287/G1287,2)</x:f>
        <x:v>0</x:v>
      </x:c>
      <x:c r="N1287" s="10" t="n">
        <x:f>L1287-J1287-M1287</x:f>
        <x:v>69.9</x:v>
      </x:c>
      <x:c r="O1287" s="10" t="n">
        <x:f>(G1287-H1287)*K1287</x:f>
        <x:v>27</x:v>
      </x:c>
      <x:c r="P1287" s="10" t="n">
        <x:f>N1287-O1287</x:f>
        <x:v>42.900000000000006</x:v>
      </x:c>
      <x:c r="Q1287" s="9" t="n">
        <x:f>A1287-WEEKDAY(A1287,2)+1</x:f>
        <x:v>46307</x:v>
      </x:c>
      <x:c r="R1287" s="2" t="str">
        <x:f>IF(AND(A1287&gt;='Review'!$B$4,A1287&lt;='Review'!$D$4),"Selected","Outside")</x:f>
        <x:v>Selected</x:v>
      </x:c>
    </x:row>
    <x:row r="1288" ht="20" customHeight="1">
      <x:c r="A1288" s="9" t="n">
        <x:v>46313</x:v>
      </x:c>
      <x:c r="B1288" s="2" t="str">
        <x:v>MM-1909</x:v>
      </x:c>
      <x:c r="C1288" s="2" t="str">
        <x:v>Organic Search</x:v>
      </x:c>
      <x:c r="D1288" s="2" t="str">
        <x:v>GFT-001</x:v>
      </x:c>
      <x:c r="E1288" s="2" t="str">
        <x:f>_xlfn.IFNA(VLOOKUP(D1288,'Products'!$A$7:$I$22,2,FALSE),"Unmapped")</x:f>
        <x:v>Morning ritual gift set</x:v>
      </x:c>
      <x:c r="F1288" s="2" t="str">
        <x:f>_xlfn.IFNA(VLOOKUP(D1288,'Products'!$A$7:$I$22,3,FALSE),"Unmapped")</x:f>
        <x:v>Gifts</x:v>
      </x:c>
      <x:c r="G1288" s="2" t="n">
        <x:v>3</x:v>
      </x:c>
      <x:c r="H1288" s="2" t="n">
        <x:v>0</x:v>
      </x:c>
      <x:c r="I1288" s="10" t="n">
        <x:v>59.95</x:v>
      </x:c>
      <x:c r="J1288" s="10" t="n">
        <x:v>0</x:v>
      </x:c>
      <x:c r="K1288" s="10" t="n">
        <x:v>24</x:v>
      </x:c>
      <x:c r="L1288" s="10" t="n">
        <x:f>G1288*I1288</x:f>
        <x:v>179.85000000000002</x:v>
      </x:c>
      <x:c r="M1288" s="10" t="n">
        <x:f>ROUND((L1288-J1288)*H1288/G1288,2)</x:f>
        <x:v>0</x:v>
      </x:c>
      <x:c r="N1288" s="10" t="n">
        <x:f>L1288-J1288-M1288</x:f>
        <x:v>179.85000000000002</x:v>
      </x:c>
      <x:c r="O1288" s="10" t="n">
        <x:f>(G1288-H1288)*K1288</x:f>
        <x:v>72</x:v>
      </x:c>
      <x:c r="P1288" s="10" t="n">
        <x:f>N1288-O1288</x:f>
        <x:v>107.85000000000002</x:v>
      </x:c>
      <x:c r="Q1288" s="9" t="n">
        <x:f>A1288-WEEKDAY(A1288,2)+1</x:f>
        <x:v>46307</x:v>
      </x:c>
      <x:c r="R1288" s="2" t="str">
        <x:f>IF(AND(A1288&gt;='Review'!$B$4,A1288&lt;='Review'!$D$4),"Selected","Outside")</x:f>
        <x:v>Selected</x:v>
      </x:c>
    </x:row>
    <x:row r="1289" ht="20" customHeight="1">
      <x:c r="A1289" s="9" t="n">
        <x:v>46313</x:v>
      </x:c>
      <x:c r="B1289" s="2" t="str">
        <x:v>MM-1911</x:v>
      </x:c>
      <x:c r="C1289" s="2" t="str">
        <x:v>Email</x:v>
      </x:c>
      <x:c r="D1289" s="2" t="str">
        <x:v>GFT-002</x:v>
      </x:c>
      <x:c r="E1289" s="2" t="str">
        <x:f>_xlfn.IFNA(VLOOKUP(D1289,'Products'!$A$7:$I$22,2,FALSE),"Unmapped")</x:f>
        <x:v>Cozy weekend gift box</x:v>
      </x:c>
      <x:c r="F1289" s="2" t="str">
        <x:f>_xlfn.IFNA(VLOOKUP(D1289,'Products'!$A$7:$I$22,3,FALSE),"Unmapped")</x:f>
        <x:v>Gifts</x:v>
      </x:c>
      <x:c r="G1289" s="2" t="n">
        <x:v>2</x:v>
      </x:c>
      <x:c r="H1289" s="2" t="n">
        <x:v>0</x:v>
      </x:c>
      <x:c r="I1289" s="10" t="n">
        <x:v>79.95</x:v>
      </x:c>
      <x:c r="J1289" s="10" t="n">
        <x:v>15.99</x:v>
      </x:c>
      <x:c r="K1289" s="10" t="n">
        <x:v>32</x:v>
      </x:c>
      <x:c r="L1289" s="10" t="n">
        <x:f>G1289*I1289</x:f>
        <x:v>159.9</x:v>
      </x:c>
      <x:c r="M1289" s="10" t="n">
        <x:f>ROUND((L1289-J1289)*H1289/G1289,2)</x:f>
        <x:v>0</x:v>
      </x:c>
      <x:c r="N1289" s="10" t="n">
        <x:f>L1289-J1289-M1289</x:f>
        <x:v>143.91</x:v>
      </x:c>
      <x:c r="O1289" s="10" t="n">
        <x:f>(G1289-H1289)*K1289</x:f>
        <x:v>64</x:v>
      </x:c>
      <x:c r="P1289" s="10" t="n">
        <x:f>N1289-O1289</x:f>
        <x:v>79.91</x:v>
      </x:c>
      <x:c r="Q1289" s="9" t="n">
        <x:f>A1289-WEEKDAY(A1289,2)+1</x:f>
        <x:v>46307</x:v>
      </x:c>
      <x:c r="R1289" s="2" t="str">
        <x:f>IF(AND(A1289&gt;='Review'!$B$4,A1289&lt;='Review'!$D$4),"Selected","Outside")</x:f>
        <x:v>Selected</x:v>
      </x:c>
    </x:row>
    <x:row r="1290" ht="20" customHeight="1">
      <x:c r="A1290" s="9" t="n">
        <x:v>46313</x:v>
      </x:c>
      <x:c r="B1290" s="2" t="str">
        <x:v>MM-1913</x:v>
      </x:c>
      <x:c r="C1290" s="2" t="str">
        <x:v>Paid Social</x:v>
      </x:c>
      <x:c r="D1290" s="2" t="str">
        <x:v>GFT-001</x:v>
      </x:c>
      <x:c r="E1290" s="2" t="str">
        <x:f>_xlfn.IFNA(VLOOKUP(D1290,'Products'!$A$7:$I$22,2,FALSE),"Unmapped")</x:f>
        <x:v>Morning ritual gift set</x:v>
      </x:c>
      <x:c r="F1290" s="2" t="str">
        <x:f>_xlfn.IFNA(VLOOKUP(D1290,'Products'!$A$7:$I$22,3,FALSE),"Unmapped")</x:f>
        <x:v>Gifts</x:v>
      </x:c>
      <x:c r="G1290" s="2" t="n">
        <x:v>1</x:v>
      </x:c>
      <x:c r="H1290" s="2" t="n">
        <x:v>0</x:v>
      </x:c>
      <x:c r="I1290" s="10" t="n">
        <x:v>59.95</x:v>
      </x:c>
      <x:c r="J1290" s="10" t="n">
        <x:v>5.99</x:v>
      </x:c>
      <x:c r="K1290" s="10" t="n">
        <x:v>24</x:v>
      </x:c>
      <x:c r="L1290" s="10" t="n">
        <x:f>G1290*I1290</x:f>
        <x:v>59.95</x:v>
      </x:c>
      <x:c r="M1290" s="10" t="n">
        <x:f>ROUND((L1290-J1290)*H1290/G1290,2)</x:f>
        <x:v>0</x:v>
      </x:c>
      <x:c r="N1290" s="10" t="n">
        <x:f>L1290-J1290-M1290</x:f>
        <x:v>53.96</x:v>
      </x:c>
      <x:c r="O1290" s="10" t="n">
        <x:f>(G1290-H1290)*K1290</x:f>
        <x:v>24</x:v>
      </x:c>
      <x:c r="P1290" s="10" t="n">
        <x:f>N1290-O1290</x:f>
        <x:v>29.96</x:v>
      </x:c>
      <x:c r="Q1290" s="9" t="n">
        <x:f>A1290-WEEKDAY(A1290,2)+1</x:f>
        <x:v>46307</x:v>
      </x:c>
      <x:c r="R1290" s="2" t="str">
        <x:f>IF(AND(A1290&gt;='Review'!$B$4,A1290&lt;='Review'!$D$4),"Selected","Outside")</x:f>
        <x:v>Selected</x:v>
      </x:c>
    </x:row>
    <x:row r="1291" ht="20" customHeight="1">
      <x:c r="A1291" s="9" t="n">
        <x:v>46313</x:v>
      </x:c>
      <x:c r="B1291" s="2" t="str">
        <x:v>MM-1914</x:v>
      </x:c>
      <x:c r="C1291" s="2" t="str">
        <x:v>Paid Social</x:v>
      </x:c>
      <x:c r="D1291" s="2" t="str">
        <x:v>APP-002</x:v>
      </x:c>
      <x:c r="E1291" s="2" t="str">
        <x:f>_xlfn.IFNA(VLOOKUP(D1291,'Products'!$A$7:$I$22,2,FALSE),"Unmapped")</x:f>
        <x:v>Weekend hoodie</x:v>
      </x:c>
      <x:c r="F1291" s="2" t="str">
        <x:f>_xlfn.IFNA(VLOOKUP(D1291,'Products'!$A$7:$I$22,3,FALSE),"Unmapped")</x:f>
        <x:v>Apparel</x:v>
      </x:c>
      <x:c r="G1291" s="2" t="n">
        <x:v>3</x:v>
      </x:c>
      <x:c r="H1291" s="2" t="n">
        <x:v>0</x:v>
      </x:c>
      <x:c r="I1291" s="10" t="n">
        <x:v>69.95</x:v>
      </x:c>
      <x:c r="J1291" s="10" t="n">
        <x:v>0</x:v>
      </x:c>
      <x:c r="K1291" s="10" t="n">
        <x:v>28</x:v>
      </x:c>
      <x:c r="L1291" s="10" t="n">
        <x:f>G1291*I1291</x:f>
        <x:v>209.85000000000002</x:v>
      </x:c>
      <x:c r="M1291" s="10" t="n">
        <x:f>ROUND((L1291-J1291)*H1291/G1291,2)</x:f>
        <x:v>0</x:v>
      </x:c>
      <x:c r="N1291" s="10" t="n">
        <x:f>L1291-J1291-M1291</x:f>
        <x:v>209.85000000000002</x:v>
      </x:c>
      <x:c r="O1291" s="10" t="n">
        <x:f>(G1291-H1291)*K1291</x:f>
        <x:v>84</x:v>
      </x:c>
      <x:c r="P1291" s="10" t="n">
        <x:f>N1291-O1291</x:f>
        <x:v>125.85000000000002</x:v>
      </x:c>
      <x:c r="Q1291" s="9" t="n">
        <x:f>A1291-WEEKDAY(A1291,2)+1</x:f>
        <x:v>46307</x:v>
      </x:c>
      <x:c r="R1291" s="2" t="str">
        <x:f>IF(AND(A1291&gt;='Review'!$B$4,A1291&lt;='Review'!$D$4),"Selected","Outside")</x:f>
        <x:v>Selected</x:v>
      </x:c>
    </x:row>
    <x:row r="1292" ht="20" customHeight="1">
      <x:c r="A1292" s="9" t="n">
        <x:v>46313</x:v>
      </x:c>
      <x:c r="B1292" s="2" t="str">
        <x:v>MM-1914</x:v>
      </x:c>
      <x:c r="C1292" s="2" t="str">
        <x:v>Paid Social</x:v>
      </x:c>
      <x:c r="D1292" s="2" t="str">
        <x:v>GFT-002</x:v>
      </x:c>
      <x:c r="E1292" s="2" t="str">
        <x:f>_xlfn.IFNA(VLOOKUP(D1292,'Products'!$A$7:$I$22,2,FALSE),"Unmapped")</x:f>
        <x:v>Cozy weekend gift box</x:v>
      </x:c>
      <x:c r="F1292" s="2" t="str">
        <x:f>_xlfn.IFNA(VLOOKUP(D1292,'Products'!$A$7:$I$22,3,FALSE),"Unmapped")</x:f>
        <x:v>Gifts</x:v>
      </x:c>
      <x:c r="G1292" s="2" t="n">
        <x:v>2</x:v>
      </x:c>
      <x:c r="H1292" s="2" t="n">
        <x:v>0</x:v>
      </x:c>
      <x:c r="I1292" s="10" t="n">
        <x:v>79.95</x:v>
      </x:c>
      <x:c r="J1292" s="10" t="n">
        <x:v>0</x:v>
      </x:c>
      <x:c r="K1292" s="10" t="n">
        <x:v>32</x:v>
      </x:c>
      <x:c r="L1292" s="10" t="n">
        <x:f>G1292*I1292</x:f>
        <x:v>159.9</x:v>
      </x:c>
      <x:c r="M1292" s="10" t="n">
        <x:f>ROUND((L1292-J1292)*H1292/G1292,2)</x:f>
        <x:v>0</x:v>
      </x:c>
      <x:c r="N1292" s="10" t="n">
        <x:f>L1292-J1292-M1292</x:f>
        <x:v>159.9</x:v>
      </x:c>
      <x:c r="O1292" s="10" t="n">
        <x:f>(G1292-H1292)*K1292</x:f>
        <x:v>64</x:v>
      </x:c>
      <x:c r="P1292" s="10" t="n">
        <x:f>N1292-O1292</x:f>
        <x:v>95.9</x:v>
      </x:c>
      <x:c r="Q1292" s="9" t="n">
        <x:f>A1292-WEEKDAY(A1292,2)+1</x:f>
        <x:v>46307</x:v>
      </x:c>
      <x:c r="R1292" s="2" t="str">
        <x:f>IF(AND(A1292&gt;='Review'!$B$4,A1292&lt;='Review'!$D$4),"Selected","Outside")</x:f>
        <x:v>Selected</x:v>
      </x:c>
    </x:row>
    <x:row r="1293" ht="20" customHeight="1">
      <x:c r="A1293" s="9" t="n">
        <x:v>46313</x:v>
      </x:c>
      <x:c r="B1293" s="2" t="str">
        <x:v>MM-1917</x:v>
      </x:c>
      <x:c r="C1293" s="2" t="str">
        <x:v>Organic Search</x:v>
      </x:c>
      <x:c r="D1293" s="2" t="str">
        <x:v>GFT-002</x:v>
      </x:c>
      <x:c r="E1293" s="2" t="str">
        <x:f>_xlfn.IFNA(VLOOKUP(D1293,'Products'!$A$7:$I$22,2,FALSE),"Unmapped")</x:f>
        <x:v>Cozy weekend gift box</x:v>
      </x:c>
      <x:c r="F1293" s="2" t="str">
        <x:f>_xlfn.IFNA(VLOOKUP(D1293,'Products'!$A$7:$I$22,3,FALSE),"Unmapped")</x:f>
        <x:v>Gifts</x:v>
      </x:c>
      <x:c r="G1293" s="2" t="n">
        <x:v>1</x:v>
      </x:c>
      <x:c r="H1293" s="2" t="n">
        <x:v>0</x:v>
      </x:c>
      <x:c r="I1293" s="10" t="n">
        <x:v>79.95</x:v>
      </x:c>
      <x:c r="J1293" s="10" t="n">
        <x:v>0</x:v>
      </x:c>
      <x:c r="K1293" s="10" t="n">
        <x:v>32</x:v>
      </x:c>
      <x:c r="L1293" s="10" t="n">
        <x:f>G1293*I1293</x:f>
        <x:v>79.95</x:v>
      </x:c>
      <x:c r="M1293" s="10" t="n">
        <x:f>ROUND((L1293-J1293)*H1293/G1293,2)</x:f>
        <x:v>0</x:v>
      </x:c>
      <x:c r="N1293" s="10" t="n">
        <x:f>L1293-J1293-M1293</x:f>
        <x:v>79.95</x:v>
      </x:c>
      <x:c r="O1293" s="10" t="n">
        <x:f>(G1293-H1293)*K1293</x:f>
        <x:v>32</x:v>
      </x:c>
      <x:c r="P1293" s="10" t="n">
        <x:f>N1293-O1293</x:f>
        <x:v>47.95</x:v>
      </x:c>
      <x:c r="Q1293" s="9" t="n">
        <x:f>A1293-WEEKDAY(A1293,2)+1</x:f>
        <x:v>46307</x:v>
      </x:c>
      <x:c r="R1293" s="2" t="str">
        <x:f>IF(AND(A1293&gt;='Review'!$B$4,A1293&lt;='Review'!$D$4),"Selected","Outside")</x:f>
        <x:v>Selected</x:v>
      </x:c>
    </x:row>
    <x:row r="1294" ht="20" customHeight="1">
      <x:c r="A1294" s="9" t="n">
        <x:v>46313</x:v>
      </x:c>
      <x:c r="B1294" s="2" t="str">
        <x:v>MM-1901</x:v>
      </x:c>
      <x:c r="C1294" s="2" t="str">
        <x:v>Organic Search</x:v>
      </x:c>
      <x:c r="D1294" s="2" t="str">
        <x:v>MUG-001</x:v>
      </x:c>
      <x:c r="E1294" s="2" t="str">
        <x:f>_xlfn.IFNA(VLOOKUP(D1294,'Products'!$A$7:$I$22,2,FALSE),"Unmapped")</x:f>
        <x:v>Everyday ceramic mug</x:v>
      </x:c>
      <x:c r="F1294" s="2" t="str">
        <x:f>_xlfn.IFNA(VLOOKUP(D1294,'Products'!$A$7:$I$22,3,FALSE),"Unmapped")</x:f>
        <x:v>Drinkware</x:v>
      </x:c>
      <x:c r="G1294" s="2" t="n">
        <x:v>1</x:v>
      </x:c>
      <x:c r="H1294" s="2" t="n">
        <x:v>0</x:v>
      </x:c>
      <x:c r="I1294" s="10" t="n">
        <x:v>18.95</x:v>
      </x:c>
      <x:c r="J1294" s="10" t="n">
        <x:v>0</x:v>
      </x:c>
      <x:c r="K1294" s="10" t="n">
        <x:v>6.5</x:v>
      </x:c>
      <x:c r="L1294" s="10" t="n">
        <x:f>G1294*I1294</x:f>
        <x:v>18.95</x:v>
      </x:c>
      <x:c r="M1294" s="10" t="n">
        <x:f>ROUND((L1294-J1294)*H1294/G1294,2)</x:f>
        <x:v>0</x:v>
      </x:c>
      <x:c r="N1294" s="10" t="n">
        <x:f>L1294-J1294-M1294</x:f>
        <x:v>18.95</x:v>
      </x:c>
      <x:c r="O1294" s="10" t="n">
        <x:f>(G1294-H1294)*K1294</x:f>
        <x:v>6.5</x:v>
      </x:c>
      <x:c r="P1294" s="10" t="n">
        <x:f>N1294-O1294</x:f>
        <x:v>12.45</x:v>
      </x:c>
      <x:c r="Q1294" s="9" t="n">
        <x:f>A1294-WEEKDAY(A1294,2)+1</x:f>
        <x:v>46307</x:v>
      </x:c>
      <x:c r="R1294" s="2" t="str">
        <x:f>IF(AND(A1294&gt;='Review'!$B$4,A1294&lt;='Review'!$D$4),"Selected","Outside")</x:f>
        <x:v>Selected</x:v>
      </x:c>
    </x:row>
    <x:row r="1295" ht="20" customHeight="1">
      <x:c r="A1295" s="9" t="n">
        <x:v>46313</x:v>
      </x:c>
      <x:c r="B1295" s="2" t="str">
        <x:v>MM-1901</x:v>
      </x:c>
      <x:c r="C1295" s="2" t="str">
        <x:v>Organic Search</x:v>
      </x:c>
      <x:c r="D1295" s="2" t="str">
        <x:v>APP-001</x:v>
      </x:c>
      <x:c r="E1295" s="2" t="str">
        <x:f>_xlfn.IFNA(VLOOKUP(D1295,'Products'!$A$7:$I$22,2,FALSE),"Unmapped")</x:f>
        <x:v>Everyday crewneck</x:v>
      </x:c>
      <x:c r="F1295" s="2" t="str">
        <x:f>_xlfn.IFNA(VLOOKUP(D1295,'Products'!$A$7:$I$22,3,FALSE),"Unmapped")</x:f>
        <x:v>Apparel</x:v>
      </x:c>
      <x:c r="G1295" s="2" t="n">
        <x:v>1</x:v>
      </x:c>
      <x:c r="H1295" s="2" t="n">
        <x:v>0</x:v>
      </x:c>
      <x:c r="I1295" s="10" t="n">
        <x:v>54.95</x:v>
      </x:c>
      <x:c r="J1295" s="10" t="n">
        <x:v>5.49</x:v>
      </x:c>
      <x:c r="K1295" s="10" t="n">
        <x:v>22</x:v>
      </x:c>
      <x:c r="L1295" s="10" t="n">
        <x:f>G1295*I1295</x:f>
        <x:v>54.95</x:v>
      </x:c>
      <x:c r="M1295" s="10" t="n">
        <x:f>ROUND((L1295-J1295)*H1295/G1295,2)</x:f>
        <x:v>0</x:v>
      </x:c>
      <x:c r="N1295" s="10" t="n">
        <x:f>L1295-J1295-M1295</x:f>
        <x:v>49.46</x:v>
      </x:c>
      <x:c r="O1295" s="10" t="n">
        <x:f>(G1295-H1295)*K1295</x:f>
        <x:v>22</x:v>
      </x:c>
      <x:c r="P1295" s="10" t="n">
        <x:f>N1295-O1295</x:f>
        <x:v>27.46</x:v>
      </x:c>
      <x:c r="Q1295" s="9" t="n">
        <x:f>A1295-WEEKDAY(A1295,2)+1</x:f>
        <x:v>46307</x:v>
      </x:c>
      <x:c r="R1295" s="2" t="str">
        <x:f>IF(AND(A1295&gt;='Review'!$B$4,A1295&lt;='Review'!$D$4),"Selected","Outside")</x:f>
        <x:v>Selected</x:v>
      </x:c>
    </x:row>
    <x:row r="1296" ht="20" customHeight="1">
      <x:c r="A1296" s="9" t="n">
        <x:v>46313</x:v>
      </x:c>
      <x:c r="B1296" s="2" t="str">
        <x:v>MM-1906</x:v>
      </x:c>
      <x:c r="C1296" s="2" t="str">
        <x:v>Paid Social</x:v>
      </x:c>
      <x:c r="D1296" s="2" t="str">
        <x:v>KEY-001</x:v>
      </x:c>
      <x:c r="E1296" s="2" t="str">
        <x:f>_xlfn.IFNA(VLOOKUP(D1296,'Products'!$A$7:$I$22,2,FALSE),"Unmapped")</x:f>
        <x:v>Maple keyring</x:v>
      </x:c>
      <x:c r="F1296" s="2" t="str">
        <x:f>_xlfn.IFNA(VLOOKUP(D1296,'Products'!$A$7:$I$22,3,FALSE),"Unmapped")</x:f>
        <x:v>Accessories</x:v>
      </x:c>
      <x:c r="G1296" s="2" t="n">
        <x:v>1</x:v>
      </x:c>
      <x:c r="H1296" s="2" t="n">
        <x:v>0</x:v>
      </x:c>
      <x:c r="I1296" s="10" t="n">
        <x:v>12.95</x:v>
      </x:c>
      <x:c r="J1296" s="10" t="n">
        <x:v>0</x:v>
      </x:c>
      <x:c r="K1296" s="10" t="n">
        <x:v>3.5</x:v>
      </x:c>
      <x:c r="L1296" s="10" t="n">
        <x:f>G1296*I1296</x:f>
        <x:v>12.95</x:v>
      </x:c>
      <x:c r="M1296" s="10" t="n">
        <x:f>ROUND((L1296-J1296)*H1296/G1296,2)</x:f>
        <x:v>0</x:v>
      </x:c>
      <x:c r="N1296" s="10" t="n">
        <x:f>L1296-J1296-M1296</x:f>
        <x:v>12.95</x:v>
      </x:c>
      <x:c r="O1296" s="10" t="n">
        <x:f>(G1296-H1296)*K1296</x:f>
        <x:v>3.5</x:v>
      </x:c>
      <x:c r="P1296" s="10" t="n">
        <x:f>N1296-O1296</x:f>
        <x:v>9.45</x:v>
      </x:c>
      <x:c r="Q1296" s="9" t="n">
        <x:f>A1296-WEEKDAY(A1296,2)+1</x:f>
        <x:v>46307</x:v>
      </x:c>
      <x:c r="R1296" s="2" t="str">
        <x:f>IF(AND(A1296&gt;='Review'!$B$4,A1296&lt;='Review'!$D$4),"Selected","Outside")</x:f>
        <x:v>Selected</x:v>
      </x:c>
    </x:row>
    <x:row r="1297" ht="20" customHeight="1">
      <x:c r="A1297" s="9" t="n">
        <x:v>46313</x:v>
      </x:c>
      <x:c r="B1297" s="2" t="str">
        <x:v>MM-1906</x:v>
      </x:c>
      <x:c r="C1297" s="2" t="str">
        <x:v>Paid Social</x:v>
      </x:c>
      <x:c r="D1297" s="2" t="str">
        <x:v>HAT-001</x:v>
      </x:c>
      <x:c r="E1297" s="2" t="str">
        <x:f>_xlfn.IFNA(VLOOKUP(D1297,'Products'!$A$7:$I$22,2,FALSE),"Unmapped")</x:f>
        <x:v>Classic canvas cap</x:v>
      </x:c>
      <x:c r="F1297" s="2" t="str">
        <x:f>_xlfn.IFNA(VLOOKUP(D1297,'Products'!$A$7:$I$22,3,FALSE),"Unmapped")</x:f>
        <x:v>Accessories</x:v>
      </x:c>
      <x:c r="G1297" s="2" t="n">
        <x:v>1</x:v>
      </x:c>
      <x:c r="H1297" s="2" t="n">
        <x:v>0</x:v>
      </x:c>
      <x:c r="I1297" s="10" t="n">
        <x:v>24.95</x:v>
      </x:c>
      <x:c r="J1297" s="10" t="n">
        <x:v>0</x:v>
      </x:c>
      <x:c r="K1297" s="10" t="n">
        <x:v>8.5</x:v>
      </x:c>
      <x:c r="L1297" s="10" t="n">
        <x:f>G1297*I1297</x:f>
        <x:v>24.95</x:v>
      </x:c>
      <x:c r="M1297" s="10" t="n">
        <x:f>ROUND((L1297-J1297)*H1297/G1297,2)</x:f>
        <x:v>0</x:v>
      </x:c>
      <x:c r="N1297" s="10" t="n">
        <x:f>L1297-J1297-M1297</x:f>
        <x:v>24.95</x:v>
      </x:c>
      <x:c r="O1297" s="10" t="n">
        <x:f>(G1297-H1297)*K1297</x:f>
        <x:v>8.5</x:v>
      </x:c>
      <x:c r="P1297" s="10" t="n">
        <x:f>N1297-O1297</x:f>
        <x:v>16.45</x:v>
      </x:c>
      <x:c r="Q1297" s="9" t="n">
        <x:f>A1297-WEEKDAY(A1297,2)+1</x:f>
        <x:v>46307</x:v>
      </x:c>
      <x:c r="R1297" s="2" t="str">
        <x:f>IF(AND(A1297&gt;='Review'!$B$4,A1297&lt;='Review'!$D$4),"Selected","Outside")</x:f>
        <x:v>Selected</x:v>
      </x:c>
    </x:row>
    <x:row r="1298" ht="20" customHeight="1">
      <x:c r="A1298" s="9" t="n">
        <x:v>46313</x:v>
      </x:c>
      <x:c r="B1298" s="2" t="str">
        <x:v>MM-1910</x:v>
      </x:c>
      <x:c r="C1298" s="2" t="str">
        <x:v>Paid Social</x:v>
      </x:c>
      <x:c r="D1298" s="2" t="str">
        <x:v>GFT-001</x:v>
      </x:c>
      <x:c r="E1298" s="2" t="str">
        <x:f>_xlfn.IFNA(VLOOKUP(D1298,'Products'!$A$7:$I$22,2,FALSE),"Unmapped")</x:f>
        <x:v>Morning ritual gift set</x:v>
      </x:c>
      <x:c r="F1298" s="2" t="str">
        <x:f>_xlfn.IFNA(VLOOKUP(D1298,'Products'!$A$7:$I$22,3,FALSE),"Unmapped")</x:f>
        <x:v>Gifts</x:v>
      </x:c>
      <x:c r="G1298" s="2" t="n">
        <x:v>1</x:v>
      </x:c>
      <x:c r="H1298" s="2" t="n">
        <x:v>0</x:v>
      </x:c>
      <x:c r="I1298" s="10" t="n">
        <x:v>59.95</x:v>
      </x:c>
      <x:c r="J1298" s="10" t="n">
        <x:v>0</x:v>
      </x:c>
      <x:c r="K1298" s="10" t="n">
        <x:v>24</x:v>
      </x:c>
      <x:c r="L1298" s="10" t="n">
        <x:f>G1298*I1298</x:f>
        <x:v>59.95</x:v>
      </x:c>
      <x:c r="M1298" s="10" t="n">
        <x:f>ROUND((L1298-J1298)*H1298/G1298,2)</x:f>
        <x:v>0</x:v>
      </x:c>
      <x:c r="N1298" s="10" t="n">
        <x:f>L1298-J1298-M1298</x:f>
        <x:v>59.95</x:v>
      </x:c>
      <x:c r="O1298" s="10" t="n">
        <x:f>(G1298-H1298)*K1298</x:f>
        <x:v>24</x:v>
      </x:c>
      <x:c r="P1298" s="10" t="n">
        <x:f>N1298-O1298</x:f>
        <x:v>35.95</x:v>
      </x:c>
      <x:c r="Q1298" s="9" t="n">
        <x:f>A1298-WEEKDAY(A1298,2)+1</x:f>
        <x:v>46307</x:v>
      </x:c>
      <x:c r="R1298" s="2" t="str">
        <x:f>IF(AND(A1298&gt;='Review'!$B$4,A1298&lt;='Review'!$D$4),"Selected","Outside")</x:f>
        <x:v>Selected</x:v>
      </x:c>
    </x:row>
    <x:row r="1299" ht="20" customHeight="1">
      <x:c r="A1299" s="9" t="n">
        <x:v>46313</x:v>
      </x:c>
      <x:c r="B1299" s="2" t="str">
        <x:v>MM-1900</x:v>
      </x:c>
      <x:c r="C1299" s="2" t="str">
        <x:v>Organic Search</x:v>
      </x:c>
      <x:c r="D1299" s="2" t="str">
        <x:v>APP-001</x:v>
      </x:c>
      <x:c r="E1299" s="2" t="str">
        <x:f>_xlfn.IFNA(VLOOKUP(D1299,'Products'!$A$7:$I$22,2,FALSE),"Unmapped")</x:f>
        <x:v>Everyday crewneck</x:v>
      </x:c>
      <x:c r="F1299" s="2" t="str">
        <x:f>_xlfn.IFNA(VLOOKUP(D1299,'Products'!$A$7:$I$22,3,FALSE),"Unmapped")</x:f>
        <x:v>Apparel</x:v>
      </x:c>
      <x:c r="G1299" s="2" t="n">
        <x:v>1</x:v>
      </x:c>
      <x:c r="H1299" s="2" t="n">
        <x:v>0</x:v>
      </x:c>
      <x:c r="I1299" s="10" t="n">
        <x:v>54.95</x:v>
      </x:c>
      <x:c r="J1299" s="10" t="n">
        <x:v>0</x:v>
      </x:c>
      <x:c r="K1299" s="10" t="n">
        <x:v>22</x:v>
      </x:c>
      <x:c r="L1299" s="10" t="n">
        <x:f>G1299*I1299</x:f>
        <x:v>54.95</x:v>
      </x:c>
      <x:c r="M1299" s="10" t="n">
        <x:f>ROUND((L1299-J1299)*H1299/G1299,2)</x:f>
        <x:v>0</x:v>
      </x:c>
      <x:c r="N1299" s="10" t="n">
        <x:f>L1299-J1299-M1299</x:f>
        <x:v>54.95</x:v>
      </x:c>
      <x:c r="O1299" s="10" t="n">
        <x:f>(G1299-H1299)*K1299</x:f>
        <x:v>22</x:v>
      </x:c>
      <x:c r="P1299" s="10" t="n">
        <x:f>N1299-O1299</x:f>
        <x:v>32.95</x:v>
      </x:c>
      <x:c r="Q1299" s="9" t="n">
        <x:f>A1299-WEEKDAY(A1299,2)+1</x:f>
        <x:v>46307</x:v>
      </x:c>
      <x:c r="R1299" s="2" t="str">
        <x:f>IF(AND(A1299&gt;='Review'!$B$4,A1299&lt;='Review'!$D$4),"Selected","Outside")</x:f>
        <x:v>Selected</x:v>
      </x:c>
    </x:row>
    <x:row r="1300" ht="20" customHeight="1">
      <x:c r="A1300" s="9" t="n">
        <x:v>46313</x:v>
      </x:c>
      <x:c r="B1300" s="2" t="str">
        <x:v>MM-1907</x:v>
      </x:c>
      <x:c r="C1300" s="2" t="str">
        <x:v>Paid Social</x:v>
      </x:c>
      <x:c r="D1300" s="2" t="str">
        <x:v>APP-003</x:v>
      </x:c>
      <x:c r="E1300" s="2" t="str">
        <x:f>_xlfn.IFNA(VLOOKUP(D1300,'Products'!$A$7:$I$22,2,FALSE),"Unmapped")</x:f>
        <x:v>Coffee club tee</x:v>
      </x:c>
      <x:c r="F1300" s="2" t="str">
        <x:f>_xlfn.IFNA(VLOOKUP(D1300,'Products'!$A$7:$I$22,3,FALSE),"Unmapped")</x:f>
        <x:v>Apparel</x:v>
      </x:c>
      <x:c r="G1300" s="2" t="n">
        <x:v>1</x:v>
      </x:c>
      <x:c r="H1300" s="2" t="n">
        <x:v>0</x:v>
      </x:c>
      <x:c r="I1300" s="10" t="n">
        <x:v>29.95</x:v>
      </x:c>
      <x:c r="J1300" s="10" t="n">
        <x:v>0</x:v>
      </x:c>
      <x:c r="K1300" s="10" t="n">
        <x:v>10</x:v>
      </x:c>
      <x:c r="L1300" s="10" t="n">
        <x:f>G1300*I1300</x:f>
        <x:v>29.95</x:v>
      </x:c>
      <x:c r="M1300" s="10" t="n">
        <x:f>ROUND((L1300-J1300)*H1300/G1300,2)</x:f>
        <x:v>0</x:v>
      </x:c>
      <x:c r="N1300" s="10" t="n">
        <x:f>L1300-J1300-M1300</x:f>
        <x:v>29.95</x:v>
      </x:c>
      <x:c r="O1300" s="10" t="n">
        <x:f>(G1300-H1300)*K1300</x:f>
        <x:v>10</x:v>
      </x:c>
      <x:c r="P1300" s="10" t="n">
        <x:f>N1300-O1300</x:f>
        <x:v>19.95</x:v>
      </x:c>
      <x:c r="Q1300" s="9" t="n">
        <x:f>A1300-WEEKDAY(A1300,2)+1</x:f>
        <x:v>46307</x:v>
      </x:c>
      <x:c r="R1300" s="2" t="str">
        <x:f>IF(AND(A1300&gt;='Review'!$B$4,A1300&lt;='Review'!$D$4),"Selected","Outside")</x:f>
        <x:v>Selected</x:v>
      </x:c>
    </x:row>
    <x:row r="1301" ht="20" customHeight="1">
      <x:c r="A1301" s="9" t="n">
        <x:v>46313</x:v>
      </x:c>
      <x:c r="B1301" s="2" t="str">
        <x:v>MM-1918</x:v>
      </x:c>
      <x:c r="C1301" s="2" t="str">
        <x:v>Organic Search</x:v>
      </x:c>
      <x:c r="D1301" s="2" t="str">
        <x:v>TUM-002</x:v>
      </x:c>
      <x:c r="E1301" s="2" t="str">
        <x:f>_xlfn.IFNA(VLOOKUP(D1301,'Products'!$A$7:$I$22,2,FALSE),"Unmapped")</x:f>
        <x:v>Cold brew glass cup</x:v>
      </x:c>
      <x:c r="F1301" s="2" t="str">
        <x:f>_xlfn.IFNA(VLOOKUP(D1301,'Products'!$A$7:$I$22,3,FALSE),"Unmapped")</x:f>
        <x:v>Drinkware</x:v>
      </x:c>
      <x:c r="G1301" s="2" t="n">
        <x:v>2</x:v>
      </x:c>
      <x:c r="H1301" s="2" t="n">
        <x:v>0</x:v>
      </x:c>
      <x:c r="I1301" s="10" t="n">
        <x:v>24.95</x:v>
      </x:c>
      <x:c r="J1301" s="10" t="n">
        <x:v>0</x:v>
      </x:c>
      <x:c r="K1301" s="10" t="n">
        <x:v>9</x:v>
      </x:c>
      <x:c r="L1301" s="10" t="n">
        <x:f>G1301*I1301</x:f>
        <x:v>49.9</x:v>
      </x:c>
      <x:c r="M1301" s="10" t="n">
        <x:f>ROUND((L1301-J1301)*H1301/G1301,2)</x:f>
        <x:v>0</x:v>
      </x:c>
      <x:c r="N1301" s="10" t="n">
        <x:f>L1301-J1301-M1301</x:f>
        <x:v>49.9</x:v>
      </x:c>
      <x:c r="O1301" s="10" t="n">
        <x:f>(G1301-H1301)*K1301</x:f>
        <x:v>18</x:v>
      </x:c>
      <x:c r="P1301" s="10" t="n">
        <x:f>N1301-O1301</x:f>
        <x:v>31.9</x:v>
      </x:c>
      <x:c r="Q1301" s="9" t="n">
        <x:f>A1301-WEEKDAY(A1301,2)+1</x:f>
        <x:v>46307</x:v>
      </x:c>
      <x:c r="R1301" s="2" t="str">
        <x:f>IF(AND(A1301&gt;='Review'!$B$4,A1301&lt;='Review'!$D$4),"Selected","Outside")</x:f>
        <x:v>Selected</x:v>
      </x:c>
    </x:row>
    <x:row r="1302" ht="20" customHeight="1">
      <x:c r="A1302" s="9" t="n">
        <x:v>46313</x:v>
      </x:c>
      <x:c r="B1302" s="2" t="str">
        <x:v>MM-1912</x:v>
      </x:c>
      <x:c r="C1302" s="2" t="str">
        <x:v>Organic Search</x:v>
      </x:c>
      <x:c r="D1302" s="2" t="str">
        <x:v>GFT-001</x:v>
      </x:c>
      <x:c r="E1302" s="2" t="str">
        <x:f>_xlfn.IFNA(VLOOKUP(D1302,'Products'!$A$7:$I$22,2,FALSE),"Unmapped")</x:f>
        <x:v>Morning ritual gift set</x:v>
      </x:c>
      <x:c r="F1302" s="2" t="str">
        <x:f>_xlfn.IFNA(VLOOKUP(D1302,'Products'!$A$7:$I$22,3,FALSE),"Unmapped")</x:f>
        <x:v>Gifts</x:v>
      </x:c>
      <x:c r="G1302" s="2" t="n">
        <x:v>1</x:v>
      </x:c>
      <x:c r="H1302" s="2" t="n">
        <x:v>0</x:v>
      </x:c>
      <x:c r="I1302" s="10" t="n">
        <x:v>59.95</x:v>
      </x:c>
      <x:c r="J1302" s="10" t="n">
        <x:v>0</x:v>
      </x:c>
      <x:c r="K1302" s="10" t="n">
        <x:v>24</x:v>
      </x:c>
      <x:c r="L1302" s="10" t="n">
        <x:f>G1302*I1302</x:f>
        <x:v>59.95</x:v>
      </x:c>
      <x:c r="M1302" s="10" t="n">
        <x:f>ROUND((L1302-J1302)*H1302/G1302,2)</x:f>
        <x:v>0</x:v>
      </x:c>
      <x:c r="N1302" s="10" t="n">
        <x:f>L1302-J1302-M1302</x:f>
        <x:v>59.95</x:v>
      </x:c>
      <x:c r="O1302" s="10" t="n">
        <x:f>(G1302-H1302)*K1302</x:f>
        <x:v>24</x:v>
      </x:c>
      <x:c r="P1302" s="10" t="n">
        <x:f>N1302-O1302</x:f>
        <x:v>35.95</x:v>
      </x:c>
      <x:c r="Q1302" s="9" t="n">
        <x:f>A1302-WEEKDAY(A1302,2)+1</x:f>
        <x:v>46307</x:v>
      </x:c>
      <x:c r="R1302" s="2" t="str">
        <x:f>IF(AND(A1302&gt;='Review'!$B$4,A1302&lt;='Review'!$D$4),"Selected","Outside")</x:f>
        <x:v>Selected</x:v>
      </x:c>
    </x:row>
    <x:row r="1303" ht="20" customHeight="1">
      <x:c r="A1303" s="9" t="n">
        <x:v>46313</x:v>
      </x:c>
      <x:c r="B1303" s="2" t="str">
        <x:v>MM-1903</x:v>
      </x:c>
      <x:c r="C1303" s="2" t="str">
        <x:v>Direct</x:v>
      </x:c>
      <x:c r="D1303" s="2" t="str">
        <x:v>KEY-001</x:v>
      </x:c>
      <x:c r="E1303" s="2" t="str">
        <x:f>_xlfn.IFNA(VLOOKUP(D1303,'Products'!$A$7:$I$22,2,FALSE),"Unmapped")</x:f>
        <x:v>Maple keyring</x:v>
      </x:c>
      <x:c r="F1303" s="2" t="str">
        <x:f>_xlfn.IFNA(VLOOKUP(D1303,'Products'!$A$7:$I$22,3,FALSE),"Unmapped")</x:f>
        <x:v>Accessories</x:v>
      </x:c>
      <x:c r="G1303" s="2" t="n">
        <x:v>2</x:v>
      </x:c>
      <x:c r="H1303" s="2" t="n">
        <x:v>0</x:v>
      </x:c>
      <x:c r="I1303" s="10" t="n">
        <x:v>12.95</x:v>
      </x:c>
      <x:c r="J1303" s="10" t="n">
        <x:v>0</x:v>
      </x:c>
      <x:c r="K1303" s="10" t="n">
        <x:v>3.5</x:v>
      </x:c>
      <x:c r="L1303" s="10" t="n">
        <x:f>G1303*I1303</x:f>
        <x:v>25.9</x:v>
      </x:c>
      <x:c r="M1303" s="10" t="n">
        <x:f>ROUND((L1303-J1303)*H1303/G1303,2)</x:f>
        <x:v>0</x:v>
      </x:c>
      <x:c r="N1303" s="10" t="n">
        <x:f>L1303-J1303-M1303</x:f>
        <x:v>25.9</x:v>
      </x:c>
      <x:c r="O1303" s="10" t="n">
        <x:f>(G1303-H1303)*K1303</x:f>
        <x:v>7</x:v>
      </x:c>
      <x:c r="P1303" s="10" t="n">
        <x:f>N1303-O1303</x:f>
        <x:v>18.9</x:v>
      </x:c>
      <x:c r="Q1303" s="9" t="n">
        <x:f>A1303-WEEKDAY(A1303,2)+1</x:f>
        <x:v>46307</x:v>
      </x:c>
      <x:c r="R1303" s="2" t="str">
        <x:f>IF(AND(A1303&gt;='Review'!$B$4,A1303&lt;='Review'!$D$4),"Selected","Outside")</x:f>
        <x:v>Selected</x:v>
      </x:c>
    </x:row>
    <x:row r="1304" ht="20" customHeight="1">
      <x:c r="A1304" s="9" t="n">
        <x:v>46314</x:v>
      </x:c>
      <x:c r="B1304" s="2" t="str">
        <x:v>MM-1937</x:v>
      </x:c>
      <x:c r="C1304" s="2" t="str">
        <x:v>Organic Search</x:v>
      </x:c>
      <x:c r="D1304" s="2" t="str">
        <x:v>MUG-001</x:v>
      </x:c>
      <x:c r="E1304" s="2" t="str">
        <x:f>_xlfn.IFNA(VLOOKUP(D1304,'Products'!$A$7:$I$22,2,FALSE),"Unmapped")</x:f>
        <x:v>Everyday ceramic mug</x:v>
      </x:c>
      <x:c r="F1304" s="2" t="str">
        <x:f>_xlfn.IFNA(VLOOKUP(D1304,'Products'!$A$7:$I$22,3,FALSE),"Unmapped")</x:f>
        <x:v>Drinkware</x:v>
      </x:c>
      <x:c r="G1304" s="2" t="n">
        <x:v>1</x:v>
      </x:c>
      <x:c r="H1304" s="2" t="n">
        <x:v>0</x:v>
      </x:c>
      <x:c r="I1304" s="10" t="n">
        <x:v>18.95</x:v>
      </x:c>
      <x:c r="J1304" s="10" t="n">
        <x:v>0</x:v>
      </x:c>
      <x:c r="K1304" s="10" t="n">
        <x:v>6.5</x:v>
      </x:c>
      <x:c r="L1304" s="10" t="n">
        <x:f>G1304*I1304</x:f>
        <x:v>18.95</x:v>
      </x:c>
      <x:c r="M1304" s="10" t="n">
        <x:f>ROUND((L1304-J1304)*H1304/G1304,2)</x:f>
        <x:v>0</x:v>
      </x:c>
      <x:c r="N1304" s="10" t="n">
        <x:f>L1304-J1304-M1304</x:f>
        <x:v>18.95</x:v>
      </x:c>
      <x:c r="O1304" s="10" t="n">
        <x:f>(G1304-H1304)*K1304</x:f>
        <x:v>6.5</x:v>
      </x:c>
      <x:c r="P1304" s="10" t="n">
        <x:f>N1304-O1304</x:f>
        <x:v>12.45</x:v>
      </x:c>
      <x:c r="Q1304" s="9" t="n">
        <x:f>A1304-WEEKDAY(A1304,2)+1</x:f>
        <x:v>46314</x:v>
      </x:c>
      <x:c r="R1304" s="2" t="str">
        <x:f>IF(AND(A1304&gt;='Review'!$B$4,A1304&lt;='Review'!$D$4),"Selected","Outside")</x:f>
        <x:v>Selected</x:v>
      </x:c>
    </x:row>
    <x:row r="1305" ht="20" customHeight="1">
      <x:c r="A1305" s="9" t="n">
        <x:v>46314</x:v>
      </x:c>
      <x:c r="B1305" s="2" t="str">
        <x:v>MM-1930</x:v>
      </x:c>
      <x:c r="C1305" s="2" t="str">
        <x:v>Organic Search</x:v>
      </x:c>
      <x:c r="D1305" s="2" t="str">
        <x:v>KEY-001</x:v>
      </x:c>
      <x:c r="E1305" s="2" t="str">
        <x:f>_xlfn.IFNA(VLOOKUP(D1305,'Products'!$A$7:$I$22,2,FALSE),"Unmapped")</x:f>
        <x:v>Maple keyring</x:v>
      </x:c>
      <x:c r="F1305" s="2" t="str">
        <x:f>_xlfn.IFNA(VLOOKUP(D1305,'Products'!$A$7:$I$22,3,FALSE),"Unmapped")</x:f>
        <x:v>Accessories</x:v>
      </x:c>
      <x:c r="G1305" s="2" t="n">
        <x:v>3</x:v>
      </x:c>
      <x:c r="H1305" s="2" t="n">
        <x:v>0</x:v>
      </x:c>
      <x:c r="I1305" s="10" t="n">
        <x:v>12.95</x:v>
      </x:c>
      <x:c r="J1305" s="10" t="n">
        <x:v>0</x:v>
      </x:c>
      <x:c r="K1305" s="10" t="n">
        <x:v>3.5</x:v>
      </x:c>
      <x:c r="L1305" s="10" t="n">
        <x:f>G1305*I1305</x:f>
        <x:v>38.849999999999994</x:v>
      </x:c>
      <x:c r="M1305" s="10" t="n">
        <x:f>ROUND((L1305-J1305)*H1305/G1305,2)</x:f>
        <x:v>0</x:v>
      </x:c>
      <x:c r="N1305" s="10" t="n">
        <x:f>L1305-J1305-M1305</x:f>
        <x:v>38.849999999999994</x:v>
      </x:c>
      <x:c r="O1305" s="10" t="n">
        <x:f>(G1305-H1305)*K1305</x:f>
        <x:v>10.5</x:v>
      </x:c>
      <x:c r="P1305" s="10" t="n">
        <x:f>N1305-O1305</x:f>
        <x:v>28.349999999999994</x:v>
      </x:c>
      <x:c r="Q1305" s="9" t="n">
        <x:f>A1305-WEEKDAY(A1305,2)+1</x:f>
        <x:v>46314</x:v>
      </x:c>
      <x:c r="R1305" s="2" t="str">
        <x:f>IF(AND(A1305&gt;='Review'!$B$4,A1305&lt;='Review'!$D$4),"Selected","Outside")</x:f>
        <x:v>Selected</x:v>
      </x:c>
    </x:row>
    <x:row r="1306" ht="20" customHeight="1">
      <x:c r="A1306" s="9" t="n">
        <x:v>46314</x:v>
      </x:c>
      <x:c r="B1306" s="2" t="str">
        <x:v>MM-1940</x:v>
      </x:c>
      <x:c r="C1306" s="2" t="str">
        <x:v>Organic Search</x:v>
      </x:c>
      <x:c r="D1306" s="2" t="str">
        <x:v>TOTE-001</x:v>
      </x:c>
      <x:c r="E1306" s="2" t="str">
        <x:f>_xlfn.IFNA(VLOOKUP(D1306,'Products'!$A$7:$I$22,2,FALSE),"Unmapped")</x:f>
        <x:v>Market canvas tote</x:v>
      </x:c>
      <x:c r="F1306" s="2" t="str">
        <x:f>_xlfn.IFNA(VLOOKUP(D1306,'Products'!$A$7:$I$22,3,FALSE),"Unmapped")</x:f>
        <x:v>Accessories</x:v>
      </x:c>
      <x:c r="G1306" s="2" t="n">
        <x:v>1</x:v>
      </x:c>
      <x:c r="H1306" s="2" t="n">
        <x:v>0</x:v>
      </x:c>
      <x:c r="I1306" s="10" t="n">
        <x:v>19.95</x:v>
      </x:c>
      <x:c r="J1306" s="10" t="n">
        <x:v>1.99</x:v>
      </x:c>
      <x:c r="K1306" s="10" t="n">
        <x:v>6</x:v>
      </x:c>
      <x:c r="L1306" s="10" t="n">
        <x:f>G1306*I1306</x:f>
        <x:v>19.95</x:v>
      </x:c>
      <x:c r="M1306" s="10" t="n">
        <x:f>ROUND((L1306-J1306)*H1306/G1306,2)</x:f>
        <x:v>0</x:v>
      </x:c>
      <x:c r="N1306" s="10" t="n">
        <x:f>L1306-J1306-M1306</x:f>
        <x:v>17.96</x:v>
      </x:c>
      <x:c r="O1306" s="10" t="n">
        <x:f>(G1306-H1306)*K1306</x:f>
        <x:v>6</x:v>
      </x:c>
      <x:c r="P1306" s="10" t="n">
        <x:f>N1306-O1306</x:f>
        <x:v>11.96</x:v>
      </x:c>
      <x:c r="Q1306" s="9" t="n">
        <x:f>A1306-WEEKDAY(A1306,2)+1</x:f>
        <x:v>46314</x:v>
      </x:c>
      <x:c r="R1306" s="2" t="str">
        <x:f>IF(AND(A1306&gt;='Review'!$B$4,A1306&lt;='Review'!$D$4),"Selected","Outside")</x:f>
        <x:v>Selected</x:v>
      </x:c>
    </x:row>
    <x:row r="1307" ht="20" customHeight="1">
      <x:c r="A1307" s="9" t="n">
        <x:v>46314</x:v>
      </x:c>
      <x:c r="B1307" s="2" t="str">
        <x:v>MM-1920</x:v>
      </x:c>
      <x:c r="C1307" s="2" t="str">
        <x:v>Organic Search</x:v>
      </x:c>
      <x:c r="D1307" s="2" t="str">
        <x:v>KEY-001</x:v>
      </x:c>
      <x:c r="E1307" s="2" t="str">
        <x:f>_xlfn.IFNA(VLOOKUP(D1307,'Products'!$A$7:$I$22,2,FALSE),"Unmapped")</x:f>
        <x:v>Maple keyring</x:v>
      </x:c>
      <x:c r="F1307" s="2" t="str">
        <x:f>_xlfn.IFNA(VLOOKUP(D1307,'Products'!$A$7:$I$22,3,FALSE),"Unmapped")</x:f>
        <x:v>Accessories</x:v>
      </x:c>
      <x:c r="G1307" s="2" t="n">
        <x:v>2</x:v>
      </x:c>
      <x:c r="H1307" s="2" t="n">
        <x:v>0</x:v>
      </x:c>
      <x:c r="I1307" s="10" t="n">
        <x:v>12.95</x:v>
      </x:c>
      <x:c r="J1307" s="10" t="n">
        <x:v>0</x:v>
      </x:c>
      <x:c r="K1307" s="10" t="n">
        <x:v>3.5</x:v>
      </x:c>
      <x:c r="L1307" s="10" t="n">
        <x:f>G1307*I1307</x:f>
        <x:v>25.9</x:v>
      </x:c>
      <x:c r="M1307" s="10" t="n">
        <x:f>ROUND((L1307-J1307)*H1307/G1307,2)</x:f>
        <x:v>0</x:v>
      </x:c>
      <x:c r="N1307" s="10" t="n">
        <x:f>L1307-J1307-M1307</x:f>
        <x:v>25.9</x:v>
      </x:c>
      <x:c r="O1307" s="10" t="n">
        <x:f>(G1307-H1307)*K1307</x:f>
        <x:v>7</x:v>
      </x:c>
      <x:c r="P1307" s="10" t="n">
        <x:f>N1307-O1307</x:f>
        <x:v>18.9</x:v>
      </x:c>
      <x:c r="Q1307" s="9" t="n">
        <x:f>A1307-WEEKDAY(A1307,2)+1</x:f>
        <x:v>46314</x:v>
      </x:c>
      <x:c r="R1307" s="2" t="str">
        <x:f>IF(AND(A1307&gt;='Review'!$B$4,A1307&lt;='Review'!$D$4),"Selected","Outside")</x:f>
        <x:v>Selected</x:v>
      </x:c>
    </x:row>
    <x:row r="1308" ht="20" customHeight="1">
      <x:c r="A1308" s="9" t="n">
        <x:v>46314</x:v>
      </x:c>
      <x:c r="B1308" s="2" t="str">
        <x:v>MM-1922</x:v>
      </x:c>
      <x:c r="C1308" s="2" t="str">
        <x:v>Organic Search</x:v>
      </x:c>
      <x:c r="D1308" s="2" t="str">
        <x:v>GFT-002</x:v>
      </x:c>
      <x:c r="E1308" s="2" t="str">
        <x:f>_xlfn.IFNA(VLOOKUP(D1308,'Products'!$A$7:$I$22,2,FALSE),"Unmapped")</x:f>
        <x:v>Cozy weekend gift box</x:v>
      </x:c>
      <x:c r="F1308" s="2" t="str">
        <x:f>_xlfn.IFNA(VLOOKUP(D1308,'Products'!$A$7:$I$22,3,FALSE),"Unmapped")</x:f>
        <x:v>Gifts</x:v>
      </x:c>
      <x:c r="G1308" s="2" t="n">
        <x:v>2</x:v>
      </x:c>
      <x:c r="H1308" s="2" t="n">
        <x:v>0</x:v>
      </x:c>
      <x:c r="I1308" s="10" t="n">
        <x:v>79.95</x:v>
      </x:c>
      <x:c r="J1308" s="10" t="n">
        <x:v>0</x:v>
      </x:c>
      <x:c r="K1308" s="10" t="n">
        <x:v>32</x:v>
      </x:c>
      <x:c r="L1308" s="10" t="n">
        <x:f>G1308*I1308</x:f>
        <x:v>159.9</x:v>
      </x:c>
      <x:c r="M1308" s="10" t="n">
        <x:f>ROUND((L1308-J1308)*H1308/G1308,2)</x:f>
        <x:v>0</x:v>
      </x:c>
      <x:c r="N1308" s="10" t="n">
        <x:f>L1308-J1308-M1308</x:f>
        <x:v>159.9</x:v>
      </x:c>
      <x:c r="O1308" s="10" t="n">
        <x:f>(G1308-H1308)*K1308</x:f>
        <x:v>64</x:v>
      </x:c>
      <x:c r="P1308" s="10" t="n">
        <x:f>N1308-O1308</x:f>
        <x:v>95.9</x:v>
      </x:c>
      <x:c r="Q1308" s="9" t="n">
        <x:f>A1308-WEEKDAY(A1308,2)+1</x:f>
        <x:v>46314</x:v>
      </x:c>
      <x:c r="R1308" s="2" t="str">
        <x:f>IF(AND(A1308&gt;='Review'!$B$4,A1308&lt;='Review'!$D$4),"Selected","Outside")</x:f>
        <x:v>Selected</x:v>
      </x:c>
    </x:row>
    <x:row r="1309" ht="20" customHeight="1">
      <x:c r="A1309" s="9" t="n">
        <x:v>46314</x:v>
      </x:c>
      <x:c r="B1309" s="2" t="str">
        <x:v>MM-1935</x:v>
      </x:c>
      <x:c r="C1309" s="2" t="str">
        <x:v>Email</x:v>
      </x:c>
      <x:c r="D1309" s="2" t="str">
        <x:v>TUM-002</x:v>
      </x:c>
      <x:c r="E1309" s="2" t="str">
        <x:f>_xlfn.IFNA(VLOOKUP(D1309,'Products'!$A$7:$I$22,2,FALSE),"Unmapped")</x:f>
        <x:v>Cold brew glass cup</x:v>
      </x:c>
      <x:c r="F1309" s="2" t="str">
        <x:f>_xlfn.IFNA(VLOOKUP(D1309,'Products'!$A$7:$I$22,3,FALSE),"Unmapped")</x:f>
        <x:v>Drinkware</x:v>
      </x:c>
      <x:c r="G1309" s="2" t="n">
        <x:v>1</x:v>
      </x:c>
      <x:c r="H1309" s="2" t="n">
        <x:v>0</x:v>
      </x:c>
      <x:c r="I1309" s="10" t="n">
        <x:v>24.95</x:v>
      </x:c>
      <x:c r="J1309" s="10" t="n">
        <x:v>2.49</x:v>
      </x:c>
      <x:c r="K1309" s="10" t="n">
        <x:v>9</x:v>
      </x:c>
      <x:c r="L1309" s="10" t="n">
        <x:f>G1309*I1309</x:f>
        <x:v>24.95</x:v>
      </x:c>
      <x:c r="M1309" s="10" t="n">
        <x:f>ROUND((L1309-J1309)*H1309/G1309,2)</x:f>
        <x:v>0</x:v>
      </x:c>
      <x:c r="N1309" s="10" t="n">
        <x:f>L1309-J1309-M1309</x:f>
        <x:v>22.46</x:v>
      </x:c>
      <x:c r="O1309" s="10" t="n">
        <x:f>(G1309-H1309)*K1309</x:f>
        <x:v>9</x:v>
      </x:c>
      <x:c r="P1309" s="10" t="n">
        <x:f>N1309-O1309</x:f>
        <x:v>13.46</x:v>
      </x:c>
      <x:c r="Q1309" s="9" t="n">
        <x:f>A1309-WEEKDAY(A1309,2)+1</x:f>
        <x:v>46314</x:v>
      </x:c>
      <x:c r="R1309" s="2" t="str">
        <x:f>IF(AND(A1309&gt;='Review'!$B$4,A1309&lt;='Review'!$D$4),"Selected","Outside")</x:f>
        <x:v>Selected</x:v>
      </x:c>
    </x:row>
    <x:row r="1310" ht="20" customHeight="1">
      <x:c r="A1310" s="9" t="n">
        <x:v>46314</x:v>
      </x:c>
      <x:c r="B1310" s="2" t="str">
        <x:v>MM-1935</x:v>
      </x:c>
      <x:c r="C1310" s="2" t="str">
        <x:v>Email</x:v>
      </x:c>
      <x:c r="D1310" s="2" t="str">
        <x:v>MUG-002</x:v>
      </x:c>
      <x:c r="E1310" s="2" t="str">
        <x:f>_xlfn.IFNA(VLOOKUP(D1310,'Products'!$A$7:$I$22,2,FALSE),"Unmapped")</x:f>
        <x:v>Campfire enamel mug</x:v>
      </x:c>
      <x:c r="F1310" s="2" t="str">
        <x:f>_xlfn.IFNA(VLOOKUP(D1310,'Products'!$A$7:$I$22,3,FALSE),"Unmapped")</x:f>
        <x:v>Drinkware</x:v>
      </x:c>
      <x:c r="G1310" s="2" t="n">
        <x:v>1</x:v>
      </x:c>
      <x:c r="H1310" s="2" t="n">
        <x:v>0</x:v>
      </x:c>
      <x:c r="I1310" s="10" t="n">
        <x:v>22.95</x:v>
      </x:c>
      <x:c r="J1310" s="10" t="n">
        <x:v>2.29</x:v>
      </x:c>
      <x:c r="K1310" s="10" t="n">
        <x:v>8.5</x:v>
      </x:c>
      <x:c r="L1310" s="10" t="n">
        <x:f>G1310*I1310</x:f>
        <x:v>22.95</x:v>
      </x:c>
      <x:c r="M1310" s="10" t="n">
        <x:f>ROUND((L1310-J1310)*H1310/G1310,2)</x:f>
        <x:v>0</x:v>
      </x:c>
      <x:c r="N1310" s="10" t="n">
        <x:f>L1310-J1310-M1310</x:f>
        <x:v>20.66</x:v>
      </x:c>
      <x:c r="O1310" s="10" t="n">
        <x:f>(G1310-H1310)*K1310</x:f>
        <x:v>8.5</x:v>
      </x:c>
      <x:c r="P1310" s="10" t="n">
        <x:f>N1310-O1310</x:f>
        <x:v>12.16</x:v>
      </x:c>
      <x:c r="Q1310" s="9" t="n">
        <x:f>A1310-WEEKDAY(A1310,2)+1</x:f>
        <x:v>46314</x:v>
      </x:c>
      <x:c r="R1310" s="2" t="str">
        <x:f>IF(AND(A1310&gt;='Review'!$B$4,A1310&lt;='Review'!$D$4),"Selected","Outside")</x:f>
        <x:v>Selected</x:v>
      </x:c>
    </x:row>
    <x:row r="1311" ht="20" customHeight="1">
      <x:c r="A1311" s="9" t="n">
        <x:v>46314</x:v>
      </x:c>
      <x:c r="B1311" s="2" t="str">
        <x:v>MM-1935</x:v>
      </x:c>
      <x:c r="C1311" s="2" t="str">
        <x:v>Email</x:v>
      </x:c>
      <x:c r="D1311" s="2" t="str">
        <x:v>HAT-001</x:v>
      </x:c>
      <x:c r="E1311" s="2" t="str">
        <x:f>_xlfn.IFNA(VLOOKUP(D1311,'Products'!$A$7:$I$22,2,FALSE),"Unmapped")</x:f>
        <x:v>Classic canvas cap</x:v>
      </x:c>
      <x:c r="F1311" s="2" t="str">
        <x:f>_xlfn.IFNA(VLOOKUP(D1311,'Products'!$A$7:$I$22,3,FALSE),"Unmapped")</x:f>
        <x:v>Accessories</x:v>
      </x:c>
      <x:c r="G1311" s="2" t="n">
        <x:v>1</x:v>
      </x:c>
      <x:c r="H1311" s="2" t="n">
        <x:v>0</x:v>
      </x:c>
      <x:c r="I1311" s="10" t="n">
        <x:v>24.95</x:v>
      </x:c>
      <x:c r="J1311" s="10" t="n">
        <x:v>2.49</x:v>
      </x:c>
      <x:c r="K1311" s="10" t="n">
        <x:v>8.5</x:v>
      </x:c>
      <x:c r="L1311" s="10" t="n">
        <x:f>G1311*I1311</x:f>
        <x:v>24.95</x:v>
      </x:c>
      <x:c r="M1311" s="10" t="n">
        <x:f>ROUND((L1311-J1311)*H1311/G1311,2)</x:f>
        <x:v>0</x:v>
      </x:c>
      <x:c r="N1311" s="10" t="n">
        <x:f>L1311-J1311-M1311</x:f>
        <x:v>22.46</x:v>
      </x:c>
      <x:c r="O1311" s="10" t="n">
        <x:f>(G1311-H1311)*K1311</x:f>
        <x:v>8.5</x:v>
      </x:c>
      <x:c r="P1311" s="10" t="n">
        <x:f>N1311-O1311</x:f>
        <x:v>13.96</x:v>
      </x:c>
      <x:c r="Q1311" s="9" t="n">
        <x:f>A1311-WEEKDAY(A1311,2)+1</x:f>
        <x:v>46314</x:v>
      </x:c>
      <x:c r="R1311" s="2" t="str">
        <x:f>IF(AND(A1311&gt;='Review'!$B$4,A1311&lt;='Review'!$D$4),"Selected","Outside")</x:f>
        <x:v>Selected</x:v>
      </x:c>
    </x:row>
    <x:row r="1312" ht="20" customHeight="1">
      <x:c r="A1312" s="9" t="n">
        <x:v>46314</x:v>
      </x:c>
      <x:c r="B1312" s="2" t="str">
        <x:v>MM-1936</x:v>
      </x:c>
      <x:c r="C1312" s="2" t="str">
        <x:v>Paid Social</x:v>
      </x:c>
      <x:c r="D1312" s="2" t="str">
        <x:v>APP-003</x:v>
      </x:c>
      <x:c r="E1312" s="2" t="str">
        <x:f>_xlfn.IFNA(VLOOKUP(D1312,'Products'!$A$7:$I$22,2,FALSE),"Unmapped")</x:f>
        <x:v>Coffee club tee</x:v>
      </x:c>
      <x:c r="F1312" s="2" t="str">
        <x:f>_xlfn.IFNA(VLOOKUP(D1312,'Products'!$A$7:$I$22,3,FALSE),"Unmapped")</x:f>
        <x:v>Apparel</x:v>
      </x:c>
      <x:c r="G1312" s="2" t="n">
        <x:v>2</x:v>
      </x:c>
      <x:c r="H1312" s="2" t="n">
        <x:v>0</x:v>
      </x:c>
      <x:c r="I1312" s="10" t="n">
        <x:v>29.95</x:v>
      </x:c>
      <x:c r="J1312" s="10" t="n">
        <x:v>0</x:v>
      </x:c>
      <x:c r="K1312" s="10" t="n">
        <x:v>10</x:v>
      </x:c>
      <x:c r="L1312" s="10" t="n">
        <x:f>G1312*I1312</x:f>
        <x:v>59.9</x:v>
      </x:c>
      <x:c r="M1312" s="10" t="n">
        <x:f>ROUND((L1312-J1312)*H1312/G1312,2)</x:f>
        <x:v>0</x:v>
      </x:c>
      <x:c r="N1312" s="10" t="n">
        <x:f>L1312-J1312-M1312</x:f>
        <x:v>59.9</x:v>
      </x:c>
      <x:c r="O1312" s="10" t="n">
        <x:f>(G1312-H1312)*K1312</x:f>
        <x:v>20</x:v>
      </x:c>
      <x:c r="P1312" s="10" t="n">
        <x:f>N1312-O1312</x:f>
        <x:v>39.9</x:v>
      </x:c>
      <x:c r="Q1312" s="9" t="n">
        <x:f>A1312-WEEKDAY(A1312,2)+1</x:f>
        <x:v>46314</x:v>
      </x:c>
      <x:c r="R1312" s="2" t="str">
        <x:f>IF(AND(A1312&gt;='Review'!$B$4,A1312&lt;='Review'!$D$4),"Selected","Outside")</x:f>
        <x:v>Selected</x:v>
      </x:c>
    </x:row>
    <x:row r="1313" ht="20" customHeight="1">
      <x:c r="A1313" s="9" t="n">
        <x:v>46314</x:v>
      </x:c>
      <x:c r="B1313" s="2" t="str">
        <x:v>MM-1927</x:v>
      </x:c>
      <x:c r="C1313" s="2" t="str">
        <x:v>Email</x:v>
      </x:c>
      <x:c r="D1313" s="2" t="str">
        <x:v>MUG-002</x:v>
      </x:c>
      <x:c r="E1313" s="2" t="str">
        <x:f>_xlfn.IFNA(VLOOKUP(D1313,'Products'!$A$7:$I$22,2,FALSE),"Unmapped")</x:f>
        <x:v>Campfire enamel mug</x:v>
      </x:c>
      <x:c r="F1313" s="2" t="str">
        <x:f>_xlfn.IFNA(VLOOKUP(D1313,'Products'!$A$7:$I$22,3,FALSE),"Unmapped")</x:f>
        <x:v>Drinkware</x:v>
      </x:c>
      <x:c r="G1313" s="2" t="n">
        <x:v>3</x:v>
      </x:c>
      <x:c r="H1313" s="2" t="n">
        <x:v>0</x:v>
      </x:c>
      <x:c r="I1313" s="10" t="n">
        <x:v>22.95</x:v>
      </x:c>
      <x:c r="J1313" s="10" t="n">
        <x:v>6.88</x:v>
      </x:c>
      <x:c r="K1313" s="10" t="n">
        <x:v>8.5</x:v>
      </x:c>
      <x:c r="L1313" s="10" t="n">
        <x:f>G1313*I1313</x:f>
        <x:v>68.85</x:v>
      </x:c>
      <x:c r="M1313" s="10" t="n">
        <x:f>ROUND((L1313-J1313)*H1313/G1313,2)</x:f>
        <x:v>0</x:v>
      </x:c>
      <x:c r="N1313" s="10" t="n">
        <x:f>L1313-J1313-M1313</x:f>
        <x:v>61.96999999999999</x:v>
      </x:c>
      <x:c r="O1313" s="10" t="n">
        <x:f>(G1313-H1313)*K1313</x:f>
        <x:v>25.5</x:v>
      </x:c>
      <x:c r="P1313" s="10" t="n">
        <x:f>N1313-O1313</x:f>
        <x:v>36.46999999999999</x:v>
      </x:c>
      <x:c r="Q1313" s="9" t="n">
        <x:f>A1313-WEEKDAY(A1313,2)+1</x:f>
        <x:v>46314</x:v>
      </x:c>
      <x:c r="R1313" s="2" t="str">
        <x:f>IF(AND(A1313&gt;='Review'!$B$4,A1313&lt;='Review'!$D$4),"Selected","Outside")</x:f>
        <x:v>Selected</x:v>
      </x:c>
    </x:row>
    <x:row r="1314" ht="20" customHeight="1">
      <x:c r="A1314" s="9" t="n">
        <x:v>46314</x:v>
      </x:c>
      <x:c r="B1314" s="2" t="str">
        <x:v>MM-1923</x:v>
      </x:c>
      <x:c r="C1314" s="2" t="str">
        <x:v>Paid Social</x:v>
      </x:c>
      <x:c r="D1314" s="2" t="str">
        <x:v>TUM-002</x:v>
      </x:c>
      <x:c r="E1314" s="2" t="str">
        <x:f>_xlfn.IFNA(VLOOKUP(D1314,'Products'!$A$7:$I$22,2,FALSE),"Unmapped")</x:f>
        <x:v>Cold brew glass cup</x:v>
      </x:c>
      <x:c r="F1314" s="2" t="str">
        <x:f>_xlfn.IFNA(VLOOKUP(D1314,'Products'!$A$7:$I$22,3,FALSE),"Unmapped")</x:f>
        <x:v>Drinkware</x:v>
      </x:c>
      <x:c r="G1314" s="2" t="n">
        <x:v>3</x:v>
      </x:c>
      <x:c r="H1314" s="2" t="n">
        <x:v>0</x:v>
      </x:c>
      <x:c r="I1314" s="10" t="n">
        <x:v>24.95</x:v>
      </x:c>
      <x:c r="J1314" s="10" t="n">
        <x:v>0</x:v>
      </x:c>
      <x:c r="K1314" s="10" t="n">
        <x:v>9</x:v>
      </x:c>
      <x:c r="L1314" s="10" t="n">
        <x:f>G1314*I1314</x:f>
        <x:v>74.85</x:v>
      </x:c>
      <x:c r="M1314" s="10" t="n">
        <x:f>ROUND((L1314-J1314)*H1314/G1314,2)</x:f>
        <x:v>0</x:v>
      </x:c>
      <x:c r="N1314" s="10" t="n">
        <x:f>L1314-J1314-M1314</x:f>
        <x:v>74.85</x:v>
      </x:c>
      <x:c r="O1314" s="10" t="n">
        <x:f>(G1314-H1314)*K1314</x:f>
        <x:v>27</x:v>
      </x:c>
      <x:c r="P1314" s="10" t="n">
        <x:f>N1314-O1314</x:f>
        <x:v>47.849999999999994</x:v>
      </x:c>
      <x:c r="Q1314" s="9" t="n">
        <x:f>A1314-WEEKDAY(A1314,2)+1</x:f>
        <x:v>46314</x:v>
      </x:c>
      <x:c r="R1314" s="2" t="str">
        <x:f>IF(AND(A1314&gt;='Review'!$B$4,A1314&lt;='Review'!$D$4),"Selected","Outside")</x:f>
        <x:v>Selected</x:v>
      </x:c>
    </x:row>
    <x:row r="1315" ht="20" customHeight="1">
      <x:c r="A1315" s="9" t="n">
        <x:v>46314</x:v>
      </x:c>
      <x:c r="B1315" s="2" t="str">
        <x:v>MM-1926</x:v>
      </x:c>
      <x:c r="C1315" s="2" t="str">
        <x:v>Organic Search</x:v>
      </x:c>
      <x:c r="D1315" s="2" t="str">
        <x:v>TOTE-001</x:v>
      </x:c>
      <x:c r="E1315" s="2" t="str">
        <x:f>_xlfn.IFNA(VLOOKUP(D1315,'Products'!$A$7:$I$22,2,FALSE),"Unmapped")</x:f>
        <x:v>Market canvas tote</x:v>
      </x:c>
      <x:c r="F1315" s="2" t="str">
        <x:f>_xlfn.IFNA(VLOOKUP(D1315,'Products'!$A$7:$I$22,3,FALSE),"Unmapped")</x:f>
        <x:v>Accessories</x:v>
      </x:c>
      <x:c r="G1315" s="2" t="n">
        <x:v>1</x:v>
      </x:c>
      <x:c r="H1315" s="2" t="n">
        <x:v>0</x:v>
      </x:c>
      <x:c r="I1315" s="10" t="n">
        <x:v>19.95</x:v>
      </x:c>
      <x:c r="J1315" s="10" t="n">
        <x:v>0</x:v>
      </x:c>
      <x:c r="K1315" s="10" t="n">
        <x:v>6</x:v>
      </x:c>
      <x:c r="L1315" s="10" t="n">
        <x:f>G1315*I1315</x:f>
        <x:v>19.95</x:v>
      </x:c>
      <x:c r="M1315" s="10" t="n">
        <x:f>ROUND((L1315-J1315)*H1315/G1315,2)</x:f>
        <x:v>0</x:v>
      </x:c>
      <x:c r="N1315" s="10" t="n">
        <x:f>L1315-J1315-M1315</x:f>
        <x:v>19.95</x:v>
      </x:c>
      <x:c r="O1315" s="10" t="n">
        <x:f>(G1315-H1315)*K1315</x:f>
        <x:v>6</x:v>
      </x:c>
      <x:c r="P1315" s="10" t="n">
        <x:f>N1315-O1315</x:f>
        <x:v>13.95</x:v>
      </x:c>
      <x:c r="Q1315" s="9" t="n">
        <x:f>A1315-WEEKDAY(A1315,2)+1</x:f>
        <x:v>46314</x:v>
      </x:c>
      <x:c r="R1315" s="2" t="str">
        <x:f>IF(AND(A1315&gt;='Review'!$B$4,A1315&lt;='Review'!$D$4),"Selected","Outside")</x:f>
        <x:v>Selected</x:v>
      </x:c>
    </x:row>
    <x:row r="1316" ht="20" customHeight="1">
      <x:c r="A1316" s="9" t="n">
        <x:v>46314</x:v>
      </x:c>
      <x:c r="B1316" s="2" t="str">
        <x:v>MM-1926</x:v>
      </x:c>
      <x:c r="C1316" s="2" t="str">
        <x:v>Organic Search</x:v>
      </x:c>
      <x:c r="D1316" s="2" t="str">
        <x:v>TUM-002</x:v>
      </x:c>
      <x:c r="E1316" s="2" t="str">
        <x:f>_xlfn.IFNA(VLOOKUP(D1316,'Products'!$A$7:$I$22,2,FALSE),"Unmapped")</x:f>
        <x:v>Cold brew glass cup</x:v>
      </x:c>
      <x:c r="F1316" s="2" t="str">
        <x:f>_xlfn.IFNA(VLOOKUP(D1316,'Products'!$A$7:$I$22,3,FALSE),"Unmapped")</x:f>
        <x:v>Drinkware</x:v>
      </x:c>
      <x:c r="G1316" s="2" t="n">
        <x:v>1</x:v>
      </x:c>
      <x:c r="H1316" s="2" t="n">
        <x:v>0</x:v>
      </x:c>
      <x:c r="I1316" s="10" t="n">
        <x:v>24.95</x:v>
      </x:c>
      <x:c r="J1316" s="10" t="n">
        <x:v>0</x:v>
      </x:c>
      <x:c r="K1316" s="10" t="n">
        <x:v>9</x:v>
      </x:c>
      <x:c r="L1316" s="10" t="n">
        <x:f>G1316*I1316</x:f>
        <x:v>24.95</x:v>
      </x:c>
      <x:c r="M1316" s="10" t="n">
        <x:f>ROUND((L1316-J1316)*H1316/G1316,2)</x:f>
        <x:v>0</x:v>
      </x:c>
      <x:c r="N1316" s="10" t="n">
        <x:f>L1316-J1316-M1316</x:f>
        <x:v>24.95</x:v>
      </x:c>
      <x:c r="O1316" s="10" t="n">
        <x:f>(G1316-H1316)*K1316</x:f>
        <x:v>9</x:v>
      </x:c>
      <x:c r="P1316" s="10" t="n">
        <x:f>N1316-O1316</x:f>
        <x:v>15.95</x:v>
      </x:c>
      <x:c r="Q1316" s="9" t="n">
        <x:f>A1316-WEEKDAY(A1316,2)+1</x:f>
        <x:v>46314</x:v>
      </x:c>
      <x:c r="R1316" s="2" t="str">
        <x:f>IF(AND(A1316&gt;='Review'!$B$4,A1316&lt;='Review'!$D$4),"Selected","Outside")</x:f>
        <x:v>Selected</x:v>
      </x:c>
    </x:row>
    <x:row r="1317" ht="20" customHeight="1">
      <x:c r="A1317" s="9" t="n">
        <x:v>46314</x:v>
      </x:c>
      <x:c r="B1317" s="2" t="str">
        <x:v>MM-1941</x:v>
      </x:c>
      <x:c r="C1317" s="2" t="str">
        <x:v>Organic Search</x:v>
      </x:c>
      <x:c r="D1317" s="2" t="str">
        <x:v>APP-003</x:v>
      </x:c>
      <x:c r="E1317" s="2" t="str">
        <x:f>_xlfn.IFNA(VLOOKUP(D1317,'Products'!$A$7:$I$22,2,FALSE),"Unmapped")</x:f>
        <x:v>Coffee club tee</x:v>
      </x:c>
      <x:c r="F1317" s="2" t="str">
        <x:f>_xlfn.IFNA(VLOOKUP(D1317,'Products'!$A$7:$I$22,3,FALSE),"Unmapped")</x:f>
        <x:v>Apparel</x:v>
      </x:c>
      <x:c r="G1317" s="2" t="n">
        <x:v>2</x:v>
      </x:c>
      <x:c r="H1317" s="2" t="n">
        <x:v>0</x:v>
      </x:c>
      <x:c r="I1317" s="10" t="n">
        <x:v>29.95</x:v>
      </x:c>
      <x:c r="J1317" s="10" t="n">
        <x:v>0</x:v>
      </x:c>
      <x:c r="K1317" s="10" t="n">
        <x:v>10</x:v>
      </x:c>
      <x:c r="L1317" s="10" t="n">
        <x:f>G1317*I1317</x:f>
        <x:v>59.9</x:v>
      </x:c>
      <x:c r="M1317" s="10" t="n">
        <x:f>ROUND((L1317-J1317)*H1317/G1317,2)</x:f>
        <x:v>0</x:v>
      </x:c>
      <x:c r="N1317" s="10" t="n">
        <x:f>L1317-J1317-M1317</x:f>
        <x:v>59.9</x:v>
      </x:c>
      <x:c r="O1317" s="10" t="n">
        <x:f>(G1317-H1317)*K1317</x:f>
        <x:v>20</x:v>
      </x:c>
      <x:c r="P1317" s="10" t="n">
        <x:f>N1317-O1317</x:f>
        <x:v>39.9</x:v>
      </x:c>
      <x:c r="Q1317" s="9" t="n">
        <x:f>A1317-WEEKDAY(A1317,2)+1</x:f>
        <x:v>46314</x:v>
      </x:c>
      <x:c r="R1317" s="2" t="str">
        <x:f>IF(AND(A1317&gt;='Review'!$B$4,A1317&lt;='Review'!$D$4),"Selected","Outside")</x:f>
        <x:v>Selected</x:v>
      </x:c>
    </x:row>
    <x:row r="1318" ht="20" customHeight="1">
      <x:c r="A1318" s="9" t="n">
        <x:v>46314</x:v>
      </x:c>
      <x:c r="B1318" s="2" t="str">
        <x:v>MM-1929</x:v>
      </x:c>
      <x:c r="C1318" s="2" t="str">
        <x:v>Organic Search</x:v>
      </x:c>
      <x:c r="D1318" s="2" t="str">
        <x:v>APP-001</x:v>
      </x:c>
      <x:c r="E1318" s="2" t="str">
        <x:f>_xlfn.IFNA(VLOOKUP(D1318,'Products'!$A$7:$I$22,2,FALSE),"Unmapped")</x:f>
        <x:v>Everyday crewneck</x:v>
      </x:c>
      <x:c r="F1318" s="2" t="str">
        <x:f>_xlfn.IFNA(VLOOKUP(D1318,'Products'!$A$7:$I$22,3,FALSE),"Unmapped")</x:f>
        <x:v>Apparel</x:v>
      </x:c>
      <x:c r="G1318" s="2" t="n">
        <x:v>1</x:v>
      </x:c>
      <x:c r="H1318" s="2" t="n">
        <x:v>0</x:v>
      </x:c>
      <x:c r="I1318" s="10" t="n">
        <x:v>54.95</x:v>
      </x:c>
      <x:c r="J1318" s="10" t="n">
        <x:v>0</x:v>
      </x:c>
      <x:c r="K1318" s="10" t="n">
        <x:v>22</x:v>
      </x:c>
      <x:c r="L1318" s="10" t="n">
        <x:f>G1318*I1318</x:f>
        <x:v>54.95</x:v>
      </x:c>
      <x:c r="M1318" s="10" t="n">
        <x:f>ROUND((L1318-J1318)*H1318/G1318,2)</x:f>
        <x:v>0</x:v>
      </x:c>
      <x:c r="N1318" s="10" t="n">
        <x:f>L1318-J1318-M1318</x:f>
        <x:v>54.95</x:v>
      </x:c>
      <x:c r="O1318" s="10" t="n">
        <x:f>(G1318-H1318)*K1318</x:f>
        <x:v>22</x:v>
      </x:c>
      <x:c r="P1318" s="10" t="n">
        <x:f>N1318-O1318</x:f>
        <x:v>32.95</x:v>
      </x:c>
      <x:c r="Q1318" s="9" t="n">
        <x:f>A1318-WEEKDAY(A1318,2)+1</x:f>
        <x:v>46314</x:v>
      </x:c>
      <x:c r="R1318" s="2" t="str">
        <x:f>IF(AND(A1318&gt;='Review'!$B$4,A1318&lt;='Review'!$D$4),"Selected","Outside")</x:f>
        <x:v>Selected</x:v>
      </x:c>
    </x:row>
    <x:row r="1319" ht="20" customHeight="1">
      <x:c r="A1319" s="9" t="n">
        <x:v>46314</x:v>
      </x:c>
      <x:c r="B1319" s="2" t="str">
        <x:v>MM-1929</x:v>
      </x:c>
      <x:c r="C1319" s="2" t="str">
        <x:v>Organic Search</x:v>
      </x:c>
      <x:c r="D1319" s="2" t="str">
        <x:v>MUG-002</x:v>
      </x:c>
      <x:c r="E1319" s="2" t="str">
        <x:f>_xlfn.IFNA(VLOOKUP(D1319,'Products'!$A$7:$I$22,2,FALSE),"Unmapped")</x:f>
        <x:v>Campfire enamel mug</x:v>
      </x:c>
      <x:c r="F1319" s="2" t="str">
        <x:f>_xlfn.IFNA(VLOOKUP(D1319,'Products'!$A$7:$I$22,3,FALSE),"Unmapped")</x:f>
        <x:v>Drinkware</x:v>
      </x:c>
      <x:c r="G1319" s="2" t="n">
        <x:v>1</x:v>
      </x:c>
      <x:c r="H1319" s="2" t="n">
        <x:v>0</x:v>
      </x:c>
      <x:c r="I1319" s="10" t="n">
        <x:v>22.95</x:v>
      </x:c>
      <x:c r="J1319" s="10" t="n">
        <x:v>0</x:v>
      </x:c>
      <x:c r="K1319" s="10" t="n">
        <x:v>8.5</x:v>
      </x:c>
      <x:c r="L1319" s="10" t="n">
        <x:f>G1319*I1319</x:f>
        <x:v>22.95</x:v>
      </x:c>
      <x:c r="M1319" s="10" t="n">
        <x:f>ROUND((L1319-J1319)*H1319/G1319,2)</x:f>
        <x:v>0</x:v>
      </x:c>
      <x:c r="N1319" s="10" t="n">
        <x:f>L1319-J1319-M1319</x:f>
        <x:v>22.95</x:v>
      </x:c>
      <x:c r="O1319" s="10" t="n">
        <x:f>(G1319-H1319)*K1319</x:f>
        <x:v>8.5</x:v>
      </x:c>
      <x:c r="P1319" s="10" t="n">
        <x:f>N1319-O1319</x:f>
        <x:v>14.45</x:v>
      </x:c>
      <x:c r="Q1319" s="9" t="n">
        <x:f>A1319-WEEKDAY(A1319,2)+1</x:f>
        <x:v>46314</x:v>
      </x:c>
      <x:c r="R1319" s="2" t="str">
        <x:f>IF(AND(A1319&gt;='Review'!$B$4,A1319&lt;='Review'!$D$4),"Selected","Outside")</x:f>
        <x:v>Selected</x:v>
      </x:c>
    </x:row>
    <x:row r="1320" ht="20" customHeight="1">
      <x:c r="A1320" s="9" t="n">
        <x:v>46314</x:v>
      </x:c>
      <x:c r="B1320" s="2" t="str">
        <x:v>MM-1929</x:v>
      </x:c>
      <x:c r="C1320" s="2" t="str">
        <x:v>Organic Search</x:v>
      </x:c>
      <x:c r="D1320" s="2" t="str">
        <x:v>GFT-002</x:v>
      </x:c>
      <x:c r="E1320" s="2" t="str">
        <x:f>_xlfn.IFNA(VLOOKUP(D1320,'Products'!$A$7:$I$22,2,FALSE),"Unmapped")</x:f>
        <x:v>Cozy weekend gift box</x:v>
      </x:c>
      <x:c r="F1320" s="2" t="str">
        <x:f>_xlfn.IFNA(VLOOKUP(D1320,'Products'!$A$7:$I$22,3,FALSE),"Unmapped")</x:f>
        <x:v>Gifts</x:v>
      </x:c>
      <x:c r="G1320" s="2" t="n">
        <x:v>1</x:v>
      </x:c>
      <x:c r="H1320" s="2" t="n">
        <x:v>0</x:v>
      </x:c>
      <x:c r="I1320" s="10" t="n">
        <x:v>79.95</x:v>
      </x:c>
      <x:c r="J1320" s="10" t="n">
        <x:v>0</x:v>
      </x:c>
      <x:c r="K1320" s="10" t="n">
        <x:v>32</x:v>
      </x:c>
      <x:c r="L1320" s="10" t="n">
        <x:f>G1320*I1320</x:f>
        <x:v>79.95</x:v>
      </x:c>
      <x:c r="M1320" s="10" t="n">
        <x:f>ROUND((L1320-J1320)*H1320/G1320,2)</x:f>
        <x:v>0</x:v>
      </x:c>
      <x:c r="N1320" s="10" t="n">
        <x:f>L1320-J1320-M1320</x:f>
        <x:v>79.95</x:v>
      </x:c>
      <x:c r="O1320" s="10" t="n">
        <x:f>(G1320-H1320)*K1320</x:f>
        <x:v>32</x:v>
      </x:c>
      <x:c r="P1320" s="10" t="n">
        <x:f>N1320-O1320</x:f>
        <x:v>47.95</x:v>
      </x:c>
      <x:c r="Q1320" s="9" t="n">
        <x:f>A1320-WEEKDAY(A1320,2)+1</x:f>
        <x:v>46314</x:v>
      </x:c>
      <x:c r="R1320" s="2" t="str">
        <x:f>IF(AND(A1320&gt;='Review'!$B$4,A1320&lt;='Review'!$D$4),"Selected","Outside")</x:f>
        <x:v>Selected</x:v>
      </x:c>
    </x:row>
    <x:row r="1321" ht="20" customHeight="1">
      <x:c r="A1321" s="9" t="n">
        <x:v>46314</x:v>
      </x:c>
      <x:c r="B1321" s="2" t="str">
        <x:v>MM-1919</x:v>
      </x:c>
      <x:c r="C1321" s="2" t="str">
        <x:v>Email</x:v>
      </x:c>
      <x:c r="D1321" s="2" t="str">
        <x:v>APP-003</x:v>
      </x:c>
      <x:c r="E1321" s="2" t="str">
        <x:f>_xlfn.IFNA(VLOOKUP(D1321,'Products'!$A$7:$I$22,2,FALSE),"Unmapped")</x:f>
        <x:v>Coffee club tee</x:v>
      </x:c>
      <x:c r="F1321" s="2" t="str">
        <x:f>_xlfn.IFNA(VLOOKUP(D1321,'Products'!$A$7:$I$22,3,FALSE),"Unmapped")</x:f>
        <x:v>Apparel</x:v>
      </x:c>
      <x:c r="G1321" s="2" t="n">
        <x:v>1</x:v>
      </x:c>
      <x:c r="H1321" s="2" t="n">
        <x:v>0</x:v>
      </x:c>
      <x:c r="I1321" s="10" t="n">
        <x:v>29.95</x:v>
      </x:c>
      <x:c r="J1321" s="10" t="n">
        <x:v>2.99</x:v>
      </x:c>
      <x:c r="K1321" s="10" t="n">
        <x:v>10</x:v>
      </x:c>
      <x:c r="L1321" s="10" t="n">
        <x:f>G1321*I1321</x:f>
        <x:v>29.95</x:v>
      </x:c>
      <x:c r="M1321" s="10" t="n">
        <x:f>ROUND((L1321-J1321)*H1321/G1321,2)</x:f>
        <x:v>0</x:v>
      </x:c>
      <x:c r="N1321" s="10" t="n">
        <x:f>L1321-J1321-M1321</x:f>
        <x:v>26.96</x:v>
      </x:c>
      <x:c r="O1321" s="10" t="n">
        <x:f>(G1321-H1321)*K1321</x:f>
        <x:v>10</x:v>
      </x:c>
      <x:c r="P1321" s="10" t="n">
        <x:f>N1321-O1321</x:f>
        <x:v>16.96</x:v>
      </x:c>
      <x:c r="Q1321" s="9" t="n">
        <x:f>A1321-WEEKDAY(A1321,2)+1</x:f>
        <x:v>46314</x:v>
      </x:c>
      <x:c r="R1321" s="2" t="str">
        <x:f>IF(AND(A1321&gt;='Review'!$B$4,A1321&lt;='Review'!$D$4),"Selected","Outside")</x:f>
        <x:v>Selected</x:v>
      </x:c>
    </x:row>
    <x:row r="1322" ht="20" customHeight="1">
      <x:c r="A1322" s="9" t="n">
        <x:v>46314</x:v>
      </x:c>
      <x:c r="B1322" s="2" t="str">
        <x:v>MM-1928</x:v>
      </x:c>
      <x:c r="C1322" s="2" t="str">
        <x:v>Direct</x:v>
      </x:c>
      <x:c r="D1322" s="2" t="str">
        <x:v>KEY-001</x:v>
      </x:c>
      <x:c r="E1322" s="2" t="str">
        <x:f>_xlfn.IFNA(VLOOKUP(D1322,'Products'!$A$7:$I$22,2,FALSE),"Unmapped")</x:f>
        <x:v>Maple keyring</x:v>
      </x:c>
      <x:c r="F1322" s="2" t="str">
        <x:f>_xlfn.IFNA(VLOOKUP(D1322,'Products'!$A$7:$I$22,3,FALSE),"Unmapped")</x:f>
        <x:v>Accessories</x:v>
      </x:c>
      <x:c r="G1322" s="2" t="n">
        <x:v>1</x:v>
      </x:c>
      <x:c r="H1322" s="2" t="n">
        <x:v>0</x:v>
      </x:c>
      <x:c r="I1322" s="10" t="n">
        <x:v>12.95</x:v>
      </x:c>
      <x:c r="J1322" s="10" t="n">
        <x:v>0</x:v>
      </x:c>
      <x:c r="K1322" s="10" t="n">
        <x:v>3.5</x:v>
      </x:c>
      <x:c r="L1322" s="10" t="n">
        <x:f>G1322*I1322</x:f>
        <x:v>12.95</x:v>
      </x:c>
      <x:c r="M1322" s="10" t="n">
        <x:f>ROUND((L1322-J1322)*H1322/G1322,2)</x:f>
        <x:v>0</x:v>
      </x:c>
      <x:c r="N1322" s="10" t="n">
        <x:f>L1322-J1322-M1322</x:f>
        <x:v>12.95</x:v>
      </x:c>
      <x:c r="O1322" s="10" t="n">
        <x:f>(G1322-H1322)*K1322</x:f>
        <x:v>3.5</x:v>
      </x:c>
      <x:c r="P1322" s="10" t="n">
        <x:f>N1322-O1322</x:f>
        <x:v>9.45</x:v>
      </x:c>
      <x:c r="Q1322" s="9" t="n">
        <x:f>A1322-WEEKDAY(A1322,2)+1</x:f>
        <x:v>46314</x:v>
      </x:c>
      <x:c r="R1322" s="2" t="str">
        <x:f>IF(AND(A1322&gt;='Review'!$B$4,A1322&lt;='Review'!$D$4),"Selected","Outside")</x:f>
        <x:v>Selected</x:v>
      </x:c>
    </x:row>
    <x:row r="1323" ht="20" customHeight="1">
      <x:c r="A1323" s="9" t="n">
        <x:v>46314</x:v>
      </x:c>
      <x:c r="B1323" s="2" t="str">
        <x:v>MM-1931</x:v>
      </x:c>
      <x:c r="C1323" s="2" t="str">
        <x:v>Organic Search</x:v>
      </x:c>
      <x:c r="D1323" s="2" t="str">
        <x:v>APP-001</x:v>
      </x:c>
      <x:c r="E1323" s="2" t="str">
        <x:f>_xlfn.IFNA(VLOOKUP(D1323,'Products'!$A$7:$I$22,2,FALSE),"Unmapped")</x:f>
        <x:v>Everyday crewneck</x:v>
      </x:c>
      <x:c r="F1323" s="2" t="str">
        <x:f>_xlfn.IFNA(VLOOKUP(D1323,'Products'!$A$7:$I$22,3,FALSE),"Unmapped")</x:f>
        <x:v>Apparel</x:v>
      </x:c>
      <x:c r="G1323" s="2" t="n">
        <x:v>2</x:v>
      </x:c>
      <x:c r="H1323" s="2" t="n">
        <x:v>0</x:v>
      </x:c>
      <x:c r="I1323" s="10" t="n">
        <x:v>54.95</x:v>
      </x:c>
      <x:c r="J1323" s="10" t="n">
        <x:v>0</x:v>
      </x:c>
      <x:c r="K1323" s="10" t="n">
        <x:v>22</x:v>
      </x:c>
      <x:c r="L1323" s="10" t="n">
        <x:f>G1323*I1323</x:f>
        <x:v>109.9</x:v>
      </x:c>
      <x:c r="M1323" s="10" t="n">
        <x:f>ROUND((L1323-J1323)*H1323/G1323,2)</x:f>
        <x:v>0</x:v>
      </x:c>
      <x:c r="N1323" s="10" t="n">
        <x:f>L1323-J1323-M1323</x:f>
        <x:v>109.9</x:v>
      </x:c>
      <x:c r="O1323" s="10" t="n">
        <x:f>(G1323-H1323)*K1323</x:f>
        <x:v>44</x:v>
      </x:c>
      <x:c r="P1323" s="10" t="n">
        <x:f>N1323-O1323</x:f>
        <x:v>65.9</x:v>
      </x:c>
      <x:c r="Q1323" s="9" t="n">
        <x:f>A1323-WEEKDAY(A1323,2)+1</x:f>
        <x:v>46314</x:v>
      </x:c>
      <x:c r="R1323" s="2" t="str">
        <x:f>IF(AND(A1323&gt;='Review'!$B$4,A1323&lt;='Review'!$D$4),"Selected","Outside")</x:f>
        <x:v>Selected</x:v>
      </x:c>
    </x:row>
    <x:row r="1324" ht="20" customHeight="1">
      <x:c r="A1324" s="9" t="n">
        <x:v>46314</x:v>
      </x:c>
      <x:c r="B1324" s="2" t="str">
        <x:v>MM-1931</x:v>
      </x:c>
      <x:c r="C1324" s="2" t="str">
        <x:v>Organic Search</x:v>
      </x:c>
      <x:c r="D1324" s="2" t="str">
        <x:v>MUG-002</x:v>
      </x:c>
      <x:c r="E1324" s="2" t="str">
        <x:f>_xlfn.IFNA(VLOOKUP(D1324,'Products'!$A$7:$I$22,2,FALSE),"Unmapped")</x:f>
        <x:v>Campfire enamel mug</x:v>
      </x:c>
      <x:c r="F1324" s="2" t="str">
        <x:f>_xlfn.IFNA(VLOOKUP(D1324,'Products'!$A$7:$I$22,3,FALSE),"Unmapped")</x:f>
        <x:v>Drinkware</x:v>
      </x:c>
      <x:c r="G1324" s="2" t="n">
        <x:v>1</x:v>
      </x:c>
      <x:c r="H1324" s="2" t="n">
        <x:v>0</x:v>
      </x:c>
      <x:c r="I1324" s="10" t="n">
        <x:v>22.95</x:v>
      </x:c>
      <x:c r="J1324" s="10" t="n">
        <x:v>0</x:v>
      </x:c>
      <x:c r="K1324" s="10" t="n">
        <x:v>8.5</x:v>
      </x:c>
      <x:c r="L1324" s="10" t="n">
        <x:f>G1324*I1324</x:f>
        <x:v>22.95</x:v>
      </x:c>
      <x:c r="M1324" s="10" t="n">
        <x:f>ROUND((L1324-J1324)*H1324/G1324,2)</x:f>
        <x:v>0</x:v>
      </x:c>
      <x:c r="N1324" s="10" t="n">
        <x:f>L1324-J1324-M1324</x:f>
        <x:v>22.95</x:v>
      </x:c>
      <x:c r="O1324" s="10" t="n">
        <x:f>(G1324-H1324)*K1324</x:f>
        <x:v>8.5</x:v>
      </x:c>
      <x:c r="P1324" s="10" t="n">
        <x:f>N1324-O1324</x:f>
        <x:v>14.45</x:v>
      </x:c>
      <x:c r="Q1324" s="9" t="n">
        <x:f>A1324-WEEKDAY(A1324,2)+1</x:f>
        <x:v>46314</x:v>
      </x:c>
      <x:c r="R1324" s="2" t="str">
        <x:f>IF(AND(A1324&gt;='Review'!$B$4,A1324&lt;='Review'!$D$4),"Selected","Outside")</x:f>
        <x:v>Selected</x:v>
      </x:c>
    </x:row>
    <x:row r="1325" ht="20" customHeight="1">
      <x:c r="A1325" s="9" t="n">
        <x:v>46314</x:v>
      </x:c>
      <x:c r="B1325" s="2" t="str">
        <x:v>MM-1938</x:v>
      </x:c>
      <x:c r="C1325" s="2" t="str">
        <x:v>Organic Search</x:v>
      </x:c>
      <x:c r="D1325" s="2" t="str">
        <x:v>TUM-002</x:v>
      </x:c>
      <x:c r="E1325" s="2" t="str">
        <x:f>_xlfn.IFNA(VLOOKUP(D1325,'Products'!$A$7:$I$22,2,FALSE),"Unmapped")</x:f>
        <x:v>Cold brew glass cup</x:v>
      </x:c>
      <x:c r="F1325" s="2" t="str">
        <x:f>_xlfn.IFNA(VLOOKUP(D1325,'Products'!$A$7:$I$22,3,FALSE),"Unmapped")</x:f>
        <x:v>Drinkware</x:v>
      </x:c>
      <x:c r="G1325" s="2" t="n">
        <x:v>1</x:v>
      </x:c>
      <x:c r="H1325" s="2" t="n">
        <x:v>0</x:v>
      </x:c>
      <x:c r="I1325" s="10" t="n">
        <x:v>24.95</x:v>
      </x:c>
      <x:c r="J1325" s="10" t="n">
        <x:v>0</x:v>
      </x:c>
      <x:c r="K1325" s="10" t="n">
        <x:v>9</x:v>
      </x:c>
      <x:c r="L1325" s="10" t="n">
        <x:f>G1325*I1325</x:f>
        <x:v>24.95</x:v>
      </x:c>
      <x:c r="M1325" s="10" t="n">
        <x:f>ROUND((L1325-J1325)*H1325/G1325,2)</x:f>
        <x:v>0</x:v>
      </x:c>
      <x:c r="N1325" s="10" t="n">
        <x:f>L1325-J1325-M1325</x:f>
        <x:v>24.95</x:v>
      </x:c>
      <x:c r="O1325" s="10" t="n">
        <x:f>(G1325-H1325)*K1325</x:f>
        <x:v>9</x:v>
      </x:c>
      <x:c r="P1325" s="10" t="n">
        <x:f>N1325-O1325</x:f>
        <x:v>15.95</x:v>
      </x:c>
      <x:c r="Q1325" s="9" t="n">
        <x:f>A1325-WEEKDAY(A1325,2)+1</x:f>
        <x:v>46314</x:v>
      </x:c>
      <x:c r="R1325" s="2" t="str">
        <x:f>IF(AND(A1325&gt;='Review'!$B$4,A1325&lt;='Review'!$D$4),"Selected","Outside")</x:f>
        <x:v>Selected</x:v>
      </x:c>
    </x:row>
    <x:row r="1326" ht="20" customHeight="1">
      <x:c r="A1326" s="9" t="n">
        <x:v>46314</x:v>
      </x:c>
      <x:c r="B1326" s="2" t="str">
        <x:v>MM-1921</x:v>
      </x:c>
      <x:c r="C1326" s="2" t="str">
        <x:v>Organic Search</x:v>
      </x:c>
      <x:c r="D1326" s="2" t="str">
        <x:v>MUG-002</x:v>
      </x:c>
      <x:c r="E1326" s="2" t="str">
        <x:f>_xlfn.IFNA(VLOOKUP(D1326,'Products'!$A$7:$I$22,2,FALSE),"Unmapped")</x:f>
        <x:v>Campfire enamel mug</x:v>
      </x:c>
      <x:c r="F1326" s="2" t="str">
        <x:f>_xlfn.IFNA(VLOOKUP(D1326,'Products'!$A$7:$I$22,3,FALSE),"Unmapped")</x:f>
        <x:v>Drinkware</x:v>
      </x:c>
      <x:c r="G1326" s="2" t="n">
        <x:v>1</x:v>
      </x:c>
      <x:c r="H1326" s="2" t="n">
        <x:v>0</x:v>
      </x:c>
      <x:c r="I1326" s="10" t="n">
        <x:v>22.95</x:v>
      </x:c>
      <x:c r="J1326" s="10" t="n">
        <x:v>0</x:v>
      </x:c>
      <x:c r="K1326" s="10" t="n">
        <x:v>8.5</x:v>
      </x:c>
      <x:c r="L1326" s="10" t="n">
        <x:f>G1326*I1326</x:f>
        <x:v>22.95</x:v>
      </x:c>
      <x:c r="M1326" s="10" t="n">
        <x:f>ROUND((L1326-J1326)*H1326/G1326,2)</x:f>
        <x:v>0</x:v>
      </x:c>
      <x:c r="N1326" s="10" t="n">
        <x:f>L1326-J1326-M1326</x:f>
        <x:v>22.95</x:v>
      </x:c>
      <x:c r="O1326" s="10" t="n">
        <x:f>(G1326-H1326)*K1326</x:f>
        <x:v>8.5</x:v>
      </x:c>
      <x:c r="P1326" s="10" t="n">
        <x:f>N1326-O1326</x:f>
        <x:v>14.45</x:v>
      </x:c>
      <x:c r="Q1326" s="9" t="n">
        <x:f>A1326-WEEKDAY(A1326,2)+1</x:f>
        <x:v>46314</x:v>
      </x:c>
      <x:c r="R1326" s="2" t="str">
        <x:f>IF(AND(A1326&gt;='Review'!$B$4,A1326&lt;='Review'!$D$4),"Selected","Outside")</x:f>
        <x:v>Selected</x:v>
      </x:c>
    </x:row>
    <x:row r="1327" ht="20" customHeight="1">
      <x:c r="A1327" s="9" t="n">
        <x:v>46314</x:v>
      </x:c>
      <x:c r="B1327" s="2" t="str">
        <x:v>MM-1921</x:v>
      </x:c>
      <x:c r="C1327" s="2" t="str">
        <x:v>Organic Search</x:v>
      </x:c>
      <x:c r="D1327" s="2" t="str">
        <x:v>TOTE-001</x:v>
      </x:c>
      <x:c r="E1327" s="2" t="str">
        <x:f>_xlfn.IFNA(VLOOKUP(D1327,'Products'!$A$7:$I$22,2,FALSE),"Unmapped")</x:f>
        <x:v>Market canvas tote</x:v>
      </x:c>
      <x:c r="F1327" s="2" t="str">
        <x:f>_xlfn.IFNA(VLOOKUP(D1327,'Products'!$A$7:$I$22,3,FALSE),"Unmapped")</x:f>
        <x:v>Accessories</x:v>
      </x:c>
      <x:c r="G1327" s="2" t="n">
        <x:v>2</x:v>
      </x:c>
      <x:c r="H1327" s="2" t="n">
        <x:v>0</x:v>
      </x:c>
      <x:c r="I1327" s="10" t="n">
        <x:v>19.95</x:v>
      </x:c>
      <x:c r="J1327" s="10" t="n">
        <x:v>3.99</x:v>
      </x:c>
      <x:c r="K1327" s="10" t="n">
        <x:v>6</x:v>
      </x:c>
      <x:c r="L1327" s="10" t="n">
        <x:f>G1327*I1327</x:f>
        <x:v>39.9</x:v>
      </x:c>
      <x:c r="M1327" s="10" t="n">
        <x:f>ROUND((L1327-J1327)*H1327/G1327,2)</x:f>
        <x:v>0</x:v>
      </x:c>
      <x:c r="N1327" s="10" t="n">
        <x:f>L1327-J1327-M1327</x:f>
        <x:v>35.91</x:v>
      </x:c>
      <x:c r="O1327" s="10" t="n">
        <x:f>(G1327-H1327)*K1327</x:f>
        <x:v>12</x:v>
      </x:c>
      <x:c r="P1327" s="10" t="n">
        <x:f>N1327-O1327</x:f>
        <x:v>23.909999999999997</x:v>
      </x:c>
      <x:c r="Q1327" s="9" t="n">
        <x:f>A1327-WEEKDAY(A1327,2)+1</x:f>
        <x:v>46314</x:v>
      </x:c>
      <x:c r="R1327" s="2" t="str">
        <x:f>IF(AND(A1327&gt;='Review'!$B$4,A1327&lt;='Review'!$D$4),"Selected","Outside")</x:f>
        <x:v>Selected</x:v>
      </x:c>
    </x:row>
    <x:row r="1328" ht="20" customHeight="1">
      <x:c r="A1328" s="9" t="n">
        <x:v>46314</x:v>
      </x:c>
      <x:c r="B1328" s="2" t="str">
        <x:v>MM-1925</x:v>
      </x:c>
      <x:c r="C1328" s="2" t="str">
        <x:v>Organic Search</x:v>
      </x:c>
      <x:c r="D1328" s="2" t="str">
        <x:v>KEY-001</x:v>
      </x:c>
      <x:c r="E1328" s="2" t="str">
        <x:f>_xlfn.IFNA(VLOOKUP(D1328,'Products'!$A$7:$I$22,2,FALSE),"Unmapped")</x:f>
        <x:v>Maple keyring</x:v>
      </x:c>
      <x:c r="F1328" s="2" t="str">
        <x:f>_xlfn.IFNA(VLOOKUP(D1328,'Products'!$A$7:$I$22,3,FALSE),"Unmapped")</x:f>
        <x:v>Accessories</x:v>
      </x:c>
      <x:c r="G1328" s="2" t="n">
        <x:v>3</x:v>
      </x:c>
      <x:c r="H1328" s="2" t="n">
        <x:v>0</x:v>
      </x:c>
      <x:c r="I1328" s="10" t="n">
        <x:v>12.95</x:v>
      </x:c>
      <x:c r="J1328" s="10" t="n">
        <x:v>0</x:v>
      </x:c>
      <x:c r="K1328" s="10" t="n">
        <x:v>3.5</x:v>
      </x:c>
      <x:c r="L1328" s="10" t="n">
        <x:f>G1328*I1328</x:f>
        <x:v>38.849999999999994</x:v>
      </x:c>
      <x:c r="M1328" s="10" t="n">
        <x:f>ROUND((L1328-J1328)*H1328/G1328,2)</x:f>
        <x:v>0</x:v>
      </x:c>
      <x:c r="N1328" s="10" t="n">
        <x:f>L1328-J1328-M1328</x:f>
        <x:v>38.849999999999994</x:v>
      </x:c>
      <x:c r="O1328" s="10" t="n">
        <x:f>(G1328-H1328)*K1328</x:f>
        <x:v>10.5</x:v>
      </x:c>
      <x:c r="P1328" s="10" t="n">
        <x:f>N1328-O1328</x:f>
        <x:v>28.349999999999994</x:v>
      </x:c>
      <x:c r="Q1328" s="9" t="n">
        <x:f>A1328-WEEKDAY(A1328,2)+1</x:f>
        <x:v>46314</x:v>
      </x:c>
      <x:c r="R1328" s="2" t="str">
        <x:f>IF(AND(A1328&gt;='Review'!$B$4,A1328&lt;='Review'!$D$4),"Selected","Outside")</x:f>
        <x:v>Selected</x:v>
      </x:c>
    </x:row>
    <x:row r="1329" ht="20" customHeight="1">
      <x:c r="A1329" s="9" t="n">
        <x:v>46314</x:v>
      </x:c>
      <x:c r="B1329" s="2" t="str">
        <x:v>MM-1939</x:v>
      </x:c>
      <x:c r="C1329" s="2" t="str">
        <x:v>Direct</x:v>
      </x:c>
      <x:c r="D1329" s="2" t="str">
        <x:v>TOTE-001</x:v>
      </x:c>
      <x:c r="E1329" s="2" t="str">
        <x:f>_xlfn.IFNA(VLOOKUP(D1329,'Products'!$A$7:$I$22,2,FALSE),"Unmapped")</x:f>
        <x:v>Market canvas tote</x:v>
      </x:c>
      <x:c r="F1329" s="2" t="str">
        <x:f>_xlfn.IFNA(VLOOKUP(D1329,'Products'!$A$7:$I$22,3,FALSE),"Unmapped")</x:f>
        <x:v>Accessories</x:v>
      </x:c>
      <x:c r="G1329" s="2" t="n">
        <x:v>1</x:v>
      </x:c>
      <x:c r="H1329" s="2" t="n">
        <x:v>0</x:v>
      </x:c>
      <x:c r="I1329" s="10" t="n">
        <x:v>19.95</x:v>
      </x:c>
      <x:c r="J1329" s="10" t="n">
        <x:v>0</x:v>
      </x:c>
      <x:c r="K1329" s="10" t="n">
        <x:v>6</x:v>
      </x:c>
      <x:c r="L1329" s="10" t="n">
        <x:f>G1329*I1329</x:f>
        <x:v>19.95</x:v>
      </x:c>
      <x:c r="M1329" s="10" t="n">
        <x:f>ROUND((L1329-J1329)*H1329/G1329,2)</x:f>
        <x:v>0</x:v>
      </x:c>
      <x:c r="N1329" s="10" t="n">
        <x:f>L1329-J1329-M1329</x:f>
        <x:v>19.95</x:v>
      </x:c>
      <x:c r="O1329" s="10" t="n">
        <x:f>(G1329-H1329)*K1329</x:f>
        <x:v>6</x:v>
      </x:c>
      <x:c r="P1329" s="10" t="n">
        <x:f>N1329-O1329</x:f>
        <x:v>13.95</x:v>
      </x:c>
      <x:c r="Q1329" s="9" t="n">
        <x:f>A1329-WEEKDAY(A1329,2)+1</x:f>
        <x:v>46314</x:v>
      </x:c>
      <x:c r="R1329" s="2" t="str">
        <x:f>IF(AND(A1329&gt;='Review'!$B$4,A1329&lt;='Review'!$D$4),"Selected","Outside")</x:f>
        <x:v>Selected</x:v>
      </x:c>
    </x:row>
    <x:row r="1330" ht="20" customHeight="1">
      <x:c r="A1330" s="9" t="n">
        <x:v>46314</x:v>
      </x:c>
      <x:c r="B1330" s="2" t="str">
        <x:v>MM-1939</x:v>
      </x:c>
      <x:c r="C1330" s="2" t="str">
        <x:v>Direct</x:v>
      </x:c>
      <x:c r="D1330" s="2" t="str">
        <x:v>APP-002</x:v>
      </x:c>
      <x:c r="E1330" s="2" t="str">
        <x:f>_xlfn.IFNA(VLOOKUP(D1330,'Products'!$A$7:$I$22,2,FALSE),"Unmapped")</x:f>
        <x:v>Weekend hoodie</x:v>
      </x:c>
      <x:c r="F1330" s="2" t="str">
        <x:f>_xlfn.IFNA(VLOOKUP(D1330,'Products'!$A$7:$I$22,3,FALSE),"Unmapped")</x:f>
        <x:v>Apparel</x:v>
      </x:c>
      <x:c r="G1330" s="2" t="n">
        <x:v>1</x:v>
      </x:c>
      <x:c r="H1330" s="2" t="n">
        <x:v>0</x:v>
      </x:c>
      <x:c r="I1330" s="10" t="n">
        <x:v>69.95</x:v>
      </x:c>
      <x:c r="J1330" s="10" t="n">
        <x:v>0</x:v>
      </x:c>
      <x:c r="K1330" s="10" t="n">
        <x:v>28</x:v>
      </x:c>
      <x:c r="L1330" s="10" t="n">
        <x:f>G1330*I1330</x:f>
        <x:v>69.95</x:v>
      </x:c>
      <x:c r="M1330" s="10" t="n">
        <x:f>ROUND((L1330-J1330)*H1330/G1330,2)</x:f>
        <x:v>0</x:v>
      </x:c>
      <x:c r="N1330" s="10" t="n">
        <x:f>L1330-J1330-M1330</x:f>
        <x:v>69.95</x:v>
      </x:c>
      <x:c r="O1330" s="10" t="n">
        <x:f>(G1330-H1330)*K1330</x:f>
        <x:v>28</x:v>
      </x:c>
      <x:c r="P1330" s="10" t="n">
        <x:f>N1330-O1330</x:f>
        <x:v>41.95</x:v>
      </x:c>
      <x:c r="Q1330" s="9" t="n">
        <x:f>A1330-WEEKDAY(A1330,2)+1</x:f>
        <x:v>46314</x:v>
      </x:c>
      <x:c r="R1330" s="2" t="str">
        <x:f>IF(AND(A1330&gt;='Review'!$B$4,A1330&lt;='Review'!$D$4),"Selected","Outside")</x:f>
        <x:v>Selected</x:v>
      </x:c>
    </x:row>
    <x:row r="1331" ht="20" customHeight="1">
      <x:c r="A1331" s="9" t="n">
        <x:v>46314</x:v>
      </x:c>
      <x:c r="B1331" s="2" t="str">
        <x:v>MM-1939</x:v>
      </x:c>
      <x:c r="C1331" s="2" t="str">
        <x:v>Direct</x:v>
      </x:c>
      <x:c r="D1331" s="2" t="str">
        <x:v>APP-003</x:v>
      </x:c>
      <x:c r="E1331" s="2" t="str">
        <x:f>_xlfn.IFNA(VLOOKUP(D1331,'Products'!$A$7:$I$22,2,FALSE),"Unmapped")</x:f>
        <x:v>Coffee club tee</x:v>
      </x:c>
      <x:c r="F1331" s="2" t="str">
        <x:f>_xlfn.IFNA(VLOOKUP(D1331,'Products'!$A$7:$I$22,3,FALSE),"Unmapped")</x:f>
        <x:v>Apparel</x:v>
      </x:c>
      <x:c r="G1331" s="2" t="n">
        <x:v>3</x:v>
      </x:c>
      <x:c r="H1331" s="2" t="n">
        <x:v>0</x:v>
      </x:c>
      <x:c r="I1331" s="10" t="n">
        <x:v>29.95</x:v>
      </x:c>
      <x:c r="J1331" s="10" t="n">
        <x:v>0</x:v>
      </x:c>
      <x:c r="K1331" s="10" t="n">
        <x:v>10</x:v>
      </x:c>
      <x:c r="L1331" s="10" t="n">
        <x:f>G1331*I1331</x:f>
        <x:v>89.85</x:v>
      </x:c>
      <x:c r="M1331" s="10" t="n">
        <x:f>ROUND((L1331-J1331)*H1331/G1331,2)</x:f>
        <x:v>0</x:v>
      </x:c>
      <x:c r="N1331" s="10" t="n">
        <x:f>L1331-J1331-M1331</x:f>
        <x:v>89.85</x:v>
      </x:c>
      <x:c r="O1331" s="10" t="n">
        <x:f>(G1331-H1331)*K1331</x:f>
        <x:v>30</x:v>
      </x:c>
      <x:c r="P1331" s="10" t="n">
        <x:f>N1331-O1331</x:f>
        <x:v>59.849999999999994</x:v>
      </x:c>
      <x:c r="Q1331" s="9" t="n">
        <x:f>A1331-WEEKDAY(A1331,2)+1</x:f>
        <x:v>46314</x:v>
      </x:c>
      <x:c r="R1331" s="2" t="str">
        <x:f>IF(AND(A1331&gt;='Review'!$B$4,A1331&lt;='Review'!$D$4),"Selected","Outside")</x:f>
        <x:v>Selected</x:v>
      </x:c>
    </x:row>
    <x:row r="1332" ht="20" customHeight="1">
      <x:c r="A1332" s="9" t="n">
        <x:v>46314</x:v>
      </x:c>
      <x:c r="B1332" s="2" t="str">
        <x:v>MM-1933</x:v>
      </x:c>
      <x:c r="C1332" s="2" t="str">
        <x:v>Paid Social</x:v>
      </x:c>
      <x:c r="D1332" s="2" t="str">
        <x:v>MUG-002</x:v>
      </x:c>
      <x:c r="E1332" s="2" t="str">
        <x:f>_xlfn.IFNA(VLOOKUP(D1332,'Products'!$A$7:$I$22,2,FALSE),"Unmapped")</x:f>
        <x:v>Campfire enamel mug</x:v>
      </x:c>
      <x:c r="F1332" s="2" t="str">
        <x:f>_xlfn.IFNA(VLOOKUP(D1332,'Products'!$A$7:$I$22,3,FALSE),"Unmapped")</x:f>
        <x:v>Drinkware</x:v>
      </x:c>
      <x:c r="G1332" s="2" t="n">
        <x:v>2</x:v>
      </x:c>
      <x:c r="H1332" s="2" t="n">
        <x:v>0</x:v>
      </x:c>
      <x:c r="I1332" s="10" t="n">
        <x:v>22.95</x:v>
      </x:c>
      <x:c r="J1332" s="10" t="n">
        <x:v>0</x:v>
      </x:c>
      <x:c r="K1332" s="10" t="n">
        <x:v>8.5</x:v>
      </x:c>
      <x:c r="L1332" s="10" t="n">
        <x:f>G1332*I1332</x:f>
        <x:v>45.9</x:v>
      </x:c>
      <x:c r="M1332" s="10" t="n">
        <x:f>ROUND((L1332-J1332)*H1332/G1332,2)</x:f>
        <x:v>0</x:v>
      </x:c>
      <x:c r="N1332" s="10" t="n">
        <x:f>L1332-J1332-M1332</x:f>
        <x:v>45.9</x:v>
      </x:c>
      <x:c r="O1332" s="10" t="n">
        <x:f>(G1332-H1332)*K1332</x:f>
        <x:v>17</x:v>
      </x:c>
      <x:c r="P1332" s="10" t="n">
        <x:f>N1332-O1332</x:f>
        <x:v>28.9</x:v>
      </x:c>
      <x:c r="Q1332" s="9" t="n">
        <x:f>A1332-WEEKDAY(A1332,2)+1</x:f>
        <x:v>46314</x:v>
      </x:c>
      <x:c r="R1332" s="2" t="str">
        <x:f>IF(AND(A1332&gt;='Review'!$B$4,A1332&lt;='Review'!$D$4),"Selected","Outside")</x:f>
        <x:v>Selected</x:v>
      </x:c>
    </x:row>
    <x:row r="1333" ht="20" customHeight="1">
      <x:c r="A1333" s="9" t="n">
        <x:v>46314</x:v>
      </x:c>
      <x:c r="B1333" s="2" t="str">
        <x:v>MM-1933</x:v>
      </x:c>
      <x:c r="C1333" s="2" t="str">
        <x:v>Paid Social</x:v>
      </x:c>
      <x:c r="D1333" s="2" t="str">
        <x:v>GFT-001</x:v>
      </x:c>
      <x:c r="E1333" s="2" t="str">
        <x:f>_xlfn.IFNA(VLOOKUP(D1333,'Products'!$A$7:$I$22,2,FALSE),"Unmapped")</x:f>
        <x:v>Morning ritual gift set</x:v>
      </x:c>
      <x:c r="F1333" s="2" t="str">
        <x:f>_xlfn.IFNA(VLOOKUP(D1333,'Products'!$A$7:$I$22,3,FALSE),"Unmapped")</x:f>
        <x:v>Gifts</x:v>
      </x:c>
      <x:c r="G1333" s="2" t="n">
        <x:v>1</x:v>
      </x:c>
      <x:c r="H1333" s="2" t="n">
        <x:v>0</x:v>
      </x:c>
      <x:c r="I1333" s="10" t="n">
        <x:v>59.95</x:v>
      </x:c>
      <x:c r="J1333" s="10" t="n">
        <x:v>0</x:v>
      </x:c>
      <x:c r="K1333" s="10" t="n">
        <x:v>24</x:v>
      </x:c>
      <x:c r="L1333" s="10" t="n">
        <x:f>G1333*I1333</x:f>
        <x:v>59.95</x:v>
      </x:c>
      <x:c r="M1333" s="10" t="n">
        <x:f>ROUND((L1333-J1333)*H1333/G1333,2)</x:f>
        <x:v>0</x:v>
      </x:c>
      <x:c r="N1333" s="10" t="n">
        <x:f>L1333-J1333-M1333</x:f>
        <x:v>59.95</x:v>
      </x:c>
      <x:c r="O1333" s="10" t="n">
        <x:f>(G1333-H1333)*K1333</x:f>
        <x:v>24</x:v>
      </x:c>
      <x:c r="P1333" s="10" t="n">
        <x:f>N1333-O1333</x:f>
        <x:v>35.95</x:v>
      </x:c>
      <x:c r="Q1333" s="9" t="n">
        <x:f>A1333-WEEKDAY(A1333,2)+1</x:f>
        <x:v>46314</x:v>
      </x:c>
      <x:c r="R1333" s="2" t="str">
        <x:f>IF(AND(A1333&gt;='Review'!$B$4,A1333&lt;='Review'!$D$4),"Selected","Outside")</x:f>
        <x:v>Selected</x:v>
      </x:c>
    </x:row>
    <x:row r="1334" ht="20" customHeight="1">
      <x:c r="A1334" s="9" t="n">
        <x:v>46314</x:v>
      </x:c>
      <x:c r="B1334" s="2" t="str">
        <x:v>MM-1933</x:v>
      </x:c>
      <x:c r="C1334" s="2" t="str">
        <x:v>Paid Social</x:v>
      </x:c>
      <x:c r="D1334" s="2" t="str">
        <x:v>PIN-001</x:v>
      </x:c>
      <x:c r="E1334" s="2" t="str">
        <x:f>_xlfn.IFNA(VLOOKUP(D1334,'Products'!$A$7:$I$22,2,FALSE),"Unmapped")</x:f>
        <x:v>Coffee enamel pin</x:v>
      </x:c>
      <x:c r="F1334" s="2" t="str">
        <x:f>_xlfn.IFNA(VLOOKUP(D1334,'Products'!$A$7:$I$22,3,FALSE),"Unmapped")</x:f>
        <x:v>Accessories</x:v>
      </x:c>
      <x:c r="G1334" s="2" t="n">
        <x:v>1</x:v>
      </x:c>
      <x:c r="H1334" s="2" t="n">
        <x:v>0</x:v>
      </x:c>
      <x:c r="I1334" s="10" t="n">
        <x:v>9.95</x:v>
      </x:c>
      <x:c r="J1334" s="10" t="n">
        <x:v>0</x:v>
      </x:c>
      <x:c r="K1334" s="10" t="n">
        <x:v>2.5</x:v>
      </x:c>
      <x:c r="L1334" s="10" t="n">
        <x:f>G1334*I1334</x:f>
        <x:v>9.95</x:v>
      </x:c>
      <x:c r="M1334" s="10" t="n">
        <x:f>ROUND((L1334-J1334)*H1334/G1334,2)</x:f>
        <x:v>0</x:v>
      </x:c>
      <x:c r="N1334" s="10" t="n">
        <x:f>L1334-J1334-M1334</x:f>
        <x:v>9.95</x:v>
      </x:c>
      <x:c r="O1334" s="10" t="n">
        <x:f>(G1334-H1334)*K1334</x:f>
        <x:v>2.5</x:v>
      </x:c>
      <x:c r="P1334" s="10" t="n">
        <x:f>N1334-O1334</x:f>
        <x:v>7.449999999999999</x:v>
      </x:c>
      <x:c r="Q1334" s="9" t="n">
        <x:f>A1334-WEEKDAY(A1334,2)+1</x:f>
        <x:v>46314</x:v>
      </x:c>
      <x:c r="R1334" s="2" t="str">
        <x:f>IF(AND(A1334&gt;='Review'!$B$4,A1334&lt;='Review'!$D$4),"Selected","Outside")</x:f>
        <x:v>Selected</x:v>
      </x:c>
    </x:row>
    <x:row r="1335" ht="20" customHeight="1">
      <x:c r="A1335" s="9" t="n">
        <x:v>46314</x:v>
      </x:c>
      <x:c r="B1335" s="2" t="str">
        <x:v>MM-1934</x:v>
      </x:c>
      <x:c r="C1335" s="2" t="str">
        <x:v>Organic Search</x:v>
      </x:c>
      <x:c r="D1335" s="2" t="str">
        <x:v>GFT-002</x:v>
      </x:c>
      <x:c r="E1335" s="2" t="str">
        <x:f>_xlfn.IFNA(VLOOKUP(D1335,'Products'!$A$7:$I$22,2,FALSE),"Unmapped")</x:f>
        <x:v>Cozy weekend gift box</x:v>
      </x:c>
      <x:c r="F1335" s="2" t="str">
        <x:f>_xlfn.IFNA(VLOOKUP(D1335,'Products'!$A$7:$I$22,3,FALSE),"Unmapped")</x:f>
        <x:v>Gifts</x:v>
      </x:c>
      <x:c r="G1335" s="2" t="n">
        <x:v>1</x:v>
      </x:c>
      <x:c r="H1335" s="2" t="n">
        <x:v>0</x:v>
      </x:c>
      <x:c r="I1335" s="10" t="n">
        <x:v>79.95</x:v>
      </x:c>
      <x:c r="J1335" s="10" t="n">
        <x:v>0</x:v>
      </x:c>
      <x:c r="K1335" s="10" t="n">
        <x:v>32</x:v>
      </x:c>
      <x:c r="L1335" s="10" t="n">
        <x:f>G1335*I1335</x:f>
        <x:v>79.95</x:v>
      </x:c>
      <x:c r="M1335" s="10" t="n">
        <x:f>ROUND((L1335-J1335)*H1335/G1335,2)</x:f>
        <x:v>0</x:v>
      </x:c>
      <x:c r="N1335" s="10" t="n">
        <x:f>L1335-J1335-M1335</x:f>
        <x:v>79.95</x:v>
      </x:c>
      <x:c r="O1335" s="10" t="n">
        <x:f>(G1335-H1335)*K1335</x:f>
        <x:v>32</x:v>
      </x:c>
      <x:c r="P1335" s="10" t="n">
        <x:f>N1335-O1335</x:f>
        <x:v>47.95</x:v>
      </x:c>
      <x:c r="Q1335" s="9" t="n">
        <x:f>A1335-WEEKDAY(A1335,2)+1</x:f>
        <x:v>46314</x:v>
      </x:c>
      <x:c r="R1335" s="2" t="str">
        <x:f>IF(AND(A1335&gt;='Review'!$B$4,A1335&lt;='Review'!$D$4),"Selected","Outside")</x:f>
        <x:v>Selected</x:v>
      </x:c>
    </x:row>
    <x:row r="1336" ht="20" customHeight="1">
      <x:c r="A1336" s="9" t="n">
        <x:v>46314</x:v>
      </x:c>
      <x:c r="B1336" s="2" t="str">
        <x:v>MM-1934</x:v>
      </x:c>
      <x:c r="C1336" s="2" t="str">
        <x:v>Organic Search</x:v>
      </x:c>
      <x:c r="D1336" s="2" t="str">
        <x:v>MUG-002</x:v>
      </x:c>
      <x:c r="E1336" s="2" t="str">
        <x:f>_xlfn.IFNA(VLOOKUP(D1336,'Products'!$A$7:$I$22,2,FALSE),"Unmapped")</x:f>
        <x:v>Campfire enamel mug</x:v>
      </x:c>
      <x:c r="F1336" s="2" t="str">
        <x:f>_xlfn.IFNA(VLOOKUP(D1336,'Products'!$A$7:$I$22,3,FALSE),"Unmapped")</x:f>
        <x:v>Drinkware</x:v>
      </x:c>
      <x:c r="G1336" s="2" t="n">
        <x:v>1</x:v>
      </x:c>
      <x:c r="H1336" s="2" t="n">
        <x:v>0</x:v>
      </x:c>
      <x:c r="I1336" s="10" t="n">
        <x:v>22.95</x:v>
      </x:c>
      <x:c r="J1336" s="10" t="n">
        <x:v>0</x:v>
      </x:c>
      <x:c r="K1336" s="10" t="n">
        <x:v>8.5</x:v>
      </x:c>
      <x:c r="L1336" s="10" t="n">
        <x:f>G1336*I1336</x:f>
        <x:v>22.95</x:v>
      </x:c>
      <x:c r="M1336" s="10" t="n">
        <x:f>ROUND((L1336-J1336)*H1336/G1336,2)</x:f>
        <x:v>0</x:v>
      </x:c>
      <x:c r="N1336" s="10" t="n">
        <x:f>L1336-J1336-M1336</x:f>
        <x:v>22.95</x:v>
      </x:c>
      <x:c r="O1336" s="10" t="n">
        <x:f>(G1336-H1336)*K1336</x:f>
        <x:v>8.5</x:v>
      </x:c>
      <x:c r="P1336" s="10" t="n">
        <x:f>N1336-O1336</x:f>
        <x:v>14.45</x:v>
      </x:c>
      <x:c r="Q1336" s="9" t="n">
        <x:f>A1336-WEEKDAY(A1336,2)+1</x:f>
        <x:v>46314</x:v>
      </x:c>
      <x:c r="R1336" s="2" t="str">
        <x:f>IF(AND(A1336&gt;='Review'!$B$4,A1336&lt;='Review'!$D$4),"Selected","Outside")</x:f>
        <x:v>Selected</x:v>
      </x:c>
    </x:row>
    <x:row r="1337" ht="20" customHeight="1">
      <x:c r="A1337" s="9" t="n">
        <x:v>46314</x:v>
      </x:c>
      <x:c r="B1337" s="2" t="str">
        <x:v>MM-1924</x:v>
      </x:c>
      <x:c r="C1337" s="2" t="str">
        <x:v>Email</x:v>
      </x:c>
      <x:c r="D1337" s="2" t="str">
        <x:v>BOT-001</x:v>
      </x:c>
      <x:c r="E1337" s="2" t="str">
        <x:f>_xlfn.IFNA(VLOOKUP(D1337,'Products'!$A$7:$I$22,2,FALSE),"Unmapped")</x:f>
        <x:v>Trail water bottle</x:v>
      </x:c>
      <x:c r="F1337" s="2" t="str">
        <x:f>_xlfn.IFNA(VLOOKUP(D1337,'Products'!$A$7:$I$22,3,FALSE),"Unmapped")</x:f>
        <x:v>Drinkware</x:v>
      </x:c>
      <x:c r="G1337" s="2" t="n">
        <x:v>1</x:v>
      </x:c>
      <x:c r="H1337" s="2" t="n">
        <x:v>0</x:v>
      </x:c>
      <x:c r="I1337" s="10" t="n">
        <x:v>34.95</x:v>
      </x:c>
      <x:c r="J1337" s="10" t="n">
        <x:v>3.49</x:v>
      </x:c>
      <x:c r="K1337" s="10" t="n">
        <x:v>13.5</x:v>
      </x:c>
      <x:c r="L1337" s="10" t="n">
        <x:f>G1337*I1337</x:f>
        <x:v>34.95</x:v>
      </x:c>
      <x:c r="M1337" s="10" t="n">
        <x:f>ROUND((L1337-J1337)*H1337/G1337,2)</x:f>
        <x:v>0</x:v>
      </x:c>
      <x:c r="N1337" s="10" t="n">
        <x:f>L1337-J1337-M1337</x:f>
        <x:v>31.46</x:v>
      </x:c>
      <x:c r="O1337" s="10" t="n">
        <x:f>(G1337-H1337)*K1337</x:f>
        <x:v>13.5</x:v>
      </x:c>
      <x:c r="P1337" s="10" t="n">
        <x:f>N1337-O1337</x:f>
        <x:v>17.96</x:v>
      </x:c>
      <x:c r="Q1337" s="9" t="n">
        <x:f>A1337-WEEKDAY(A1337,2)+1</x:f>
        <x:v>46314</x:v>
      </x:c>
      <x:c r="R1337" s="2" t="str">
        <x:f>IF(AND(A1337&gt;='Review'!$B$4,A1337&lt;='Review'!$D$4),"Selected","Outside")</x:f>
        <x:v>Selected</x:v>
      </x:c>
    </x:row>
    <x:row r="1338" ht="20" customHeight="1">
      <x:c r="A1338" s="9" t="n">
        <x:v>46314</x:v>
      </x:c>
      <x:c r="B1338" s="2" t="str">
        <x:v>MM-1924</x:v>
      </x:c>
      <x:c r="C1338" s="2" t="str">
        <x:v>Email</x:v>
      </x:c>
      <x:c r="D1338" s="2" t="str">
        <x:v>APP-002</x:v>
      </x:c>
      <x:c r="E1338" s="2" t="str">
        <x:f>_xlfn.IFNA(VLOOKUP(D1338,'Products'!$A$7:$I$22,2,FALSE),"Unmapped")</x:f>
        <x:v>Weekend hoodie</x:v>
      </x:c>
      <x:c r="F1338" s="2" t="str">
        <x:f>_xlfn.IFNA(VLOOKUP(D1338,'Products'!$A$7:$I$22,3,FALSE),"Unmapped")</x:f>
        <x:v>Apparel</x:v>
      </x:c>
      <x:c r="G1338" s="2" t="n">
        <x:v>2</x:v>
      </x:c>
      <x:c r="H1338" s="2" t="n">
        <x:v>0</x:v>
      </x:c>
      <x:c r="I1338" s="10" t="n">
        <x:v>69.95</x:v>
      </x:c>
      <x:c r="J1338" s="10" t="n">
        <x:v>13.99</x:v>
      </x:c>
      <x:c r="K1338" s="10" t="n">
        <x:v>28</x:v>
      </x:c>
      <x:c r="L1338" s="10" t="n">
        <x:f>G1338*I1338</x:f>
        <x:v>139.9</x:v>
      </x:c>
      <x:c r="M1338" s="10" t="n">
        <x:f>ROUND((L1338-J1338)*H1338/G1338,2)</x:f>
        <x:v>0</x:v>
      </x:c>
      <x:c r="N1338" s="10" t="n">
        <x:f>L1338-J1338-M1338</x:f>
        <x:v>125.91000000000001</x:v>
      </x:c>
      <x:c r="O1338" s="10" t="n">
        <x:f>(G1338-H1338)*K1338</x:f>
        <x:v>56</x:v>
      </x:c>
      <x:c r="P1338" s="10" t="n">
        <x:f>N1338-O1338</x:f>
        <x:v>69.91000000000001</x:v>
      </x:c>
      <x:c r="Q1338" s="9" t="n">
        <x:f>A1338-WEEKDAY(A1338,2)+1</x:f>
        <x:v>46314</x:v>
      </x:c>
      <x:c r="R1338" s="2" t="str">
        <x:f>IF(AND(A1338&gt;='Review'!$B$4,A1338&lt;='Review'!$D$4),"Selected","Outside")</x:f>
        <x:v>Selected</x:v>
      </x:c>
    </x:row>
    <x:row r="1339" ht="20" customHeight="1">
      <x:c r="A1339" s="9" t="n">
        <x:v>46314</x:v>
      </x:c>
      <x:c r="B1339" s="2" t="str">
        <x:v>MM-1932</x:v>
      </x:c>
      <x:c r="C1339" s="2" t="str">
        <x:v>Email</x:v>
      </x:c>
      <x:c r="D1339" s="2" t="str">
        <x:v>HAT-001</x:v>
      </x:c>
      <x:c r="E1339" s="2" t="str">
        <x:f>_xlfn.IFNA(VLOOKUP(D1339,'Products'!$A$7:$I$22,2,FALSE),"Unmapped")</x:f>
        <x:v>Classic canvas cap</x:v>
      </x:c>
      <x:c r="F1339" s="2" t="str">
        <x:f>_xlfn.IFNA(VLOOKUP(D1339,'Products'!$A$7:$I$22,3,FALSE),"Unmapped")</x:f>
        <x:v>Accessories</x:v>
      </x:c>
      <x:c r="G1339" s="2" t="n">
        <x:v>1</x:v>
      </x:c>
      <x:c r="H1339" s="2" t="n">
        <x:v>0</x:v>
      </x:c>
      <x:c r="I1339" s="10" t="n">
        <x:v>24.95</x:v>
      </x:c>
      <x:c r="J1339" s="10" t="n">
        <x:v>2.49</x:v>
      </x:c>
      <x:c r="K1339" s="10" t="n">
        <x:v>8.5</x:v>
      </x:c>
      <x:c r="L1339" s="10" t="n">
        <x:f>G1339*I1339</x:f>
        <x:v>24.95</x:v>
      </x:c>
      <x:c r="M1339" s="10" t="n">
        <x:f>ROUND((L1339-J1339)*H1339/G1339,2)</x:f>
        <x:v>0</x:v>
      </x:c>
      <x:c r="N1339" s="10" t="n">
        <x:f>L1339-J1339-M1339</x:f>
        <x:v>22.46</x:v>
      </x:c>
      <x:c r="O1339" s="10" t="n">
        <x:f>(G1339-H1339)*K1339</x:f>
        <x:v>8.5</x:v>
      </x:c>
      <x:c r="P1339" s="10" t="n">
        <x:f>N1339-O1339</x:f>
        <x:v>13.96</x:v>
      </x:c>
      <x:c r="Q1339" s="9" t="n">
        <x:f>A1339-WEEKDAY(A1339,2)+1</x:f>
        <x:v>46314</x:v>
      </x:c>
      <x:c r="R1339" s="2" t="str">
        <x:f>IF(AND(A1339&gt;='Review'!$B$4,A1339&lt;='Review'!$D$4),"Selected","Outside")</x:f>
        <x:v>Selected</x:v>
      </x:c>
    </x:row>
    <x:row r="1340" ht="20" customHeight="1">
      <x:c r="A1340" s="9" t="n">
        <x:v>46314</x:v>
      </x:c>
      <x:c r="B1340" s="2" t="str">
        <x:v>MM-1932</x:v>
      </x:c>
      <x:c r="C1340" s="2" t="str">
        <x:v>Email</x:v>
      </x:c>
      <x:c r="D1340" s="2" t="str">
        <x:v>TUM-002</x:v>
      </x:c>
      <x:c r="E1340" s="2" t="str">
        <x:f>_xlfn.IFNA(VLOOKUP(D1340,'Products'!$A$7:$I$22,2,FALSE),"Unmapped")</x:f>
        <x:v>Cold brew glass cup</x:v>
      </x:c>
      <x:c r="F1340" s="2" t="str">
        <x:f>_xlfn.IFNA(VLOOKUP(D1340,'Products'!$A$7:$I$22,3,FALSE),"Unmapped")</x:f>
        <x:v>Drinkware</x:v>
      </x:c>
      <x:c r="G1340" s="2" t="n">
        <x:v>1</x:v>
      </x:c>
      <x:c r="H1340" s="2" t="n">
        <x:v>0</x:v>
      </x:c>
      <x:c r="I1340" s="10" t="n">
        <x:v>24.95</x:v>
      </x:c>
      <x:c r="J1340" s="10" t="n">
        <x:v>2.49</x:v>
      </x:c>
      <x:c r="K1340" s="10" t="n">
        <x:v>9</x:v>
      </x:c>
      <x:c r="L1340" s="10" t="n">
        <x:f>G1340*I1340</x:f>
        <x:v>24.95</x:v>
      </x:c>
      <x:c r="M1340" s="10" t="n">
        <x:f>ROUND((L1340-J1340)*H1340/G1340,2)</x:f>
        <x:v>0</x:v>
      </x:c>
      <x:c r="N1340" s="10" t="n">
        <x:f>L1340-J1340-M1340</x:f>
        <x:v>22.46</x:v>
      </x:c>
      <x:c r="O1340" s="10" t="n">
        <x:f>(G1340-H1340)*K1340</x:f>
        <x:v>9</x:v>
      </x:c>
      <x:c r="P1340" s="10" t="n">
        <x:f>N1340-O1340</x:f>
        <x:v>13.46</x:v>
      </x:c>
      <x:c r="Q1340" s="9" t="n">
        <x:f>A1340-WEEKDAY(A1340,2)+1</x:f>
        <x:v>46314</x:v>
      </x:c>
      <x:c r="R1340" s="2" t="str">
        <x:f>IF(AND(A1340&gt;='Review'!$B$4,A1340&lt;='Review'!$D$4),"Selected","Outside")</x:f>
        <x:v>Selected</x:v>
      </x:c>
    </x:row>
    <x:row r="1341" ht="20" customHeight="1">
      <x:c r="A1341" s="9" t="n">
        <x:v>46315</x:v>
      </x:c>
      <x:c r="B1341" s="2" t="str">
        <x:v>MM-1961</x:v>
      </x:c>
      <x:c r="C1341" s="2" t="str">
        <x:v>Email</x:v>
      </x:c>
      <x:c r="D1341" s="2" t="str">
        <x:v>APP-001</x:v>
      </x:c>
      <x:c r="E1341" s="2" t="str">
        <x:f>_xlfn.IFNA(VLOOKUP(D1341,'Products'!$A$7:$I$22,2,FALSE),"Unmapped")</x:f>
        <x:v>Everyday crewneck</x:v>
      </x:c>
      <x:c r="F1341" s="2" t="str">
        <x:f>_xlfn.IFNA(VLOOKUP(D1341,'Products'!$A$7:$I$22,3,FALSE),"Unmapped")</x:f>
        <x:v>Apparel</x:v>
      </x:c>
      <x:c r="G1341" s="2" t="n">
        <x:v>1</x:v>
      </x:c>
      <x:c r="H1341" s="2" t="n">
        <x:v>0</x:v>
      </x:c>
      <x:c r="I1341" s="10" t="n">
        <x:v>54.95</x:v>
      </x:c>
      <x:c r="J1341" s="10" t="n">
        <x:v>5.49</x:v>
      </x:c>
      <x:c r="K1341" s="10" t="n">
        <x:v>22</x:v>
      </x:c>
      <x:c r="L1341" s="10" t="n">
        <x:f>G1341*I1341</x:f>
        <x:v>54.95</x:v>
      </x:c>
      <x:c r="M1341" s="10" t="n">
        <x:f>ROUND((L1341-J1341)*H1341/G1341,2)</x:f>
        <x:v>0</x:v>
      </x:c>
      <x:c r="N1341" s="10" t="n">
        <x:f>L1341-J1341-M1341</x:f>
        <x:v>49.46</x:v>
      </x:c>
      <x:c r="O1341" s="10" t="n">
        <x:f>(G1341-H1341)*K1341</x:f>
        <x:v>22</x:v>
      </x:c>
      <x:c r="P1341" s="10" t="n">
        <x:f>N1341-O1341</x:f>
        <x:v>27.46</x:v>
      </x:c>
      <x:c r="Q1341" s="9" t="n">
        <x:f>A1341-WEEKDAY(A1341,2)+1</x:f>
        <x:v>46314</x:v>
      </x:c>
      <x:c r="R1341" s="2" t="str">
        <x:f>IF(AND(A1341&gt;='Review'!$B$4,A1341&lt;='Review'!$D$4),"Selected","Outside")</x:f>
        <x:v>Selected</x:v>
      </x:c>
    </x:row>
    <x:row r="1342" ht="20" customHeight="1">
      <x:c r="A1342" s="9" t="n">
        <x:v>46315</x:v>
      </x:c>
      <x:c r="B1342" s="2" t="str">
        <x:v>MM-1947</x:v>
      </x:c>
      <x:c r="C1342" s="2" t="str">
        <x:v>Organic Search</x:v>
      </x:c>
      <x:c r="D1342" s="2" t="str">
        <x:v>TUM-002</x:v>
      </x:c>
      <x:c r="E1342" s="2" t="str">
        <x:f>_xlfn.IFNA(VLOOKUP(D1342,'Products'!$A$7:$I$22,2,FALSE),"Unmapped")</x:f>
        <x:v>Cold brew glass cup</x:v>
      </x:c>
      <x:c r="F1342" s="2" t="str">
        <x:f>_xlfn.IFNA(VLOOKUP(D1342,'Products'!$A$7:$I$22,3,FALSE),"Unmapped")</x:f>
        <x:v>Drinkware</x:v>
      </x:c>
      <x:c r="G1342" s="2" t="n">
        <x:v>1</x:v>
      </x:c>
      <x:c r="H1342" s="2" t="n">
        <x:v>0</x:v>
      </x:c>
      <x:c r="I1342" s="10" t="n">
        <x:v>24.95</x:v>
      </x:c>
      <x:c r="J1342" s="10" t="n">
        <x:v>0</x:v>
      </x:c>
      <x:c r="K1342" s="10" t="n">
        <x:v>9</x:v>
      </x:c>
      <x:c r="L1342" s="10" t="n">
        <x:f>G1342*I1342</x:f>
        <x:v>24.95</x:v>
      </x:c>
      <x:c r="M1342" s="10" t="n">
        <x:f>ROUND((L1342-J1342)*H1342/G1342,2)</x:f>
        <x:v>0</x:v>
      </x:c>
      <x:c r="N1342" s="10" t="n">
        <x:f>L1342-J1342-M1342</x:f>
        <x:v>24.95</x:v>
      </x:c>
      <x:c r="O1342" s="10" t="n">
        <x:f>(G1342-H1342)*K1342</x:f>
        <x:v>9</x:v>
      </x:c>
      <x:c r="P1342" s="10" t="n">
        <x:f>N1342-O1342</x:f>
        <x:v>15.95</x:v>
      </x:c>
      <x:c r="Q1342" s="9" t="n">
        <x:f>A1342-WEEKDAY(A1342,2)+1</x:f>
        <x:v>46314</x:v>
      </x:c>
      <x:c r="R1342" s="2" t="str">
        <x:f>IF(AND(A1342&gt;='Review'!$B$4,A1342&lt;='Review'!$D$4),"Selected","Outside")</x:f>
        <x:v>Selected</x:v>
      </x:c>
    </x:row>
    <x:row r="1343" ht="20" customHeight="1">
      <x:c r="A1343" s="9" t="n">
        <x:v>46315</x:v>
      </x:c>
      <x:c r="B1343" s="2" t="str">
        <x:v>MM-1945</x:v>
      </x:c>
      <x:c r="C1343" s="2" t="str">
        <x:v>Email</x:v>
      </x:c>
      <x:c r="D1343" s="2" t="str">
        <x:v>PIN-001</x:v>
      </x:c>
      <x:c r="E1343" s="2" t="str">
        <x:f>_xlfn.IFNA(VLOOKUP(D1343,'Products'!$A$7:$I$22,2,FALSE),"Unmapped")</x:f>
        <x:v>Coffee enamel pin</x:v>
      </x:c>
      <x:c r="F1343" s="2" t="str">
        <x:f>_xlfn.IFNA(VLOOKUP(D1343,'Products'!$A$7:$I$22,3,FALSE),"Unmapped")</x:f>
        <x:v>Accessories</x:v>
      </x:c>
      <x:c r="G1343" s="2" t="n">
        <x:v>1</x:v>
      </x:c>
      <x:c r="H1343" s="2" t="n">
        <x:v>0</x:v>
      </x:c>
      <x:c r="I1343" s="10" t="n">
        <x:v>9.95</x:v>
      </x:c>
      <x:c r="J1343" s="10" t="n">
        <x:v>0.99</x:v>
      </x:c>
      <x:c r="K1343" s="10" t="n">
        <x:v>2.5</x:v>
      </x:c>
      <x:c r="L1343" s="10" t="n">
        <x:f>G1343*I1343</x:f>
        <x:v>9.95</x:v>
      </x:c>
      <x:c r="M1343" s="10" t="n">
        <x:f>ROUND((L1343-J1343)*H1343/G1343,2)</x:f>
        <x:v>0</x:v>
      </x:c>
      <x:c r="N1343" s="10" t="n">
        <x:f>L1343-J1343-M1343</x:f>
        <x:v>8.959999999999999</x:v>
      </x:c>
      <x:c r="O1343" s="10" t="n">
        <x:f>(G1343-H1343)*K1343</x:f>
        <x:v>2.5</x:v>
      </x:c>
      <x:c r="P1343" s="10" t="n">
        <x:f>N1343-O1343</x:f>
        <x:v>6.459999999999999</x:v>
      </x:c>
      <x:c r="Q1343" s="9" t="n">
        <x:f>A1343-WEEKDAY(A1343,2)+1</x:f>
        <x:v>46314</x:v>
      </x:c>
      <x:c r="R1343" s="2" t="str">
        <x:f>IF(AND(A1343&gt;='Review'!$B$4,A1343&lt;='Review'!$D$4),"Selected","Outside")</x:f>
        <x:v>Selected</x:v>
      </x:c>
    </x:row>
    <x:row r="1344" ht="20" customHeight="1">
      <x:c r="A1344" s="9" t="n">
        <x:v>46315</x:v>
      </x:c>
      <x:c r="B1344" s="2" t="str">
        <x:v>MM-1953</x:v>
      </x:c>
      <x:c r="C1344" s="2" t="str">
        <x:v>Organic Search</x:v>
      </x:c>
      <x:c r="D1344" s="2" t="str">
        <x:v>TOTE-001</x:v>
      </x:c>
      <x:c r="E1344" s="2" t="str">
        <x:f>_xlfn.IFNA(VLOOKUP(D1344,'Products'!$A$7:$I$22,2,FALSE),"Unmapped")</x:f>
        <x:v>Market canvas tote</x:v>
      </x:c>
      <x:c r="F1344" s="2" t="str">
        <x:f>_xlfn.IFNA(VLOOKUP(D1344,'Products'!$A$7:$I$22,3,FALSE),"Unmapped")</x:f>
        <x:v>Accessories</x:v>
      </x:c>
      <x:c r="G1344" s="2" t="n">
        <x:v>1</x:v>
      </x:c>
      <x:c r="H1344" s="2" t="n">
        <x:v>0</x:v>
      </x:c>
      <x:c r="I1344" s="10" t="n">
        <x:v>19.95</x:v>
      </x:c>
      <x:c r="J1344" s="10" t="n">
        <x:v>1.99</x:v>
      </x:c>
      <x:c r="K1344" s="10" t="n">
        <x:v>6</x:v>
      </x:c>
      <x:c r="L1344" s="10" t="n">
        <x:f>G1344*I1344</x:f>
        <x:v>19.95</x:v>
      </x:c>
      <x:c r="M1344" s="10" t="n">
        <x:f>ROUND((L1344-J1344)*H1344/G1344,2)</x:f>
        <x:v>0</x:v>
      </x:c>
      <x:c r="N1344" s="10" t="n">
        <x:f>L1344-J1344-M1344</x:f>
        <x:v>17.96</x:v>
      </x:c>
      <x:c r="O1344" s="10" t="n">
        <x:f>(G1344-H1344)*K1344</x:f>
        <x:v>6</x:v>
      </x:c>
      <x:c r="P1344" s="10" t="n">
        <x:f>N1344-O1344</x:f>
        <x:v>11.96</x:v>
      </x:c>
      <x:c r="Q1344" s="9" t="n">
        <x:f>A1344-WEEKDAY(A1344,2)+1</x:f>
        <x:v>46314</x:v>
      </x:c>
      <x:c r="R1344" s="2" t="str">
        <x:f>IF(AND(A1344&gt;='Review'!$B$4,A1344&lt;='Review'!$D$4),"Selected","Outside")</x:f>
        <x:v>Selected</x:v>
      </x:c>
    </x:row>
    <x:row r="1345" ht="20" customHeight="1">
      <x:c r="A1345" s="9" t="n">
        <x:v>46315</x:v>
      </x:c>
      <x:c r="B1345" s="2" t="str">
        <x:v>MM-1963</x:v>
      </x:c>
      <x:c r="C1345" s="2" t="str">
        <x:v>Email</x:v>
      </x:c>
      <x:c r="D1345" s="2" t="str">
        <x:v>BOT-001</x:v>
      </x:c>
      <x:c r="E1345" s="2" t="str">
        <x:f>_xlfn.IFNA(VLOOKUP(D1345,'Products'!$A$7:$I$22,2,FALSE),"Unmapped")</x:f>
        <x:v>Trail water bottle</x:v>
      </x:c>
      <x:c r="F1345" s="2" t="str">
        <x:f>_xlfn.IFNA(VLOOKUP(D1345,'Products'!$A$7:$I$22,3,FALSE),"Unmapped")</x:f>
        <x:v>Drinkware</x:v>
      </x:c>
      <x:c r="G1345" s="2" t="n">
        <x:v>1</x:v>
      </x:c>
      <x:c r="H1345" s="2" t="n">
        <x:v>0</x:v>
      </x:c>
      <x:c r="I1345" s="10" t="n">
        <x:v>34.95</x:v>
      </x:c>
      <x:c r="J1345" s="10" t="n">
        <x:v>3.49</x:v>
      </x:c>
      <x:c r="K1345" s="10" t="n">
        <x:v>13.5</x:v>
      </x:c>
      <x:c r="L1345" s="10" t="n">
        <x:f>G1345*I1345</x:f>
        <x:v>34.95</x:v>
      </x:c>
      <x:c r="M1345" s="10" t="n">
        <x:f>ROUND((L1345-J1345)*H1345/G1345,2)</x:f>
        <x:v>0</x:v>
      </x:c>
      <x:c r="N1345" s="10" t="n">
        <x:f>L1345-J1345-M1345</x:f>
        <x:v>31.46</x:v>
      </x:c>
      <x:c r="O1345" s="10" t="n">
        <x:f>(G1345-H1345)*K1345</x:f>
        <x:v>13.5</x:v>
      </x:c>
      <x:c r="P1345" s="10" t="n">
        <x:f>N1345-O1345</x:f>
        <x:v>17.96</x:v>
      </x:c>
      <x:c r="Q1345" s="9" t="n">
        <x:f>A1345-WEEKDAY(A1345,2)+1</x:f>
        <x:v>46314</x:v>
      </x:c>
      <x:c r="R1345" s="2" t="str">
        <x:f>IF(AND(A1345&gt;='Review'!$B$4,A1345&lt;='Review'!$D$4),"Selected","Outside")</x:f>
        <x:v>Selected</x:v>
      </x:c>
    </x:row>
    <x:row r="1346" ht="20" customHeight="1">
      <x:c r="A1346" s="9" t="n">
        <x:v>46315</x:v>
      </x:c>
      <x:c r="B1346" s="2" t="str">
        <x:v>MM-1952</x:v>
      </x:c>
      <x:c r="C1346" s="2" t="str">
        <x:v>Email</x:v>
      </x:c>
      <x:c r="D1346" s="2" t="str">
        <x:v>BOT-001</x:v>
      </x:c>
      <x:c r="E1346" s="2" t="str">
        <x:f>_xlfn.IFNA(VLOOKUP(D1346,'Products'!$A$7:$I$22,2,FALSE),"Unmapped")</x:f>
        <x:v>Trail water bottle</x:v>
      </x:c>
      <x:c r="F1346" s="2" t="str">
        <x:f>_xlfn.IFNA(VLOOKUP(D1346,'Products'!$A$7:$I$22,3,FALSE),"Unmapped")</x:f>
        <x:v>Drinkware</x:v>
      </x:c>
      <x:c r="G1346" s="2" t="n">
        <x:v>3</x:v>
      </x:c>
      <x:c r="H1346" s="2" t="n">
        <x:v>0</x:v>
      </x:c>
      <x:c r="I1346" s="10" t="n">
        <x:v>34.95</x:v>
      </x:c>
      <x:c r="J1346" s="10" t="n">
        <x:v>10.48</x:v>
      </x:c>
      <x:c r="K1346" s="10" t="n">
        <x:v>13.5</x:v>
      </x:c>
      <x:c r="L1346" s="10" t="n">
        <x:f>G1346*I1346</x:f>
        <x:v>104.85000000000001</x:v>
      </x:c>
      <x:c r="M1346" s="10" t="n">
        <x:f>ROUND((L1346-J1346)*H1346/G1346,2)</x:f>
        <x:v>0</x:v>
      </x:c>
      <x:c r="N1346" s="10" t="n">
        <x:f>L1346-J1346-M1346</x:f>
        <x:v>94.37</x:v>
      </x:c>
      <x:c r="O1346" s="10" t="n">
        <x:f>(G1346-H1346)*K1346</x:f>
        <x:v>40.5</x:v>
      </x:c>
      <x:c r="P1346" s="10" t="n">
        <x:f>N1346-O1346</x:f>
        <x:v>53.870000000000005</x:v>
      </x:c>
      <x:c r="Q1346" s="9" t="n">
        <x:f>A1346-WEEKDAY(A1346,2)+1</x:f>
        <x:v>46314</x:v>
      </x:c>
      <x:c r="R1346" s="2" t="str">
        <x:f>IF(AND(A1346&gt;='Review'!$B$4,A1346&lt;='Review'!$D$4),"Selected","Outside")</x:f>
        <x:v>Selected</x:v>
      </x:c>
    </x:row>
    <x:row r="1347" ht="20" customHeight="1">
      <x:c r="A1347" s="9" t="n">
        <x:v>46315</x:v>
      </x:c>
      <x:c r="B1347" s="2" t="str">
        <x:v>MM-1952</x:v>
      </x:c>
      <x:c r="C1347" s="2" t="str">
        <x:v>Email</x:v>
      </x:c>
      <x:c r="D1347" s="2" t="str">
        <x:v>APP-003</x:v>
      </x:c>
      <x:c r="E1347" s="2" t="str">
        <x:f>_xlfn.IFNA(VLOOKUP(D1347,'Products'!$A$7:$I$22,2,FALSE),"Unmapped")</x:f>
        <x:v>Coffee club tee</x:v>
      </x:c>
      <x:c r="F1347" s="2" t="str">
        <x:f>_xlfn.IFNA(VLOOKUP(D1347,'Products'!$A$7:$I$22,3,FALSE),"Unmapped")</x:f>
        <x:v>Apparel</x:v>
      </x:c>
      <x:c r="G1347" s="2" t="n">
        <x:v>2</x:v>
      </x:c>
      <x:c r="H1347" s="2" t="n">
        <x:v>0</x:v>
      </x:c>
      <x:c r="I1347" s="10" t="n">
        <x:v>29.95</x:v>
      </x:c>
      <x:c r="J1347" s="10" t="n">
        <x:v>5.99</x:v>
      </x:c>
      <x:c r="K1347" s="10" t="n">
        <x:v>10</x:v>
      </x:c>
      <x:c r="L1347" s="10" t="n">
        <x:f>G1347*I1347</x:f>
        <x:v>59.9</x:v>
      </x:c>
      <x:c r="M1347" s="10" t="n">
        <x:f>ROUND((L1347-J1347)*H1347/G1347,2)</x:f>
        <x:v>0</x:v>
      </x:c>
      <x:c r="N1347" s="10" t="n">
        <x:f>L1347-J1347-M1347</x:f>
        <x:v>53.91</x:v>
      </x:c>
      <x:c r="O1347" s="10" t="n">
        <x:f>(G1347-H1347)*K1347</x:f>
        <x:v>20</x:v>
      </x:c>
      <x:c r="P1347" s="10" t="n">
        <x:f>N1347-O1347</x:f>
        <x:v>33.91</x:v>
      </x:c>
      <x:c r="Q1347" s="9" t="n">
        <x:f>A1347-WEEKDAY(A1347,2)+1</x:f>
        <x:v>46314</x:v>
      </x:c>
      <x:c r="R1347" s="2" t="str">
        <x:f>IF(AND(A1347&gt;='Review'!$B$4,A1347&lt;='Review'!$D$4),"Selected","Outside")</x:f>
        <x:v>Selected</x:v>
      </x:c>
    </x:row>
    <x:row r="1348" ht="20" customHeight="1">
      <x:c r="A1348" s="9" t="n">
        <x:v>46315</x:v>
      </x:c>
      <x:c r="B1348" s="2" t="str">
        <x:v>MM-1955</x:v>
      </x:c>
      <x:c r="C1348" s="2" t="str">
        <x:v>Organic Search</x:v>
      </x:c>
      <x:c r="D1348" s="2" t="str">
        <x:v>TOTE-001</x:v>
      </x:c>
      <x:c r="E1348" s="2" t="str">
        <x:f>_xlfn.IFNA(VLOOKUP(D1348,'Products'!$A$7:$I$22,2,FALSE),"Unmapped")</x:f>
        <x:v>Market canvas tote</x:v>
      </x:c>
      <x:c r="F1348" s="2" t="str">
        <x:f>_xlfn.IFNA(VLOOKUP(D1348,'Products'!$A$7:$I$22,3,FALSE),"Unmapped")</x:f>
        <x:v>Accessories</x:v>
      </x:c>
      <x:c r="G1348" s="2" t="n">
        <x:v>3</x:v>
      </x:c>
      <x:c r="H1348" s="2" t="n">
        <x:v>0</x:v>
      </x:c>
      <x:c r="I1348" s="10" t="n">
        <x:v>19.95</x:v>
      </x:c>
      <x:c r="J1348" s="10" t="n">
        <x:v>0</x:v>
      </x:c>
      <x:c r="K1348" s="10" t="n">
        <x:v>6</x:v>
      </x:c>
      <x:c r="L1348" s="10" t="n">
        <x:f>G1348*I1348</x:f>
        <x:v>59.849999999999994</x:v>
      </x:c>
      <x:c r="M1348" s="10" t="n">
        <x:f>ROUND((L1348-J1348)*H1348/G1348,2)</x:f>
        <x:v>0</x:v>
      </x:c>
      <x:c r="N1348" s="10" t="n">
        <x:f>L1348-J1348-M1348</x:f>
        <x:v>59.849999999999994</x:v>
      </x:c>
      <x:c r="O1348" s="10" t="n">
        <x:f>(G1348-H1348)*K1348</x:f>
        <x:v>18</x:v>
      </x:c>
      <x:c r="P1348" s="10" t="n">
        <x:f>N1348-O1348</x:f>
        <x:v>41.849999999999994</x:v>
      </x:c>
      <x:c r="Q1348" s="9" t="n">
        <x:f>A1348-WEEKDAY(A1348,2)+1</x:f>
        <x:v>46314</x:v>
      </x:c>
      <x:c r="R1348" s="2" t="str">
        <x:f>IF(AND(A1348&gt;='Review'!$B$4,A1348&lt;='Review'!$D$4),"Selected","Outside")</x:f>
        <x:v>Selected</x:v>
      </x:c>
    </x:row>
    <x:row r="1349" ht="20" customHeight="1">
      <x:c r="A1349" s="9" t="n">
        <x:v>46315</x:v>
      </x:c>
      <x:c r="B1349" s="2" t="str">
        <x:v>MM-1960</x:v>
      </x:c>
      <x:c r="C1349" s="2" t="str">
        <x:v>Paid Social</x:v>
      </x:c>
      <x:c r="D1349" s="2" t="str">
        <x:v>TUM-002</x:v>
      </x:c>
      <x:c r="E1349" s="2" t="str">
        <x:f>_xlfn.IFNA(VLOOKUP(D1349,'Products'!$A$7:$I$22,2,FALSE),"Unmapped")</x:f>
        <x:v>Cold brew glass cup</x:v>
      </x:c>
      <x:c r="F1349" s="2" t="str">
        <x:f>_xlfn.IFNA(VLOOKUP(D1349,'Products'!$A$7:$I$22,3,FALSE),"Unmapped")</x:f>
        <x:v>Drinkware</x:v>
      </x:c>
      <x:c r="G1349" s="2" t="n">
        <x:v>1</x:v>
      </x:c>
      <x:c r="H1349" s="2" t="n">
        <x:v>0</x:v>
      </x:c>
      <x:c r="I1349" s="10" t="n">
        <x:v>24.95</x:v>
      </x:c>
      <x:c r="J1349" s="10" t="n">
        <x:v>2.49</x:v>
      </x:c>
      <x:c r="K1349" s="10" t="n">
        <x:v>9</x:v>
      </x:c>
      <x:c r="L1349" s="10" t="n">
        <x:f>G1349*I1349</x:f>
        <x:v>24.95</x:v>
      </x:c>
      <x:c r="M1349" s="10" t="n">
        <x:f>ROUND((L1349-J1349)*H1349/G1349,2)</x:f>
        <x:v>0</x:v>
      </x:c>
      <x:c r="N1349" s="10" t="n">
        <x:f>L1349-J1349-M1349</x:f>
        <x:v>22.46</x:v>
      </x:c>
      <x:c r="O1349" s="10" t="n">
        <x:f>(G1349-H1349)*K1349</x:f>
        <x:v>9</x:v>
      </x:c>
      <x:c r="P1349" s="10" t="n">
        <x:f>N1349-O1349</x:f>
        <x:v>13.46</x:v>
      </x:c>
      <x:c r="Q1349" s="9" t="n">
        <x:f>A1349-WEEKDAY(A1349,2)+1</x:f>
        <x:v>46314</x:v>
      </x:c>
      <x:c r="R1349" s="2" t="str">
        <x:f>IF(AND(A1349&gt;='Review'!$B$4,A1349&lt;='Review'!$D$4),"Selected","Outside")</x:f>
        <x:v>Selected</x:v>
      </x:c>
    </x:row>
    <x:row r="1350" ht="20" customHeight="1">
      <x:c r="A1350" s="9" t="n">
        <x:v>46315</x:v>
      </x:c>
      <x:c r="B1350" s="2" t="str">
        <x:v>MM-1944</x:v>
      </x:c>
      <x:c r="C1350" s="2" t="str">
        <x:v>Organic Search</x:v>
      </x:c>
      <x:c r="D1350" s="2" t="str">
        <x:v>APP-001</x:v>
      </x:c>
      <x:c r="E1350" s="2" t="str">
        <x:f>_xlfn.IFNA(VLOOKUP(D1350,'Products'!$A$7:$I$22,2,FALSE),"Unmapped")</x:f>
        <x:v>Everyday crewneck</x:v>
      </x:c>
      <x:c r="F1350" s="2" t="str">
        <x:f>_xlfn.IFNA(VLOOKUP(D1350,'Products'!$A$7:$I$22,3,FALSE),"Unmapped")</x:f>
        <x:v>Apparel</x:v>
      </x:c>
      <x:c r="G1350" s="2" t="n">
        <x:v>1</x:v>
      </x:c>
      <x:c r="H1350" s="2" t="n">
        <x:v>0</x:v>
      </x:c>
      <x:c r="I1350" s="10" t="n">
        <x:v>54.95</x:v>
      </x:c>
      <x:c r="J1350" s="10" t="n">
        <x:v>0</x:v>
      </x:c>
      <x:c r="K1350" s="10" t="n">
        <x:v>22</x:v>
      </x:c>
      <x:c r="L1350" s="10" t="n">
        <x:f>G1350*I1350</x:f>
        <x:v>54.95</x:v>
      </x:c>
      <x:c r="M1350" s="10" t="n">
        <x:f>ROUND((L1350-J1350)*H1350/G1350,2)</x:f>
        <x:v>0</x:v>
      </x:c>
      <x:c r="N1350" s="10" t="n">
        <x:f>L1350-J1350-M1350</x:f>
        <x:v>54.95</x:v>
      </x:c>
      <x:c r="O1350" s="10" t="n">
        <x:f>(G1350-H1350)*K1350</x:f>
        <x:v>22</x:v>
      </x:c>
      <x:c r="P1350" s="10" t="n">
        <x:f>N1350-O1350</x:f>
        <x:v>32.95</x:v>
      </x:c>
      <x:c r="Q1350" s="9" t="n">
        <x:f>A1350-WEEKDAY(A1350,2)+1</x:f>
        <x:v>46314</x:v>
      </x:c>
      <x:c r="R1350" s="2" t="str">
        <x:f>IF(AND(A1350&gt;='Review'!$B$4,A1350&lt;='Review'!$D$4),"Selected","Outside")</x:f>
        <x:v>Selected</x:v>
      </x:c>
    </x:row>
    <x:row r="1351" ht="20" customHeight="1">
      <x:c r="A1351" s="9" t="n">
        <x:v>46315</x:v>
      </x:c>
      <x:c r="B1351" s="2" t="str">
        <x:v>MM-1962</x:v>
      </x:c>
      <x:c r="C1351" s="2" t="str">
        <x:v>Organic Search</x:v>
      </x:c>
      <x:c r="D1351" s="2" t="str">
        <x:v>TUM-002</x:v>
      </x:c>
      <x:c r="E1351" s="2" t="str">
        <x:f>_xlfn.IFNA(VLOOKUP(D1351,'Products'!$A$7:$I$22,2,FALSE),"Unmapped")</x:f>
        <x:v>Cold brew glass cup</x:v>
      </x:c>
      <x:c r="F1351" s="2" t="str">
        <x:f>_xlfn.IFNA(VLOOKUP(D1351,'Products'!$A$7:$I$22,3,FALSE),"Unmapped")</x:f>
        <x:v>Drinkware</x:v>
      </x:c>
      <x:c r="G1351" s="2" t="n">
        <x:v>1</x:v>
      </x:c>
      <x:c r="H1351" s="2" t="n">
        <x:v>0</x:v>
      </x:c>
      <x:c r="I1351" s="10" t="n">
        <x:v>24.95</x:v>
      </x:c>
      <x:c r="J1351" s="10" t="n">
        <x:v>0</x:v>
      </x:c>
      <x:c r="K1351" s="10" t="n">
        <x:v>9</x:v>
      </x:c>
      <x:c r="L1351" s="10" t="n">
        <x:f>G1351*I1351</x:f>
        <x:v>24.95</x:v>
      </x:c>
      <x:c r="M1351" s="10" t="n">
        <x:f>ROUND((L1351-J1351)*H1351/G1351,2)</x:f>
        <x:v>0</x:v>
      </x:c>
      <x:c r="N1351" s="10" t="n">
        <x:f>L1351-J1351-M1351</x:f>
        <x:v>24.95</x:v>
      </x:c>
      <x:c r="O1351" s="10" t="n">
        <x:f>(G1351-H1351)*K1351</x:f>
        <x:v>9</x:v>
      </x:c>
      <x:c r="P1351" s="10" t="n">
        <x:f>N1351-O1351</x:f>
        <x:v>15.95</x:v>
      </x:c>
      <x:c r="Q1351" s="9" t="n">
        <x:f>A1351-WEEKDAY(A1351,2)+1</x:f>
        <x:v>46314</x:v>
      </x:c>
      <x:c r="R1351" s="2" t="str">
        <x:f>IF(AND(A1351&gt;='Review'!$B$4,A1351&lt;='Review'!$D$4),"Selected","Outside")</x:f>
        <x:v>Selected</x:v>
      </x:c>
    </x:row>
    <x:row r="1352" ht="20" customHeight="1">
      <x:c r="A1352" s="9" t="n">
        <x:v>46315</x:v>
      </x:c>
      <x:c r="B1352" s="2" t="str">
        <x:v>MM-1954</x:v>
      </x:c>
      <x:c r="C1352" s="2" t="str">
        <x:v>Organic Search</x:v>
      </x:c>
      <x:c r="D1352" s="2" t="str">
        <x:v>GFT-001</x:v>
      </x:c>
      <x:c r="E1352" s="2" t="str">
        <x:f>_xlfn.IFNA(VLOOKUP(D1352,'Products'!$A$7:$I$22,2,FALSE),"Unmapped")</x:f>
        <x:v>Morning ritual gift set</x:v>
      </x:c>
      <x:c r="F1352" s="2" t="str">
        <x:f>_xlfn.IFNA(VLOOKUP(D1352,'Products'!$A$7:$I$22,3,FALSE),"Unmapped")</x:f>
        <x:v>Gifts</x:v>
      </x:c>
      <x:c r="G1352" s="2" t="n">
        <x:v>1</x:v>
      </x:c>
      <x:c r="H1352" s="2" t="n">
        <x:v>0</x:v>
      </x:c>
      <x:c r="I1352" s="10" t="n">
        <x:v>59.95</x:v>
      </x:c>
      <x:c r="J1352" s="10" t="n">
        <x:v>5.99</x:v>
      </x:c>
      <x:c r="K1352" s="10" t="n">
        <x:v>24</x:v>
      </x:c>
      <x:c r="L1352" s="10" t="n">
        <x:f>G1352*I1352</x:f>
        <x:v>59.95</x:v>
      </x:c>
      <x:c r="M1352" s="10" t="n">
        <x:f>ROUND((L1352-J1352)*H1352/G1352,2)</x:f>
        <x:v>0</x:v>
      </x:c>
      <x:c r="N1352" s="10" t="n">
        <x:f>L1352-J1352-M1352</x:f>
        <x:v>53.96</x:v>
      </x:c>
      <x:c r="O1352" s="10" t="n">
        <x:f>(G1352-H1352)*K1352</x:f>
        <x:v>24</x:v>
      </x:c>
      <x:c r="P1352" s="10" t="n">
        <x:f>N1352-O1352</x:f>
        <x:v>29.96</x:v>
      </x:c>
      <x:c r="Q1352" s="9" t="n">
        <x:f>A1352-WEEKDAY(A1352,2)+1</x:f>
        <x:v>46314</x:v>
      </x:c>
      <x:c r="R1352" s="2" t="str">
        <x:f>IF(AND(A1352&gt;='Review'!$B$4,A1352&lt;='Review'!$D$4),"Selected","Outside")</x:f>
        <x:v>Selected</x:v>
      </x:c>
    </x:row>
    <x:row r="1353" ht="20" customHeight="1">
      <x:c r="A1353" s="9" t="n">
        <x:v>46315</x:v>
      </x:c>
      <x:c r="B1353" s="2" t="str">
        <x:v>MM-1943</x:v>
      </x:c>
      <x:c r="C1353" s="2" t="str">
        <x:v>Paid Social</x:v>
      </x:c>
      <x:c r="D1353" s="2" t="str">
        <x:v>APP-002</x:v>
      </x:c>
      <x:c r="E1353" s="2" t="str">
        <x:f>_xlfn.IFNA(VLOOKUP(D1353,'Products'!$A$7:$I$22,2,FALSE),"Unmapped")</x:f>
        <x:v>Weekend hoodie</x:v>
      </x:c>
      <x:c r="F1353" s="2" t="str">
        <x:f>_xlfn.IFNA(VLOOKUP(D1353,'Products'!$A$7:$I$22,3,FALSE),"Unmapped")</x:f>
        <x:v>Apparel</x:v>
      </x:c>
      <x:c r="G1353" s="2" t="n">
        <x:v>1</x:v>
      </x:c>
      <x:c r="H1353" s="2" t="n">
        <x:v>0</x:v>
      </x:c>
      <x:c r="I1353" s="10" t="n">
        <x:v>69.95</x:v>
      </x:c>
      <x:c r="J1353" s="10" t="n">
        <x:v>0</x:v>
      </x:c>
      <x:c r="K1353" s="10" t="n">
        <x:v>28</x:v>
      </x:c>
      <x:c r="L1353" s="10" t="n">
        <x:f>G1353*I1353</x:f>
        <x:v>69.95</x:v>
      </x:c>
      <x:c r="M1353" s="10" t="n">
        <x:f>ROUND((L1353-J1353)*H1353/G1353,2)</x:f>
        <x:v>0</x:v>
      </x:c>
      <x:c r="N1353" s="10" t="n">
        <x:f>L1353-J1353-M1353</x:f>
        <x:v>69.95</x:v>
      </x:c>
      <x:c r="O1353" s="10" t="n">
        <x:f>(G1353-H1353)*K1353</x:f>
        <x:v>28</x:v>
      </x:c>
      <x:c r="P1353" s="10" t="n">
        <x:f>N1353-O1353</x:f>
        <x:v>41.95</x:v>
      </x:c>
      <x:c r="Q1353" s="9" t="n">
        <x:f>A1353-WEEKDAY(A1353,2)+1</x:f>
        <x:v>46314</x:v>
      </x:c>
      <x:c r="R1353" s="2" t="str">
        <x:f>IF(AND(A1353&gt;='Review'!$B$4,A1353&lt;='Review'!$D$4),"Selected","Outside")</x:f>
        <x:v>Selected</x:v>
      </x:c>
    </x:row>
    <x:row r="1354" ht="20" customHeight="1">
      <x:c r="A1354" s="9" t="n">
        <x:v>46315</x:v>
      </x:c>
      <x:c r="B1354" s="2" t="str">
        <x:v>MM-1943</x:v>
      </x:c>
      <x:c r="C1354" s="2" t="str">
        <x:v>Paid Social</x:v>
      </x:c>
      <x:c r="D1354" s="2" t="str">
        <x:v>TOTE-001</x:v>
      </x:c>
      <x:c r="E1354" s="2" t="str">
        <x:f>_xlfn.IFNA(VLOOKUP(D1354,'Products'!$A$7:$I$22,2,FALSE),"Unmapped")</x:f>
        <x:v>Market canvas tote</x:v>
      </x:c>
      <x:c r="F1354" s="2" t="str">
        <x:f>_xlfn.IFNA(VLOOKUP(D1354,'Products'!$A$7:$I$22,3,FALSE),"Unmapped")</x:f>
        <x:v>Accessories</x:v>
      </x:c>
      <x:c r="G1354" s="2" t="n">
        <x:v>2</x:v>
      </x:c>
      <x:c r="H1354" s="2" t="n">
        <x:v>0</x:v>
      </x:c>
      <x:c r="I1354" s="10" t="n">
        <x:v>19.95</x:v>
      </x:c>
      <x:c r="J1354" s="10" t="n">
        <x:v>0</x:v>
      </x:c>
      <x:c r="K1354" s="10" t="n">
        <x:v>6</x:v>
      </x:c>
      <x:c r="L1354" s="10" t="n">
        <x:f>G1354*I1354</x:f>
        <x:v>39.9</x:v>
      </x:c>
      <x:c r="M1354" s="10" t="n">
        <x:f>ROUND((L1354-J1354)*H1354/G1354,2)</x:f>
        <x:v>0</x:v>
      </x:c>
      <x:c r="N1354" s="10" t="n">
        <x:f>L1354-J1354-M1354</x:f>
        <x:v>39.9</x:v>
      </x:c>
      <x:c r="O1354" s="10" t="n">
        <x:f>(G1354-H1354)*K1354</x:f>
        <x:v>12</x:v>
      </x:c>
      <x:c r="P1354" s="10" t="n">
        <x:f>N1354-O1354</x:f>
        <x:v>27.9</x:v>
      </x:c>
      <x:c r="Q1354" s="9" t="n">
        <x:f>A1354-WEEKDAY(A1354,2)+1</x:f>
        <x:v>46314</x:v>
      </x:c>
      <x:c r="R1354" s="2" t="str">
        <x:f>IF(AND(A1354&gt;='Review'!$B$4,A1354&lt;='Review'!$D$4),"Selected","Outside")</x:f>
        <x:v>Selected</x:v>
      </x:c>
    </x:row>
    <x:row r="1355" ht="20" customHeight="1">
      <x:c r="A1355" s="9" t="n">
        <x:v>46315</x:v>
      </x:c>
      <x:c r="B1355" s="2" t="str">
        <x:v>MM-1948</x:v>
      </x:c>
      <x:c r="C1355" s="2" t="str">
        <x:v>Email</x:v>
      </x:c>
      <x:c r="D1355" s="2" t="str">
        <x:v>TUM-002</x:v>
      </x:c>
      <x:c r="E1355" s="2" t="str">
        <x:f>_xlfn.IFNA(VLOOKUP(D1355,'Products'!$A$7:$I$22,2,FALSE),"Unmapped")</x:f>
        <x:v>Cold brew glass cup</x:v>
      </x:c>
      <x:c r="F1355" s="2" t="str">
        <x:f>_xlfn.IFNA(VLOOKUP(D1355,'Products'!$A$7:$I$22,3,FALSE),"Unmapped")</x:f>
        <x:v>Drinkware</x:v>
      </x:c>
      <x:c r="G1355" s="2" t="n">
        <x:v>1</x:v>
      </x:c>
      <x:c r="H1355" s="2" t="n">
        <x:v>0</x:v>
      </x:c>
      <x:c r="I1355" s="10" t="n">
        <x:v>24.95</x:v>
      </x:c>
      <x:c r="J1355" s="10" t="n">
        <x:v>2.49</x:v>
      </x:c>
      <x:c r="K1355" s="10" t="n">
        <x:v>9</x:v>
      </x:c>
      <x:c r="L1355" s="10" t="n">
        <x:f>G1355*I1355</x:f>
        <x:v>24.95</x:v>
      </x:c>
      <x:c r="M1355" s="10" t="n">
        <x:f>ROUND((L1355-J1355)*H1355/G1355,2)</x:f>
        <x:v>0</x:v>
      </x:c>
      <x:c r="N1355" s="10" t="n">
        <x:f>L1355-J1355-M1355</x:f>
        <x:v>22.46</x:v>
      </x:c>
      <x:c r="O1355" s="10" t="n">
        <x:f>(G1355-H1355)*K1355</x:f>
        <x:v>9</x:v>
      </x:c>
      <x:c r="P1355" s="10" t="n">
        <x:f>N1355-O1355</x:f>
        <x:v>13.46</x:v>
      </x:c>
      <x:c r="Q1355" s="9" t="n">
        <x:f>A1355-WEEKDAY(A1355,2)+1</x:f>
        <x:v>46314</x:v>
      </x:c>
      <x:c r="R1355" s="2" t="str">
        <x:f>IF(AND(A1355&gt;='Review'!$B$4,A1355&lt;='Review'!$D$4),"Selected","Outside")</x:f>
        <x:v>Selected</x:v>
      </x:c>
    </x:row>
    <x:row r="1356" ht="20" customHeight="1">
      <x:c r="A1356" s="9" t="n">
        <x:v>46315</x:v>
      </x:c>
      <x:c r="B1356" s="2" t="str">
        <x:v>MM-1948</x:v>
      </x:c>
      <x:c r="C1356" s="2" t="str">
        <x:v>Email</x:v>
      </x:c>
      <x:c r="D1356" s="2" t="str">
        <x:v>MUG-002</x:v>
      </x:c>
      <x:c r="E1356" s="2" t="str">
        <x:f>_xlfn.IFNA(VLOOKUP(D1356,'Products'!$A$7:$I$22,2,FALSE),"Unmapped")</x:f>
        <x:v>Campfire enamel mug</x:v>
      </x:c>
      <x:c r="F1356" s="2" t="str">
        <x:f>_xlfn.IFNA(VLOOKUP(D1356,'Products'!$A$7:$I$22,3,FALSE),"Unmapped")</x:f>
        <x:v>Drinkware</x:v>
      </x:c>
      <x:c r="G1356" s="2" t="n">
        <x:v>1</x:v>
      </x:c>
      <x:c r="H1356" s="2" t="n">
        <x:v>0</x:v>
      </x:c>
      <x:c r="I1356" s="10" t="n">
        <x:v>22.95</x:v>
      </x:c>
      <x:c r="J1356" s="10" t="n">
        <x:v>2.29</x:v>
      </x:c>
      <x:c r="K1356" s="10" t="n">
        <x:v>8.5</x:v>
      </x:c>
      <x:c r="L1356" s="10" t="n">
        <x:f>G1356*I1356</x:f>
        <x:v>22.95</x:v>
      </x:c>
      <x:c r="M1356" s="10" t="n">
        <x:f>ROUND((L1356-J1356)*H1356/G1356,2)</x:f>
        <x:v>0</x:v>
      </x:c>
      <x:c r="N1356" s="10" t="n">
        <x:f>L1356-J1356-M1356</x:f>
        <x:v>20.66</x:v>
      </x:c>
      <x:c r="O1356" s="10" t="n">
        <x:f>(G1356-H1356)*K1356</x:f>
        <x:v>8.5</x:v>
      </x:c>
      <x:c r="P1356" s="10" t="n">
        <x:f>N1356-O1356</x:f>
        <x:v>12.16</x:v>
      </x:c>
      <x:c r="Q1356" s="9" t="n">
        <x:f>A1356-WEEKDAY(A1356,2)+1</x:f>
        <x:v>46314</x:v>
      </x:c>
      <x:c r="R1356" s="2" t="str">
        <x:f>IF(AND(A1356&gt;='Review'!$B$4,A1356&lt;='Review'!$D$4),"Selected","Outside")</x:f>
        <x:v>Selected</x:v>
      </x:c>
    </x:row>
    <x:row r="1357" ht="20" customHeight="1">
      <x:c r="A1357" s="9" t="n">
        <x:v>46315</x:v>
      </x:c>
      <x:c r="B1357" s="2" t="str">
        <x:v>MM-1958</x:v>
      </x:c>
      <x:c r="C1357" s="2" t="str">
        <x:v>Organic Search</x:v>
      </x:c>
      <x:c r="D1357" s="2" t="str">
        <x:v>TUM-001</x:v>
      </x:c>
      <x:c r="E1357" s="2" t="str">
        <x:f>_xlfn.IFNA(VLOOKUP(D1357,'Products'!$A$7:$I$22,2,FALSE),"Unmapped")</x:f>
        <x:v>Maple travel tumbler</x:v>
      </x:c>
      <x:c r="F1357" s="2" t="str">
        <x:f>_xlfn.IFNA(VLOOKUP(D1357,'Products'!$A$7:$I$22,3,FALSE),"Unmapped")</x:f>
        <x:v>Drinkware</x:v>
      </x:c>
      <x:c r="G1357" s="2" t="n">
        <x:v>1</x:v>
      </x:c>
      <x:c r="H1357" s="2" t="n">
        <x:v>0</x:v>
      </x:c>
      <x:c r="I1357" s="10" t="n">
        <x:v>32.95</x:v>
      </x:c>
      <x:c r="J1357" s="10" t="n">
        <x:v>0</x:v>
      </x:c>
      <x:c r="K1357" s="10" t="n">
        <x:v>12</x:v>
      </x:c>
      <x:c r="L1357" s="10" t="n">
        <x:f>G1357*I1357</x:f>
        <x:v>32.95</x:v>
      </x:c>
      <x:c r="M1357" s="10" t="n">
        <x:f>ROUND((L1357-J1357)*H1357/G1357,2)</x:f>
        <x:v>0</x:v>
      </x:c>
      <x:c r="N1357" s="10" t="n">
        <x:f>L1357-J1357-M1357</x:f>
        <x:v>32.95</x:v>
      </x:c>
      <x:c r="O1357" s="10" t="n">
        <x:f>(G1357-H1357)*K1357</x:f>
        <x:v>12</x:v>
      </x:c>
      <x:c r="P1357" s="10" t="n">
        <x:f>N1357-O1357</x:f>
        <x:v>20.950000000000003</x:v>
      </x:c>
      <x:c r="Q1357" s="9" t="n">
        <x:f>A1357-WEEKDAY(A1357,2)+1</x:f>
        <x:v>46314</x:v>
      </x:c>
      <x:c r="R1357" s="2" t="str">
        <x:f>IF(AND(A1357&gt;='Review'!$B$4,A1357&lt;='Review'!$D$4),"Selected","Outside")</x:f>
        <x:v>Selected</x:v>
      </x:c>
    </x:row>
    <x:row r="1358" ht="20" customHeight="1">
      <x:c r="A1358" s="9" t="n">
        <x:v>46315</x:v>
      </x:c>
      <x:c r="B1358" s="2" t="str">
        <x:v>MM-1958</x:v>
      </x:c>
      <x:c r="C1358" s="2" t="str">
        <x:v>Organic Search</x:v>
      </x:c>
      <x:c r="D1358" s="2" t="str">
        <x:v>GFT-001</x:v>
      </x:c>
      <x:c r="E1358" s="2" t="str">
        <x:f>_xlfn.IFNA(VLOOKUP(D1358,'Products'!$A$7:$I$22,2,FALSE),"Unmapped")</x:f>
        <x:v>Morning ritual gift set</x:v>
      </x:c>
      <x:c r="F1358" s="2" t="str">
        <x:f>_xlfn.IFNA(VLOOKUP(D1358,'Products'!$A$7:$I$22,3,FALSE),"Unmapped")</x:f>
        <x:v>Gifts</x:v>
      </x:c>
      <x:c r="G1358" s="2" t="n">
        <x:v>2</x:v>
      </x:c>
      <x:c r="H1358" s="2" t="n">
        <x:v>0</x:v>
      </x:c>
      <x:c r="I1358" s="10" t="n">
        <x:v>59.95</x:v>
      </x:c>
      <x:c r="J1358" s="10" t="n">
        <x:v>0</x:v>
      </x:c>
      <x:c r="K1358" s="10" t="n">
        <x:v>24</x:v>
      </x:c>
      <x:c r="L1358" s="10" t="n">
        <x:f>G1358*I1358</x:f>
        <x:v>119.9</x:v>
      </x:c>
      <x:c r="M1358" s="10" t="n">
        <x:f>ROUND((L1358-J1358)*H1358/G1358,2)</x:f>
        <x:v>0</x:v>
      </x:c>
      <x:c r="N1358" s="10" t="n">
        <x:f>L1358-J1358-M1358</x:f>
        <x:v>119.9</x:v>
      </x:c>
      <x:c r="O1358" s="10" t="n">
        <x:f>(G1358-H1358)*K1358</x:f>
        <x:v>48</x:v>
      </x:c>
      <x:c r="P1358" s="10" t="n">
        <x:f>N1358-O1358</x:f>
        <x:v>71.9</x:v>
      </x:c>
      <x:c r="Q1358" s="9" t="n">
        <x:f>A1358-WEEKDAY(A1358,2)+1</x:f>
        <x:v>46314</x:v>
      </x:c>
      <x:c r="R1358" s="2" t="str">
        <x:f>IF(AND(A1358&gt;='Review'!$B$4,A1358&lt;='Review'!$D$4),"Selected","Outside")</x:f>
        <x:v>Selected</x:v>
      </x:c>
    </x:row>
    <x:row r="1359" ht="20" customHeight="1">
      <x:c r="A1359" s="9" t="n">
        <x:v>46315</x:v>
      </x:c>
      <x:c r="B1359" s="2" t="str">
        <x:v>MM-1964</x:v>
      </x:c>
      <x:c r="C1359" s="2" t="str">
        <x:v>Paid Social</x:v>
      </x:c>
      <x:c r="D1359" s="2" t="str">
        <x:v>MUG-001</x:v>
      </x:c>
      <x:c r="E1359" s="2" t="str">
        <x:f>_xlfn.IFNA(VLOOKUP(D1359,'Products'!$A$7:$I$22,2,FALSE),"Unmapped")</x:f>
        <x:v>Everyday ceramic mug</x:v>
      </x:c>
      <x:c r="F1359" s="2" t="str">
        <x:f>_xlfn.IFNA(VLOOKUP(D1359,'Products'!$A$7:$I$22,3,FALSE),"Unmapped")</x:f>
        <x:v>Drinkware</x:v>
      </x:c>
      <x:c r="G1359" s="2" t="n">
        <x:v>1</x:v>
      </x:c>
      <x:c r="H1359" s="2" t="n">
        <x:v>0</x:v>
      </x:c>
      <x:c r="I1359" s="10" t="n">
        <x:v>18.95</x:v>
      </x:c>
      <x:c r="J1359" s="10" t="n">
        <x:v>1.89</x:v>
      </x:c>
      <x:c r="K1359" s="10" t="n">
        <x:v>6.5</x:v>
      </x:c>
      <x:c r="L1359" s="10" t="n">
        <x:f>G1359*I1359</x:f>
        <x:v>18.95</x:v>
      </x:c>
      <x:c r="M1359" s="10" t="n">
        <x:f>ROUND((L1359-J1359)*H1359/G1359,2)</x:f>
        <x:v>0</x:v>
      </x:c>
      <x:c r="N1359" s="10" t="n">
        <x:f>L1359-J1359-M1359</x:f>
        <x:v>17.06</x:v>
      </x:c>
      <x:c r="O1359" s="10" t="n">
        <x:f>(G1359-H1359)*K1359</x:f>
        <x:v>6.5</x:v>
      </x:c>
      <x:c r="P1359" s="10" t="n">
        <x:f>N1359-O1359</x:f>
        <x:v>10.559999999999999</x:v>
      </x:c>
      <x:c r="Q1359" s="9" t="n">
        <x:f>A1359-WEEKDAY(A1359,2)+1</x:f>
        <x:v>46314</x:v>
      </x:c>
      <x:c r="R1359" s="2" t="str">
        <x:f>IF(AND(A1359&gt;='Review'!$B$4,A1359&lt;='Review'!$D$4),"Selected","Outside")</x:f>
        <x:v>Selected</x:v>
      </x:c>
    </x:row>
    <x:row r="1360" ht="20" customHeight="1">
      <x:c r="A1360" s="9" t="n">
        <x:v>46315</x:v>
      </x:c>
      <x:c r="B1360" s="2" t="str">
        <x:v>MM-1942</x:v>
      </x:c>
      <x:c r="C1360" s="2" t="str">
        <x:v>Email</x:v>
      </x:c>
      <x:c r="D1360" s="2" t="str">
        <x:v>GFT-001</x:v>
      </x:c>
      <x:c r="E1360" s="2" t="str">
        <x:f>_xlfn.IFNA(VLOOKUP(D1360,'Products'!$A$7:$I$22,2,FALSE),"Unmapped")</x:f>
        <x:v>Morning ritual gift set</x:v>
      </x:c>
      <x:c r="F1360" s="2" t="str">
        <x:f>_xlfn.IFNA(VLOOKUP(D1360,'Products'!$A$7:$I$22,3,FALSE),"Unmapped")</x:f>
        <x:v>Gifts</x:v>
      </x:c>
      <x:c r="G1360" s="2" t="n">
        <x:v>3</x:v>
      </x:c>
      <x:c r="H1360" s="2" t="n">
        <x:v>0</x:v>
      </x:c>
      <x:c r="I1360" s="10" t="n">
        <x:v>59.95</x:v>
      </x:c>
      <x:c r="J1360" s="10" t="n">
        <x:v>17.98</x:v>
      </x:c>
      <x:c r="K1360" s="10" t="n">
        <x:v>24</x:v>
      </x:c>
      <x:c r="L1360" s="10" t="n">
        <x:f>G1360*I1360</x:f>
        <x:v>179.85000000000002</x:v>
      </x:c>
      <x:c r="M1360" s="10" t="n">
        <x:f>ROUND((L1360-J1360)*H1360/G1360,2)</x:f>
        <x:v>0</x:v>
      </x:c>
      <x:c r="N1360" s="10" t="n">
        <x:f>L1360-J1360-M1360</x:f>
        <x:v>161.87000000000003</x:v>
      </x:c>
      <x:c r="O1360" s="10" t="n">
        <x:f>(G1360-H1360)*K1360</x:f>
        <x:v>72</x:v>
      </x:c>
      <x:c r="P1360" s="10" t="n">
        <x:f>N1360-O1360</x:f>
        <x:v>89.87000000000003</x:v>
      </x:c>
      <x:c r="Q1360" s="9" t="n">
        <x:f>A1360-WEEKDAY(A1360,2)+1</x:f>
        <x:v>46314</x:v>
      </x:c>
      <x:c r="R1360" s="2" t="str">
        <x:f>IF(AND(A1360&gt;='Review'!$B$4,A1360&lt;='Review'!$D$4),"Selected","Outside")</x:f>
        <x:v>Selected</x:v>
      </x:c>
    </x:row>
    <x:row r="1361" ht="20" customHeight="1">
      <x:c r="A1361" s="9" t="n">
        <x:v>46315</x:v>
      </x:c>
      <x:c r="B1361" s="2" t="str">
        <x:v>MM-1951</x:v>
      </x:c>
      <x:c r="C1361" s="2" t="str">
        <x:v>Organic Search</x:v>
      </x:c>
      <x:c r="D1361" s="2" t="str">
        <x:v>KEY-001</x:v>
      </x:c>
      <x:c r="E1361" s="2" t="str">
        <x:f>_xlfn.IFNA(VLOOKUP(D1361,'Products'!$A$7:$I$22,2,FALSE),"Unmapped")</x:f>
        <x:v>Maple keyring</x:v>
      </x:c>
      <x:c r="F1361" s="2" t="str">
        <x:f>_xlfn.IFNA(VLOOKUP(D1361,'Products'!$A$7:$I$22,3,FALSE),"Unmapped")</x:f>
        <x:v>Accessories</x:v>
      </x:c>
      <x:c r="G1361" s="2" t="n">
        <x:v>1</x:v>
      </x:c>
      <x:c r="H1361" s="2" t="n">
        <x:v>0</x:v>
      </x:c>
      <x:c r="I1361" s="10" t="n">
        <x:v>12.95</x:v>
      </x:c>
      <x:c r="J1361" s="10" t="n">
        <x:v>0</x:v>
      </x:c>
      <x:c r="K1361" s="10" t="n">
        <x:v>3.5</x:v>
      </x:c>
      <x:c r="L1361" s="10" t="n">
        <x:f>G1361*I1361</x:f>
        <x:v>12.95</x:v>
      </x:c>
      <x:c r="M1361" s="10" t="n">
        <x:f>ROUND((L1361-J1361)*H1361/G1361,2)</x:f>
        <x:v>0</x:v>
      </x:c>
      <x:c r="N1361" s="10" t="n">
        <x:f>L1361-J1361-M1361</x:f>
        <x:v>12.95</x:v>
      </x:c>
      <x:c r="O1361" s="10" t="n">
        <x:f>(G1361-H1361)*K1361</x:f>
        <x:v>3.5</x:v>
      </x:c>
      <x:c r="P1361" s="10" t="n">
        <x:f>N1361-O1361</x:f>
        <x:v>9.45</x:v>
      </x:c>
      <x:c r="Q1361" s="9" t="n">
        <x:f>A1361-WEEKDAY(A1361,2)+1</x:f>
        <x:v>46314</x:v>
      </x:c>
      <x:c r="R1361" s="2" t="str">
        <x:f>IF(AND(A1361&gt;='Review'!$B$4,A1361&lt;='Review'!$D$4),"Selected","Outside")</x:f>
        <x:v>Selected</x:v>
      </x:c>
    </x:row>
    <x:row r="1362" ht="20" customHeight="1">
      <x:c r="A1362" s="9" t="n">
        <x:v>46315</x:v>
      </x:c>
      <x:c r="B1362" s="2" t="str">
        <x:v>MM-1951</x:v>
      </x:c>
      <x:c r="C1362" s="2" t="str">
        <x:v>Organic Search</x:v>
      </x:c>
      <x:c r="D1362" s="2" t="str">
        <x:v>TUM-002</x:v>
      </x:c>
      <x:c r="E1362" s="2" t="str">
        <x:f>_xlfn.IFNA(VLOOKUP(D1362,'Products'!$A$7:$I$22,2,FALSE),"Unmapped")</x:f>
        <x:v>Cold brew glass cup</x:v>
      </x:c>
      <x:c r="F1362" s="2" t="str">
        <x:f>_xlfn.IFNA(VLOOKUP(D1362,'Products'!$A$7:$I$22,3,FALSE),"Unmapped")</x:f>
        <x:v>Drinkware</x:v>
      </x:c>
      <x:c r="G1362" s="2" t="n">
        <x:v>1</x:v>
      </x:c>
      <x:c r="H1362" s="2" t="n">
        <x:v>0</x:v>
      </x:c>
      <x:c r="I1362" s="10" t="n">
        <x:v>24.95</x:v>
      </x:c>
      <x:c r="J1362" s="10" t="n">
        <x:v>0</x:v>
      </x:c>
      <x:c r="K1362" s="10" t="n">
        <x:v>9</x:v>
      </x:c>
      <x:c r="L1362" s="10" t="n">
        <x:f>G1362*I1362</x:f>
        <x:v>24.95</x:v>
      </x:c>
      <x:c r="M1362" s="10" t="n">
        <x:f>ROUND((L1362-J1362)*H1362/G1362,2)</x:f>
        <x:v>0</x:v>
      </x:c>
      <x:c r="N1362" s="10" t="n">
        <x:f>L1362-J1362-M1362</x:f>
        <x:v>24.95</x:v>
      </x:c>
      <x:c r="O1362" s="10" t="n">
        <x:f>(G1362-H1362)*K1362</x:f>
        <x:v>9</x:v>
      </x:c>
      <x:c r="P1362" s="10" t="n">
        <x:f>N1362-O1362</x:f>
        <x:v>15.95</x:v>
      </x:c>
      <x:c r="Q1362" s="9" t="n">
        <x:f>A1362-WEEKDAY(A1362,2)+1</x:f>
        <x:v>46314</x:v>
      </x:c>
      <x:c r="R1362" s="2" t="str">
        <x:f>IF(AND(A1362&gt;='Review'!$B$4,A1362&lt;='Review'!$D$4),"Selected","Outside")</x:f>
        <x:v>Selected</x:v>
      </x:c>
    </x:row>
    <x:row r="1363" ht="20" customHeight="1">
      <x:c r="A1363" s="9" t="n">
        <x:v>46315</x:v>
      </x:c>
      <x:c r="B1363" s="2" t="str">
        <x:v>MM-1951</x:v>
      </x:c>
      <x:c r="C1363" s="2" t="str">
        <x:v>Organic Search</x:v>
      </x:c>
      <x:c r="D1363" s="2" t="str">
        <x:v>GFT-002</x:v>
      </x:c>
      <x:c r="E1363" s="2" t="str">
        <x:f>_xlfn.IFNA(VLOOKUP(D1363,'Products'!$A$7:$I$22,2,FALSE),"Unmapped")</x:f>
        <x:v>Cozy weekend gift box</x:v>
      </x:c>
      <x:c r="F1363" s="2" t="str">
        <x:f>_xlfn.IFNA(VLOOKUP(D1363,'Products'!$A$7:$I$22,3,FALSE),"Unmapped")</x:f>
        <x:v>Gifts</x:v>
      </x:c>
      <x:c r="G1363" s="2" t="n">
        <x:v>1</x:v>
      </x:c>
      <x:c r="H1363" s="2" t="n">
        <x:v>0</x:v>
      </x:c>
      <x:c r="I1363" s="10" t="n">
        <x:v>79.95</x:v>
      </x:c>
      <x:c r="J1363" s="10" t="n">
        <x:v>0</x:v>
      </x:c>
      <x:c r="K1363" s="10" t="n">
        <x:v>32</x:v>
      </x:c>
      <x:c r="L1363" s="10" t="n">
        <x:f>G1363*I1363</x:f>
        <x:v>79.95</x:v>
      </x:c>
      <x:c r="M1363" s="10" t="n">
        <x:f>ROUND((L1363-J1363)*H1363/G1363,2)</x:f>
        <x:v>0</x:v>
      </x:c>
      <x:c r="N1363" s="10" t="n">
        <x:f>L1363-J1363-M1363</x:f>
        <x:v>79.95</x:v>
      </x:c>
      <x:c r="O1363" s="10" t="n">
        <x:f>(G1363-H1363)*K1363</x:f>
        <x:v>32</x:v>
      </x:c>
      <x:c r="P1363" s="10" t="n">
        <x:f>N1363-O1363</x:f>
        <x:v>47.95</x:v>
      </x:c>
      <x:c r="Q1363" s="9" t="n">
        <x:f>A1363-WEEKDAY(A1363,2)+1</x:f>
        <x:v>46314</x:v>
      </x:c>
      <x:c r="R1363" s="2" t="str">
        <x:f>IF(AND(A1363&gt;='Review'!$B$4,A1363&lt;='Review'!$D$4),"Selected","Outside")</x:f>
        <x:v>Selected</x:v>
      </x:c>
    </x:row>
    <x:row r="1364" ht="20" customHeight="1">
      <x:c r="A1364" s="9" t="n">
        <x:v>46315</x:v>
      </x:c>
      <x:c r="B1364" s="2" t="str">
        <x:v>MM-1949</x:v>
      </x:c>
      <x:c r="C1364" s="2" t="str">
        <x:v>Direct</x:v>
      </x:c>
      <x:c r="D1364" s="2" t="str">
        <x:v>GFT-001</x:v>
      </x:c>
      <x:c r="E1364" s="2" t="str">
        <x:f>_xlfn.IFNA(VLOOKUP(D1364,'Products'!$A$7:$I$22,2,FALSE),"Unmapped")</x:f>
        <x:v>Morning ritual gift set</x:v>
      </x:c>
      <x:c r="F1364" s="2" t="str">
        <x:f>_xlfn.IFNA(VLOOKUP(D1364,'Products'!$A$7:$I$22,3,FALSE),"Unmapped")</x:f>
        <x:v>Gifts</x:v>
      </x:c>
      <x:c r="G1364" s="2" t="n">
        <x:v>1</x:v>
      </x:c>
      <x:c r="H1364" s="2" t="n">
        <x:v>0</x:v>
      </x:c>
      <x:c r="I1364" s="10" t="n">
        <x:v>59.95</x:v>
      </x:c>
      <x:c r="J1364" s="10" t="n">
        <x:v>0</x:v>
      </x:c>
      <x:c r="K1364" s="10" t="n">
        <x:v>24</x:v>
      </x:c>
      <x:c r="L1364" s="10" t="n">
        <x:f>G1364*I1364</x:f>
        <x:v>59.95</x:v>
      </x:c>
      <x:c r="M1364" s="10" t="n">
        <x:f>ROUND((L1364-J1364)*H1364/G1364,2)</x:f>
        <x:v>0</x:v>
      </x:c>
      <x:c r="N1364" s="10" t="n">
        <x:f>L1364-J1364-M1364</x:f>
        <x:v>59.95</x:v>
      </x:c>
      <x:c r="O1364" s="10" t="n">
        <x:f>(G1364-H1364)*K1364</x:f>
        <x:v>24</x:v>
      </x:c>
      <x:c r="P1364" s="10" t="n">
        <x:f>N1364-O1364</x:f>
        <x:v>35.95</x:v>
      </x:c>
      <x:c r="Q1364" s="9" t="n">
        <x:f>A1364-WEEKDAY(A1364,2)+1</x:f>
        <x:v>46314</x:v>
      </x:c>
      <x:c r="R1364" s="2" t="str">
        <x:f>IF(AND(A1364&gt;='Review'!$B$4,A1364&lt;='Review'!$D$4),"Selected","Outside")</x:f>
        <x:v>Selected</x:v>
      </x:c>
    </x:row>
    <x:row r="1365" ht="20" customHeight="1">
      <x:c r="A1365" s="9" t="n">
        <x:v>46315</x:v>
      </x:c>
      <x:c r="B1365" s="2" t="str">
        <x:v>MM-1949</x:v>
      </x:c>
      <x:c r="C1365" s="2" t="str">
        <x:v>Direct</x:v>
      </x:c>
      <x:c r="D1365" s="2" t="str">
        <x:v>APP-001</x:v>
      </x:c>
      <x:c r="E1365" s="2" t="str">
        <x:f>_xlfn.IFNA(VLOOKUP(D1365,'Products'!$A$7:$I$22,2,FALSE),"Unmapped")</x:f>
        <x:v>Everyday crewneck</x:v>
      </x:c>
      <x:c r="F1365" s="2" t="str">
        <x:f>_xlfn.IFNA(VLOOKUP(D1365,'Products'!$A$7:$I$22,3,FALSE),"Unmapped")</x:f>
        <x:v>Apparel</x:v>
      </x:c>
      <x:c r="G1365" s="2" t="n">
        <x:v>2</x:v>
      </x:c>
      <x:c r="H1365" s="2" t="n">
        <x:v>0</x:v>
      </x:c>
      <x:c r="I1365" s="10" t="n">
        <x:v>54.95</x:v>
      </x:c>
      <x:c r="J1365" s="10" t="n">
        <x:v>0</x:v>
      </x:c>
      <x:c r="K1365" s="10" t="n">
        <x:v>22</x:v>
      </x:c>
      <x:c r="L1365" s="10" t="n">
        <x:f>G1365*I1365</x:f>
        <x:v>109.9</x:v>
      </x:c>
      <x:c r="M1365" s="10" t="n">
        <x:f>ROUND((L1365-J1365)*H1365/G1365,2)</x:f>
        <x:v>0</x:v>
      </x:c>
      <x:c r="N1365" s="10" t="n">
        <x:f>L1365-J1365-M1365</x:f>
        <x:v>109.9</x:v>
      </x:c>
      <x:c r="O1365" s="10" t="n">
        <x:f>(G1365-H1365)*K1365</x:f>
        <x:v>44</x:v>
      </x:c>
      <x:c r="P1365" s="10" t="n">
        <x:f>N1365-O1365</x:f>
        <x:v>65.9</x:v>
      </x:c>
      <x:c r="Q1365" s="9" t="n">
        <x:f>A1365-WEEKDAY(A1365,2)+1</x:f>
        <x:v>46314</x:v>
      </x:c>
      <x:c r="R1365" s="2" t="str">
        <x:f>IF(AND(A1365&gt;='Review'!$B$4,A1365&lt;='Review'!$D$4),"Selected","Outside")</x:f>
        <x:v>Selected</x:v>
      </x:c>
    </x:row>
    <x:row r="1366" ht="20" customHeight="1">
      <x:c r="A1366" s="9" t="n">
        <x:v>46315</x:v>
      </x:c>
      <x:c r="B1366" s="2" t="str">
        <x:v>MM-1949</x:v>
      </x:c>
      <x:c r="C1366" s="2" t="str">
        <x:v>Direct</x:v>
      </x:c>
      <x:c r="D1366" s="2" t="str">
        <x:v>MUG-001</x:v>
      </x:c>
      <x:c r="E1366" s="2" t="str">
        <x:f>_xlfn.IFNA(VLOOKUP(D1366,'Products'!$A$7:$I$22,2,FALSE),"Unmapped")</x:f>
        <x:v>Everyday ceramic mug</x:v>
      </x:c>
      <x:c r="F1366" s="2" t="str">
        <x:f>_xlfn.IFNA(VLOOKUP(D1366,'Products'!$A$7:$I$22,3,FALSE),"Unmapped")</x:f>
        <x:v>Drinkware</x:v>
      </x:c>
      <x:c r="G1366" s="2" t="n">
        <x:v>1</x:v>
      </x:c>
      <x:c r="H1366" s="2" t="n">
        <x:v>0</x:v>
      </x:c>
      <x:c r="I1366" s="10" t="n">
        <x:v>18.95</x:v>
      </x:c>
      <x:c r="J1366" s="10" t="n">
        <x:v>0</x:v>
      </x:c>
      <x:c r="K1366" s="10" t="n">
        <x:v>6.5</x:v>
      </x:c>
      <x:c r="L1366" s="10" t="n">
        <x:f>G1366*I1366</x:f>
        <x:v>18.95</x:v>
      </x:c>
      <x:c r="M1366" s="10" t="n">
        <x:f>ROUND((L1366-J1366)*H1366/G1366,2)</x:f>
        <x:v>0</x:v>
      </x:c>
      <x:c r="N1366" s="10" t="n">
        <x:f>L1366-J1366-M1366</x:f>
        <x:v>18.95</x:v>
      </x:c>
      <x:c r="O1366" s="10" t="n">
        <x:f>(G1366-H1366)*K1366</x:f>
        <x:v>6.5</x:v>
      </x:c>
      <x:c r="P1366" s="10" t="n">
        <x:f>N1366-O1366</x:f>
        <x:v>12.45</x:v>
      </x:c>
      <x:c r="Q1366" s="9" t="n">
        <x:f>A1366-WEEKDAY(A1366,2)+1</x:f>
        <x:v>46314</x:v>
      </x:c>
      <x:c r="R1366" s="2" t="str">
        <x:f>IF(AND(A1366&gt;='Review'!$B$4,A1366&lt;='Review'!$D$4),"Selected","Outside")</x:f>
        <x:v>Selected</x:v>
      </x:c>
    </x:row>
    <x:row r="1367" ht="20" customHeight="1">
      <x:c r="A1367" s="9" t="n">
        <x:v>46315</x:v>
      </x:c>
      <x:c r="B1367" s="2" t="str">
        <x:v>MM-1950</x:v>
      </x:c>
      <x:c r="C1367" s="2" t="str">
        <x:v>Email</x:v>
      </x:c>
      <x:c r="D1367" s="2" t="str">
        <x:v>TOTE-001</x:v>
      </x:c>
      <x:c r="E1367" s="2" t="str">
        <x:f>_xlfn.IFNA(VLOOKUP(D1367,'Products'!$A$7:$I$22,2,FALSE),"Unmapped")</x:f>
        <x:v>Market canvas tote</x:v>
      </x:c>
      <x:c r="F1367" s="2" t="str">
        <x:f>_xlfn.IFNA(VLOOKUP(D1367,'Products'!$A$7:$I$22,3,FALSE),"Unmapped")</x:f>
        <x:v>Accessories</x:v>
      </x:c>
      <x:c r="G1367" s="2" t="n">
        <x:v>1</x:v>
      </x:c>
      <x:c r="H1367" s="2" t="n">
        <x:v>0</x:v>
      </x:c>
      <x:c r="I1367" s="10" t="n">
        <x:v>19.95</x:v>
      </x:c>
      <x:c r="J1367" s="10" t="n">
        <x:v>1.99</x:v>
      </x:c>
      <x:c r="K1367" s="10" t="n">
        <x:v>6</x:v>
      </x:c>
      <x:c r="L1367" s="10" t="n">
        <x:f>G1367*I1367</x:f>
        <x:v>19.95</x:v>
      </x:c>
      <x:c r="M1367" s="10" t="n">
        <x:f>ROUND((L1367-J1367)*H1367/G1367,2)</x:f>
        <x:v>0</x:v>
      </x:c>
      <x:c r="N1367" s="10" t="n">
        <x:f>L1367-J1367-M1367</x:f>
        <x:v>17.96</x:v>
      </x:c>
      <x:c r="O1367" s="10" t="n">
        <x:f>(G1367-H1367)*K1367</x:f>
        <x:v>6</x:v>
      </x:c>
      <x:c r="P1367" s="10" t="n">
        <x:f>N1367-O1367</x:f>
        <x:v>11.96</x:v>
      </x:c>
      <x:c r="Q1367" s="9" t="n">
        <x:f>A1367-WEEKDAY(A1367,2)+1</x:f>
        <x:v>46314</x:v>
      </x:c>
      <x:c r="R1367" s="2" t="str">
        <x:f>IF(AND(A1367&gt;='Review'!$B$4,A1367&lt;='Review'!$D$4),"Selected","Outside")</x:f>
        <x:v>Selected</x:v>
      </x:c>
    </x:row>
    <x:row r="1368" ht="20" customHeight="1">
      <x:c r="A1368" s="9" t="n">
        <x:v>46315</x:v>
      </x:c>
      <x:c r="B1368" s="2" t="str">
        <x:v>MM-1950</x:v>
      </x:c>
      <x:c r="C1368" s="2" t="str">
        <x:v>Email</x:v>
      </x:c>
      <x:c r="D1368" s="2" t="str">
        <x:v>APP-002</x:v>
      </x:c>
      <x:c r="E1368" s="2" t="str">
        <x:f>_xlfn.IFNA(VLOOKUP(D1368,'Products'!$A$7:$I$22,2,FALSE),"Unmapped")</x:f>
        <x:v>Weekend hoodie</x:v>
      </x:c>
      <x:c r="F1368" s="2" t="str">
        <x:f>_xlfn.IFNA(VLOOKUP(D1368,'Products'!$A$7:$I$22,3,FALSE),"Unmapped")</x:f>
        <x:v>Apparel</x:v>
      </x:c>
      <x:c r="G1368" s="2" t="n">
        <x:v>1</x:v>
      </x:c>
      <x:c r="H1368" s="2" t="n">
        <x:v>0</x:v>
      </x:c>
      <x:c r="I1368" s="10" t="n">
        <x:v>69.95</x:v>
      </x:c>
      <x:c r="J1368" s="10" t="n">
        <x:v>6.99</x:v>
      </x:c>
      <x:c r="K1368" s="10" t="n">
        <x:v>28</x:v>
      </x:c>
      <x:c r="L1368" s="10" t="n">
        <x:f>G1368*I1368</x:f>
        <x:v>69.95</x:v>
      </x:c>
      <x:c r="M1368" s="10" t="n">
        <x:f>ROUND((L1368-J1368)*H1368/G1368,2)</x:f>
        <x:v>0</x:v>
      </x:c>
      <x:c r="N1368" s="10" t="n">
        <x:f>L1368-J1368-M1368</x:f>
        <x:v>62.96</x:v>
      </x:c>
      <x:c r="O1368" s="10" t="n">
        <x:f>(G1368-H1368)*K1368</x:f>
        <x:v>28</x:v>
      </x:c>
      <x:c r="P1368" s="10" t="n">
        <x:f>N1368-O1368</x:f>
        <x:v>34.96</x:v>
      </x:c>
      <x:c r="Q1368" s="9" t="n">
        <x:f>A1368-WEEKDAY(A1368,2)+1</x:f>
        <x:v>46314</x:v>
      </x:c>
      <x:c r="R1368" s="2" t="str">
        <x:f>IF(AND(A1368&gt;='Review'!$B$4,A1368&lt;='Review'!$D$4),"Selected","Outside")</x:f>
        <x:v>Selected</x:v>
      </x:c>
    </x:row>
    <x:row r="1369" ht="20" customHeight="1">
      <x:c r="A1369" s="9" t="n">
        <x:v>46315</x:v>
      </x:c>
      <x:c r="B1369" s="2" t="str">
        <x:v>MM-1957</x:v>
      </x:c>
      <x:c r="C1369" s="2" t="str">
        <x:v>Direct</x:v>
      </x:c>
      <x:c r="D1369" s="2" t="str">
        <x:v>APP-002</x:v>
      </x:c>
      <x:c r="E1369" s="2" t="str">
        <x:f>_xlfn.IFNA(VLOOKUP(D1369,'Products'!$A$7:$I$22,2,FALSE),"Unmapped")</x:f>
        <x:v>Weekend hoodie</x:v>
      </x:c>
      <x:c r="F1369" s="2" t="str">
        <x:f>_xlfn.IFNA(VLOOKUP(D1369,'Products'!$A$7:$I$22,3,FALSE),"Unmapped")</x:f>
        <x:v>Apparel</x:v>
      </x:c>
      <x:c r="G1369" s="2" t="n">
        <x:v>1</x:v>
      </x:c>
      <x:c r="H1369" s="2" t="n">
        <x:v>0</x:v>
      </x:c>
      <x:c r="I1369" s="10" t="n">
        <x:v>69.95</x:v>
      </x:c>
      <x:c r="J1369" s="10" t="n">
        <x:v>6.99</x:v>
      </x:c>
      <x:c r="K1369" s="10" t="n">
        <x:v>28</x:v>
      </x:c>
      <x:c r="L1369" s="10" t="n">
        <x:f>G1369*I1369</x:f>
        <x:v>69.95</x:v>
      </x:c>
      <x:c r="M1369" s="10" t="n">
        <x:f>ROUND((L1369-J1369)*H1369/G1369,2)</x:f>
        <x:v>0</x:v>
      </x:c>
      <x:c r="N1369" s="10" t="n">
        <x:f>L1369-J1369-M1369</x:f>
        <x:v>62.96</x:v>
      </x:c>
      <x:c r="O1369" s="10" t="n">
        <x:f>(G1369-H1369)*K1369</x:f>
        <x:v>28</x:v>
      </x:c>
      <x:c r="P1369" s="10" t="n">
        <x:f>N1369-O1369</x:f>
        <x:v>34.96</x:v>
      </x:c>
      <x:c r="Q1369" s="9" t="n">
        <x:f>A1369-WEEKDAY(A1369,2)+1</x:f>
        <x:v>46314</x:v>
      </x:c>
      <x:c r="R1369" s="2" t="str">
        <x:f>IF(AND(A1369&gt;='Review'!$B$4,A1369&lt;='Review'!$D$4),"Selected","Outside")</x:f>
        <x:v>Selected</x:v>
      </x:c>
    </x:row>
    <x:row r="1370" ht="20" customHeight="1">
      <x:c r="A1370" s="9" t="n">
        <x:v>46315</x:v>
      </x:c>
      <x:c r="B1370" s="2" t="str">
        <x:v>MM-1959</x:v>
      </x:c>
      <x:c r="C1370" s="2" t="str">
        <x:v>Direct</x:v>
      </x:c>
      <x:c r="D1370" s="2" t="str">
        <x:v>TUM-002</x:v>
      </x:c>
      <x:c r="E1370" s="2" t="str">
        <x:f>_xlfn.IFNA(VLOOKUP(D1370,'Products'!$A$7:$I$22,2,FALSE),"Unmapped")</x:f>
        <x:v>Cold brew glass cup</x:v>
      </x:c>
      <x:c r="F1370" s="2" t="str">
        <x:f>_xlfn.IFNA(VLOOKUP(D1370,'Products'!$A$7:$I$22,3,FALSE),"Unmapped")</x:f>
        <x:v>Drinkware</x:v>
      </x:c>
      <x:c r="G1370" s="2" t="n">
        <x:v>1</x:v>
      </x:c>
      <x:c r="H1370" s="2" t="n">
        <x:v>0</x:v>
      </x:c>
      <x:c r="I1370" s="10" t="n">
        <x:v>24.95</x:v>
      </x:c>
      <x:c r="J1370" s="10" t="n">
        <x:v>0</x:v>
      </x:c>
      <x:c r="K1370" s="10" t="n">
        <x:v>9</x:v>
      </x:c>
      <x:c r="L1370" s="10" t="n">
        <x:f>G1370*I1370</x:f>
        <x:v>24.95</x:v>
      </x:c>
      <x:c r="M1370" s="10" t="n">
        <x:f>ROUND((L1370-J1370)*H1370/G1370,2)</x:f>
        <x:v>0</x:v>
      </x:c>
      <x:c r="N1370" s="10" t="n">
        <x:f>L1370-J1370-M1370</x:f>
        <x:v>24.95</x:v>
      </x:c>
      <x:c r="O1370" s="10" t="n">
        <x:f>(G1370-H1370)*K1370</x:f>
        <x:v>9</x:v>
      </x:c>
      <x:c r="P1370" s="10" t="n">
        <x:f>N1370-O1370</x:f>
        <x:v>15.95</x:v>
      </x:c>
      <x:c r="Q1370" s="9" t="n">
        <x:f>A1370-WEEKDAY(A1370,2)+1</x:f>
        <x:v>46314</x:v>
      </x:c>
      <x:c r="R1370" s="2" t="str">
        <x:f>IF(AND(A1370&gt;='Review'!$B$4,A1370&lt;='Review'!$D$4),"Selected","Outside")</x:f>
        <x:v>Selected</x:v>
      </x:c>
    </x:row>
    <x:row r="1371" ht="20" customHeight="1">
      <x:c r="A1371" s="9" t="n">
        <x:v>46315</x:v>
      </x:c>
      <x:c r="B1371" s="2" t="str">
        <x:v>MM-1959</x:v>
      </x:c>
      <x:c r="C1371" s="2" t="str">
        <x:v>Direct</x:v>
      </x:c>
      <x:c r="D1371" s="2" t="str">
        <x:v>GFT-001</x:v>
      </x:c>
      <x:c r="E1371" s="2" t="str">
        <x:f>_xlfn.IFNA(VLOOKUP(D1371,'Products'!$A$7:$I$22,2,FALSE),"Unmapped")</x:f>
        <x:v>Morning ritual gift set</x:v>
      </x:c>
      <x:c r="F1371" s="2" t="str">
        <x:f>_xlfn.IFNA(VLOOKUP(D1371,'Products'!$A$7:$I$22,3,FALSE),"Unmapped")</x:f>
        <x:v>Gifts</x:v>
      </x:c>
      <x:c r="G1371" s="2" t="n">
        <x:v>1</x:v>
      </x:c>
      <x:c r="H1371" s="2" t="n">
        <x:v>0</x:v>
      </x:c>
      <x:c r="I1371" s="10" t="n">
        <x:v>59.95</x:v>
      </x:c>
      <x:c r="J1371" s="10" t="n">
        <x:v>0</x:v>
      </x:c>
      <x:c r="K1371" s="10" t="n">
        <x:v>24</x:v>
      </x:c>
      <x:c r="L1371" s="10" t="n">
        <x:f>G1371*I1371</x:f>
        <x:v>59.95</x:v>
      </x:c>
      <x:c r="M1371" s="10" t="n">
        <x:f>ROUND((L1371-J1371)*H1371/G1371,2)</x:f>
        <x:v>0</x:v>
      </x:c>
      <x:c r="N1371" s="10" t="n">
        <x:f>L1371-J1371-M1371</x:f>
        <x:v>59.95</x:v>
      </x:c>
      <x:c r="O1371" s="10" t="n">
        <x:f>(G1371-H1371)*K1371</x:f>
        <x:v>24</x:v>
      </x:c>
      <x:c r="P1371" s="10" t="n">
        <x:f>N1371-O1371</x:f>
        <x:v>35.95</x:v>
      </x:c>
      <x:c r="Q1371" s="9" t="n">
        <x:f>A1371-WEEKDAY(A1371,2)+1</x:f>
        <x:v>46314</x:v>
      </x:c>
      <x:c r="R1371" s="2" t="str">
        <x:f>IF(AND(A1371&gt;='Review'!$B$4,A1371&lt;='Review'!$D$4),"Selected","Outside")</x:f>
        <x:v>Selected</x:v>
      </x:c>
    </x:row>
    <x:row r="1372" ht="20" customHeight="1">
      <x:c r="A1372" s="9" t="n">
        <x:v>46315</x:v>
      </x:c>
      <x:c r="B1372" s="2" t="str">
        <x:v>MM-1946</x:v>
      </x:c>
      <x:c r="C1372" s="2" t="str">
        <x:v>Paid Social</x:v>
      </x:c>
      <x:c r="D1372" s="2" t="str">
        <x:v>HAT-001</x:v>
      </x:c>
      <x:c r="E1372" s="2" t="str">
        <x:f>_xlfn.IFNA(VLOOKUP(D1372,'Products'!$A$7:$I$22,2,FALSE),"Unmapped")</x:f>
        <x:v>Classic canvas cap</x:v>
      </x:c>
      <x:c r="F1372" s="2" t="str">
        <x:f>_xlfn.IFNA(VLOOKUP(D1372,'Products'!$A$7:$I$22,3,FALSE),"Unmapped")</x:f>
        <x:v>Accessories</x:v>
      </x:c>
      <x:c r="G1372" s="2" t="n">
        <x:v>3</x:v>
      </x:c>
      <x:c r="H1372" s="2" t="n">
        <x:v>0</x:v>
      </x:c>
      <x:c r="I1372" s="10" t="n">
        <x:v>24.95</x:v>
      </x:c>
      <x:c r="J1372" s="10" t="n">
        <x:v>0</x:v>
      </x:c>
      <x:c r="K1372" s="10" t="n">
        <x:v>8.5</x:v>
      </x:c>
      <x:c r="L1372" s="10" t="n">
        <x:f>G1372*I1372</x:f>
        <x:v>74.85</x:v>
      </x:c>
      <x:c r="M1372" s="10" t="n">
        <x:f>ROUND((L1372-J1372)*H1372/G1372,2)</x:f>
        <x:v>0</x:v>
      </x:c>
      <x:c r="N1372" s="10" t="n">
        <x:f>L1372-J1372-M1372</x:f>
        <x:v>74.85</x:v>
      </x:c>
      <x:c r="O1372" s="10" t="n">
        <x:f>(G1372-H1372)*K1372</x:f>
        <x:v>25.5</x:v>
      </x:c>
      <x:c r="P1372" s="10" t="n">
        <x:f>N1372-O1372</x:f>
        <x:v>49.349999999999994</x:v>
      </x:c>
      <x:c r="Q1372" s="9" t="n">
        <x:f>A1372-WEEKDAY(A1372,2)+1</x:f>
        <x:v>46314</x:v>
      </x:c>
      <x:c r="R1372" s="2" t="str">
        <x:f>IF(AND(A1372&gt;='Review'!$B$4,A1372&lt;='Review'!$D$4),"Selected","Outside")</x:f>
        <x:v>Selected</x:v>
      </x:c>
    </x:row>
    <x:row r="1373" ht="20" customHeight="1">
      <x:c r="A1373" s="9" t="n">
        <x:v>46315</x:v>
      </x:c>
      <x:c r="B1373" s="2" t="str">
        <x:v>MM-1946</x:v>
      </x:c>
      <x:c r="C1373" s="2" t="str">
        <x:v>Paid Social</x:v>
      </x:c>
      <x:c r="D1373" s="2" t="str">
        <x:v>APP-003</x:v>
      </x:c>
      <x:c r="E1373" s="2" t="str">
        <x:f>_xlfn.IFNA(VLOOKUP(D1373,'Products'!$A$7:$I$22,2,FALSE),"Unmapped")</x:f>
        <x:v>Coffee club tee</x:v>
      </x:c>
      <x:c r="F1373" s="2" t="str">
        <x:f>_xlfn.IFNA(VLOOKUP(D1373,'Products'!$A$7:$I$22,3,FALSE),"Unmapped")</x:f>
        <x:v>Apparel</x:v>
      </x:c>
      <x:c r="G1373" s="2" t="n">
        <x:v>1</x:v>
      </x:c>
      <x:c r="H1373" s="2" t="n">
        <x:v>0</x:v>
      </x:c>
      <x:c r="I1373" s="10" t="n">
        <x:v>29.95</x:v>
      </x:c>
      <x:c r="J1373" s="10" t="n">
        <x:v>0</x:v>
      </x:c>
      <x:c r="K1373" s="10" t="n">
        <x:v>10</x:v>
      </x:c>
      <x:c r="L1373" s="10" t="n">
        <x:f>G1373*I1373</x:f>
        <x:v>29.95</x:v>
      </x:c>
      <x:c r="M1373" s="10" t="n">
        <x:f>ROUND((L1373-J1373)*H1373/G1373,2)</x:f>
        <x:v>0</x:v>
      </x:c>
      <x:c r="N1373" s="10" t="n">
        <x:f>L1373-J1373-M1373</x:f>
        <x:v>29.95</x:v>
      </x:c>
      <x:c r="O1373" s="10" t="n">
        <x:f>(G1373-H1373)*K1373</x:f>
        <x:v>10</x:v>
      </x:c>
      <x:c r="P1373" s="10" t="n">
        <x:f>N1373-O1373</x:f>
        <x:v>19.95</x:v>
      </x:c>
      <x:c r="Q1373" s="9" t="n">
        <x:f>A1373-WEEKDAY(A1373,2)+1</x:f>
        <x:v>46314</x:v>
      </x:c>
      <x:c r="R1373" s="2" t="str">
        <x:f>IF(AND(A1373&gt;='Review'!$B$4,A1373&lt;='Review'!$D$4),"Selected","Outside")</x:f>
        <x:v>Selected</x:v>
      </x:c>
    </x:row>
    <x:row r="1374" ht="20" customHeight="1">
      <x:c r="A1374" s="9" t="n">
        <x:v>46315</x:v>
      </x:c>
      <x:c r="B1374" s="2" t="str">
        <x:v>MM-1956</x:v>
      </x:c>
      <x:c r="C1374" s="2" t="str">
        <x:v>Paid Social</x:v>
      </x:c>
      <x:c r="D1374" s="2" t="str">
        <x:v>GFT-001</x:v>
      </x:c>
      <x:c r="E1374" s="2" t="str">
        <x:f>_xlfn.IFNA(VLOOKUP(D1374,'Products'!$A$7:$I$22,2,FALSE),"Unmapped")</x:f>
        <x:v>Morning ritual gift set</x:v>
      </x:c>
      <x:c r="F1374" s="2" t="str">
        <x:f>_xlfn.IFNA(VLOOKUP(D1374,'Products'!$A$7:$I$22,3,FALSE),"Unmapped")</x:f>
        <x:v>Gifts</x:v>
      </x:c>
      <x:c r="G1374" s="2" t="n">
        <x:v>3</x:v>
      </x:c>
      <x:c r="H1374" s="2" t="n">
        <x:v>0</x:v>
      </x:c>
      <x:c r="I1374" s="10" t="n">
        <x:v>59.95</x:v>
      </x:c>
      <x:c r="J1374" s="10" t="n">
        <x:v>0</x:v>
      </x:c>
      <x:c r="K1374" s="10" t="n">
        <x:v>24</x:v>
      </x:c>
      <x:c r="L1374" s="10" t="n">
        <x:f>G1374*I1374</x:f>
        <x:v>179.85000000000002</x:v>
      </x:c>
      <x:c r="M1374" s="10" t="n">
        <x:f>ROUND((L1374-J1374)*H1374/G1374,2)</x:f>
        <x:v>0</x:v>
      </x:c>
      <x:c r="N1374" s="10" t="n">
        <x:f>L1374-J1374-M1374</x:f>
        <x:v>179.85000000000002</x:v>
      </x:c>
      <x:c r="O1374" s="10" t="n">
        <x:f>(G1374-H1374)*K1374</x:f>
        <x:v>72</x:v>
      </x:c>
      <x:c r="P1374" s="10" t="n">
        <x:f>N1374-O1374</x:f>
        <x:v>107.85000000000002</x:v>
      </x:c>
      <x:c r="Q1374" s="9" t="n">
        <x:f>A1374-WEEKDAY(A1374,2)+1</x:f>
        <x:v>46314</x:v>
      </x:c>
      <x:c r="R1374" s="2" t="str">
        <x:f>IF(AND(A1374&gt;='Review'!$B$4,A1374&lt;='Review'!$D$4),"Selected","Outside")</x:f>
        <x:v>Selected</x:v>
      </x:c>
    </x:row>
    <x:row r="1375" ht="20" customHeight="1">
      <x:c r="A1375" s="9" t="n">
        <x:v>46316</x:v>
      </x:c>
      <x:c r="B1375" s="2" t="str">
        <x:v>MM-1984</x:v>
      </x:c>
      <x:c r="C1375" s="2" t="str">
        <x:v>Organic Search</x:v>
      </x:c>
      <x:c r="D1375" s="2" t="str">
        <x:v>APP-002</x:v>
      </x:c>
      <x:c r="E1375" s="2" t="str">
        <x:f>_xlfn.IFNA(VLOOKUP(D1375,'Products'!$A$7:$I$22,2,FALSE),"Unmapped")</x:f>
        <x:v>Weekend hoodie</x:v>
      </x:c>
      <x:c r="F1375" s="2" t="str">
        <x:f>_xlfn.IFNA(VLOOKUP(D1375,'Products'!$A$7:$I$22,3,FALSE),"Unmapped")</x:f>
        <x:v>Apparel</x:v>
      </x:c>
      <x:c r="G1375" s="2" t="n">
        <x:v>1</x:v>
      </x:c>
      <x:c r="H1375" s="2" t="n">
        <x:v>0</x:v>
      </x:c>
      <x:c r="I1375" s="10" t="n">
        <x:v>69.95</x:v>
      </x:c>
      <x:c r="J1375" s="10" t="n">
        <x:v>0</x:v>
      </x:c>
      <x:c r="K1375" s="10" t="n">
        <x:v>28</x:v>
      </x:c>
      <x:c r="L1375" s="10" t="n">
        <x:f>G1375*I1375</x:f>
        <x:v>69.95</x:v>
      </x:c>
      <x:c r="M1375" s="10" t="n">
        <x:f>ROUND((L1375-J1375)*H1375/G1375,2)</x:f>
        <x:v>0</x:v>
      </x:c>
      <x:c r="N1375" s="10" t="n">
        <x:f>L1375-J1375-M1375</x:f>
        <x:v>69.95</x:v>
      </x:c>
      <x:c r="O1375" s="10" t="n">
        <x:f>(G1375-H1375)*K1375</x:f>
        <x:v>28</x:v>
      </x:c>
      <x:c r="P1375" s="10" t="n">
        <x:f>N1375-O1375</x:f>
        <x:v>41.95</x:v>
      </x:c>
      <x:c r="Q1375" s="9" t="n">
        <x:f>A1375-WEEKDAY(A1375,2)+1</x:f>
        <x:v>46314</x:v>
      </x:c>
      <x:c r="R1375" s="2" t="str">
        <x:f>IF(AND(A1375&gt;='Review'!$B$4,A1375&lt;='Review'!$D$4),"Selected","Outside")</x:f>
        <x:v>Selected</x:v>
      </x:c>
    </x:row>
    <x:row r="1376" ht="20" customHeight="1">
      <x:c r="A1376" s="9" t="n">
        <x:v>46316</x:v>
      </x:c>
      <x:c r="B1376" s="2" t="str">
        <x:v>MM-1969</x:v>
      </x:c>
      <x:c r="C1376" s="2" t="str">
        <x:v>Organic Search</x:v>
      </x:c>
      <x:c r="D1376" s="2" t="str">
        <x:v>GFT-002</x:v>
      </x:c>
      <x:c r="E1376" s="2" t="str">
        <x:f>_xlfn.IFNA(VLOOKUP(D1376,'Products'!$A$7:$I$22,2,FALSE),"Unmapped")</x:f>
        <x:v>Cozy weekend gift box</x:v>
      </x:c>
      <x:c r="F1376" s="2" t="str">
        <x:f>_xlfn.IFNA(VLOOKUP(D1376,'Products'!$A$7:$I$22,3,FALSE),"Unmapped")</x:f>
        <x:v>Gifts</x:v>
      </x:c>
      <x:c r="G1376" s="2" t="n">
        <x:v>3</x:v>
      </x:c>
      <x:c r="H1376" s="2" t="n">
        <x:v>0</x:v>
      </x:c>
      <x:c r="I1376" s="10" t="n">
        <x:v>79.95</x:v>
      </x:c>
      <x:c r="J1376" s="10" t="n">
        <x:v>0</x:v>
      </x:c>
      <x:c r="K1376" s="10" t="n">
        <x:v>32</x:v>
      </x:c>
      <x:c r="L1376" s="10" t="n">
        <x:f>G1376*I1376</x:f>
        <x:v>239.85000000000002</x:v>
      </x:c>
      <x:c r="M1376" s="10" t="n">
        <x:f>ROUND((L1376-J1376)*H1376/G1376,2)</x:f>
        <x:v>0</x:v>
      </x:c>
      <x:c r="N1376" s="10" t="n">
        <x:f>L1376-J1376-M1376</x:f>
        <x:v>239.85000000000002</x:v>
      </x:c>
      <x:c r="O1376" s="10" t="n">
        <x:f>(G1376-H1376)*K1376</x:f>
        <x:v>96</x:v>
      </x:c>
      <x:c r="P1376" s="10" t="n">
        <x:f>N1376-O1376</x:f>
        <x:v>143.85000000000002</x:v>
      </x:c>
      <x:c r="Q1376" s="9" t="n">
        <x:f>A1376-WEEKDAY(A1376,2)+1</x:f>
        <x:v>46314</x:v>
      </x:c>
      <x:c r="R1376" s="2" t="str">
        <x:f>IF(AND(A1376&gt;='Review'!$B$4,A1376&lt;='Review'!$D$4),"Selected","Outside")</x:f>
        <x:v>Selected</x:v>
      </x:c>
    </x:row>
    <x:row r="1377" ht="20" customHeight="1">
      <x:c r="A1377" s="9" t="n">
        <x:v>46316</x:v>
      </x:c>
      <x:c r="B1377" s="2" t="str">
        <x:v>MM-1990</x:v>
      </x:c>
      <x:c r="C1377" s="2" t="str">
        <x:v>Organic Search</x:v>
      </x:c>
      <x:c r="D1377" s="2" t="str">
        <x:v>TOTE-001</x:v>
      </x:c>
      <x:c r="E1377" s="2" t="str">
        <x:f>_xlfn.IFNA(VLOOKUP(D1377,'Products'!$A$7:$I$22,2,FALSE),"Unmapped")</x:f>
        <x:v>Market canvas tote</x:v>
      </x:c>
      <x:c r="F1377" s="2" t="str">
        <x:f>_xlfn.IFNA(VLOOKUP(D1377,'Products'!$A$7:$I$22,3,FALSE),"Unmapped")</x:f>
        <x:v>Accessories</x:v>
      </x:c>
      <x:c r="G1377" s="2" t="n">
        <x:v>1</x:v>
      </x:c>
      <x:c r="H1377" s="2" t="n">
        <x:v>0</x:v>
      </x:c>
      <x:c r="I1377" s="10" t="n">
        <x:v>19.95</x:v>
      </x:c>
      <x:c r="J1377" s="10" t="n">
        <x:v>0</x:v>
      </x:c>
      <x:c r="K1377" s="10" t="n">
        <x:v>6</x:v>
      </x:c>
      <x:c r="L1377" s="10" t="n">
        <x:f>G1377*I1377</x:f>
        <x:v>19.95</x:v>
      </x:c>
      <x:c r="M1377" s="10" t="n">
        <x:f>ROUND((L1377-J1377)*H1377/G1377,2)</x:f>
        <x:v>0</x:v>
      </x:c>
      <x:c r="N1377" s="10" t="n">
        <x:f>L1377-J1377-M1377</x:f>
        <x:v>19.95</x:v>
      </x:c>
      <x:c r="O1377" s="10" t="n">
        <x:f>(G1377-H1377)*K1377</x:f>
        <x:v>6</x:v>
      </x:c>
      <x:c r="P1377" s="10" t="n">
        <x:f>N1377-O1377</x:f>
        <x:v>13.95</x:v>
      </x:c>
      <x:c r="Q1377" s="9" t="n">
        <x:f>A1377-WEEKDAY(A1377,2)+1</x:f>
        <x:v>46314</x:v>
      </x:c>
      <x:c r="R1377" s="2" t="str">
        <x:f>IF(AND(A1377&gt;='Review'!$B$4,A1377&lt;='Review'!$D$4),"Selected","Outside")</x:f>
        <x:v>Selected</x:v>
      </x:c>
    </x:row>
    <x:row r="1378" ht="20" customHeight="1">
      <x:c r="A1378" s="9" t="n">
        <x:v>46316</x:v>
      </x:c>
      <x:c r="B1378" s="2" t="str">
        <x:v>MM-1975</x:v>
      </x:c>
      <x:c r="C1378" s="2" t="str">
        <x:v>Email</x:v>
      </x:c>
      <x:c r="D1378" s="2" t="str">
        <x:v>TUM-001</x:v>
      </x:c>
      <x:c r="E1378" s="2" t="str">
        <x:f>_xlfn.IFNA(VLOOKUP(D1378,'Products'!$A$7:$I$22,2,FALSE),"Unmapped")</x:f>
        <x:v>Maple travel tumbler</x:v>
      </x:c>
      <x:c r="F1378" s="2" t="str">
        <x:f>_xlfn.IFNA(VLOOKUP(D1378,'Products'!$A$7:$I$22,3,FALSE),"Unmapped")</x:f>
        <x:v>Drinkware</x:v>
      </x:c>
      <x:c r="G1378" s="2" t="n">
        <x:v>1</x:v>
      </x:c>
      <x:c r="H1378" s="2" t="n">
        <x:v>0</x:v>
      </x:c>
      <x:c r="I1378" s="10" t="n">
        <x:v>32.95</x:v>
      </x:c>
      <x:c r="J1378" s="10" t="n">
        <x:v>3.29</x:v>
      </x:c>
      <x:c r="K1378" s="10" t="n">
        <x:v>12</x:v>
      </x:c>
      <x:c r="L1378" s="10" t="n">
        <x:f>G1378*I1378</x:f>
        <x:v>32.95</x:v>
      </x:c>
      <x:c r="M1378" s="10" t="n">
        <x:f>ROUND((L1378-J1378)*H1378/G1378,2)</x:f>
        <x:v>0</x:v>
      </x:c>
      <x:c r="N1378" s="10" t="n">
        <x:f>L1378-J1378-M1378</x:f>
        <x:v>29.660000000000004</x:v>
      </x:c>
      <x:c r="O1378" s="10" t="n">
        <x:f>(G1378-H1378)*K1378</x:f>
        <x:v>12</x:v>
      </x:c>
      <x:c r="P1378" s="10" t="n">
        <x:f>N1378-O1378</x:f>
        <x:v>17.660000000000004</x:v>
      </x:c>
      <x:c r="Q1378" s="9" t="n">
        <x:f>A1378-WEEKDAY(A1378,2)+1</x:f>
        <x:v>46314</x:v>
      </x:c>
      <x:c r="R1378" s="2" t="str">
        <x:f>IF(AND(A1378&gt;='Review'!$B$4,A1378&lt;='Review'!$D$4),"Selected","Outside")</x:f>
        <x:v>Selected</x:v>
      </x:c>
    </x:row>
    <x:row r="1379" ht="20" customHeight="1">
      <x:c r="A1379" s="9" t="n">
        <x:v>46316</x:v>
      </x:c>
      <x:c r="B1379" s="2" t="str">
        <x:v>MM-1982</x:v>
      </x:c>
      <x:c r="C1379" s="2" t="str">
        <x:v>Email</x:v>
      </x:c>
      <x:c r="D1379" s="2" t="str">
        <x:v>APP-003</x:v>
      </x:c>
      <x:c r="E1379" s="2" t="str">
        <x:f>_xlfn.IFNA(VLOOKUP(D1379,'Products'!$A$7:$I$22,2,FALSE),"Unmapped")</x:f>
        <x:v>Coffee club tee</x:v>
      </x:c>
      <x:c r="F1379" s="2" t="str">
        <x:f>_xlfn.IFNA(VLOOKUP(D1379,'Products'!$A$7:$I$22,3,FALSE),"Unmapped")</x:f>
        <x:v>Apparel</x:v>
      </x:c>
      <x:c r="G1379" s="2" t="n">
        <x:v>1</x:v>
      </x:c>
      <x:c r="H1379" s="2" t="n">
        <x:v>0</x:v>
      </x:c>
      <x:c r="I1379" s="10" t="n">
        <x:v>29.95</x:v>
      </x:c>
      <x:c r="J1379" s="10" t="n">
        <x:v>2.99</x:v>
      </x:c>
      <x:c r="K1379" s="10" t="n">
        <x:v>10</x:v>
      </x:c>
      <x:c r="L1379" s="10" t="n">
        <x:f>G1379*I1379</x:f>
        <x:v>29.95</x:v>
      </x:c>
      <x:c r="M1379" s="10" t="n">
        <x:f>ROUND((L1379-J1379)*H1379/G1379,2)</x:f>
        <x:v>0</x:v>
      </x:c>
      <x:c r="N1379" s="10" t="n">
        <x:f>L1379-J1379-M1379</x:f>
        <x:v>26.96</x:v>
      </x:c>
      <x:c r="O1379" s="10" t="n">
        <x:f>(G1379-H1379)*K1379</x:f>
        <x:v>10</x:v>
      </x:c>
      <x:c r="P1379" s="10" t="n">
        <x:f>N1379-O1379</x:f>
        <x:v>16.96</x:v>
      </x:c>
      <x:c r="Q1379" s="9" t="n">
        <x:f>A1379-WEEKDAY(A1379,2)+1</x:f>
        <x:v>46314</x:v>
      </x:c>
      <x:c r="R1379" s="2" t="str">
        <x:f>IF(AND(A1379&gt;='Review'!$B$4,A1379&lt;='Review'!$D$4),"Selected","Outside")</x:f>
        <x:v>Selected</x:v>
      </x:c>
    </x:row>
    <x:row r="1380" ht="20" customHeight="1">
      <x:c r="A1380" s="9" t="n">
        <x:v>46316</x:v>
      </x:c>
      <x:c r="B1380" s="2" t="str">
        <x:v>MM-1987</x:v>
      </x:c>
      <x:c r="C1380" s="2" t="str">
        <x:v>Email</x:v>
      </x:c>
      <x:c r="D1380" s="2" t="str">
        <x:v>HAT-001</x:v>
      </x:c>
      <x:c r="E1380" s="2" t="str">
        <x:f>_xlfn.IFNA(VLOOKUP(D1380,'Products'!$A$7:$I$22,2,FALSE),"Unmapped")</x:f>
        <x:v>Classic canvas cap</x:v>
      </x:c>
      <x:c r="F1380" s="2" t="str">
        <x:f>_xlfn.IFNA(VLOOKUP(D1380,'Products'!$A$7:$I$22,3,FALSE),"Unmapped")</x:f>
        <x:v>Accessories</x:v>
      </x:c>
      <x:c r="G1380" s="2" t="n">
        <x:v>2</x:v>
      </x:c>
      <x:c r="H1380" s="2" t="n">
        <x:v>0</x:v>
      </x:c>
      <x:c r="I1380" s="10" t="n">
        <x:v>24.95</x:v>
      </x:c>
      <x:c r="J1380" s="10" t="n">
        <x:v>4.99</x:v>
      </x:c>
      <x:c r="K1380" s="10" t="n">
        <x:v>8.5</x:v>
      </x:c>
      <x:c r="L1380" s="10" t="n">
        <x:f>G1380*I1380</x:f>
        <x:v>49.9</x:v>
      </x:c>
      <x:c r="M1380" s="10" t="n">
        <x:f>ROUND((L1380-J1380)*H1380/G1380,2)</x:f>
        <x:v>0</x:v>
      </x:c>
      <x:c r="N1380" s="10" t="n">
        <x:f>L1380-J1380-M1380</x:f>
        <x:v>44.91</x:v>
      </x:c>
      <x:c r="O1380" s="10" t="n">
        <x:f>(G1380-H1380)*K1380</x:f>
        <x:v>17</x:v>
      </x:c>
      <x:c r="P1380" s="10" t="n">
        <x:f>N1380-O1380</x:f>
        <x:v>27.909999999999997</x:v>
      </x:c>
      <x:c r="Q1380" s="9" t="n">
        <x:f>A1380-WEEKDAY(A1380,2)+1</x:f>
        <x:v>46314</x:v>
      </x:c>
      <x:c r="R1380" s="2" t="str">
        <x:f>IF(AND(A1380&gt;='Review'!$B$4,A1380&lt;='Review'!$D$4),"Selected","Outside")</x:f>
        <x:v>Selected</x:v>
      </x:c>
    </x:row>
    <x:row r="1381" ht="20" customHeight="1">
      <x:c r="A1381" s="9" t="n">
        <x:v>46316</x:v>
      </x:c>
      <x:c r="B1381" s="2" t="str">
        <x:v>MM-1965</x:v>
      </x:c>
      <x:c r="C1381" s="2" t="str">
        <x:v>Email</x:v>
      </x:c>
      <x:c r="D1381" s="2" t="str">
        <x:v>TUM-001</x:v>
      </x:c>
      <x:c r="E1381" s="2" t="str">
        <x:f>_xlfn.IFNA(VLOOKUP(D1381,'Products'!$A$7:$I$22,2,FALSE),"Unmapped")</x:f>
        <x:v>Maple travel tumbler</x:v>
      </x:c>
      <x:c r="F1381" s="2" t="str">
        <x:f>_xlfn.IFNA(VLOOKUP(D1381,'Products'!$A$7:$I$22,3,FALSE),"Unmapped")</x:f>
        <x:v>Drinkware</x:v>
      </x:c>
      <x:c r="G1381" s="2" t="n">
        <x:v>1</x:v>
      </x:c>
      <x:c r="H1381" s="2" t="n">
        <x:v>0</x:v>
      </x:c>
      <x:c r="I1381" s="10" t="n">
        <x:v>32.95</x:v>
      </x:c>
      <x:c r="J1381" s="10" t="n">
        <x:v>3.29</x:v>
      </x:c>
      <x:c r="K1381" s="10" t="n">
        <x:v>12</x:v>
      </x:c>
      <x:c r="L1381" s="10" t="n">
        <x:f>G1381*I1381</x:f>
        <x:v>32.95</x:v>
      </x:c>
      <x:c r="M1381" s="10" t="n">
        <x:f>ROUND((L1381-J1381)*H1381/G1381,2)</x:f>
        <x:v>0</x:v>
      </x:c>
      <x:c r="N1381" s="10" t="n">
        <x:f>L1381-J1381-M1381</x:f>
        <x:v>29.660000000000004</x:v>
      </x:c>
      <x:c r="O1381" s="10" t="n">
        <x:f>(G1381-H1381)*K1381</x:f>
        <x:v>12</x:v>
      </x:c>
      <x:c r="P1381" s="10" t="n">
        <x:f>N1381-O1381</x:f>
        <x:v>17.660000000000004</x:v>
      </x:c>
      <x:c r="Q1381" s="9" t="n">
        <x:f>A1381-WEEKDAY(A1381,2)+1</x:f>
        <x:v>46314</x:v>
      </x:c>
      <x:c r="R1381" s="2" t="str">
        <x:f>IF(AND(A1381&gt;='Review'!$B$4,A1381&lt;='Review'!$D$4),"Selected","Outside")</x:f>
        <x:v>Selected</x:v>
      </x:c>
    </x:row>
    <x:row r="1382" ht="20" customHeight="1">
      <x:c r="A1382" s="9" t="n">
        <x:v>46316</x:v>
      </x:c>
      <x:c r="B1382" s="2" t="str">
        <x:v>MM-1965</x:v>
      </x:c>
      <x:c r="C1382" s="2" t="str">
        <x:v>Email</x:v>
      </x:c>
      <x:c r="D1382" s="2" t="str">
        <x:v>HAT-001</x:v>
      </x:c>
      <x:c r="E1382" s="2" t="str">
        <x:f>_xlfn.IFNA(VLOOKUP(D1382,'Products'!$A$7:$I$22,2,FALSE),"Unmapped")</x:f>
        <x:v>Classic canvas cap</x:v>
      </x:c>
      <x:c r="F1382" s="2" t="str">
        <x:f>_xlfn.IFNA(VLOOKUP(D1382,'Products'!$A$7:$I$22,3,FALSE),"Unmapped")</x:f>
        <x:v>Accessories</x:v>
      </x:c>
      <x:c r="G1382" s="2" t="n">
        <x:v>2</x:v>
      </x:c>
      <x:c r="H1382" s="2" t="n">
        <x:v>0</x:v>
      </x:c>
      <x:c r="I1382" s="10" t="n">
        <x:v>24.95</x:v>
      </x:c>
      <x:c r="J1382" s="10" t="n">
        <x:v>4.99</x:v>
      </x:c>
      <x:c r="K1382" s="10" t="n">
        <x:v>8.5</x:v>
      </x:c>
      <x:c r="L1382" s="10" t="n">
        <x:f>G1382*I1382</x:f>
        <x:v>49.9</x:v>
      </x:c>
      <x:c r="M1382" s="10" t="n">
        <x:f>ROUND((L1382-J1382)*H1382/G1382,2)</x:f>
        <x:v>0</x:v>
      </x:c>
      <x:c r="N1382" s="10" t="n">
        <x:f>L1382-J1382-M1382</x:f>
        <x:v>44.91</x:v>
      </x:c>
      <x:c r="O1382" s="10" t="n">
        <x:f>(G1382-H1382)*K1382</x:f>
        <x:v>17</x:v>
      </x:c>
      <x:c r="P1382" s="10" t="n">
        <x:f>N1382-O1382</x:f>
        <x:v>27.909999999999997</x:v>
      </x:c>
      <x:c r="Q1382" s="9" t="n">
        <x:f>A1382-WEEKDAY(A1382,2)+1</x:f>
        <x:v>46314</x:v>
      </x:c>
      <x:c r="R1382" s="2" t="str">
        <x:f>IF(AND(A1382&gt;='Review'!$B$4,A1382&lt;='Review'!$D$4),"Selected","Outside")</x:f>
        <x:v>Selected</x:v>
      </x:c>
    </x:row>
    <x:row r="1383" ht="20" customHeight="1">
      <x:c r="A1383" s="9" t="n">
        <x:v>46316</x:v>
      </x:c>
      <x:c r="B1383" s="2" t="str">
        <x:v>MM-1972</x:v>
      </x:c>
      <x:c r="C1383" s="2" t="str">
        <x:v>Email</x:v>
      </x:c>
      <x:c r="D1383" s="2" t="str">
        <x:v>HAT-001</x:v>
      </x:c>
      <x:c r="E1383" s="2" t="str">
        <x:f>_xlfn.IFNA(VLOOKUP(D1383,'Products'!$A$7:$I$22,2,FALSE),"Unmapped")</x:f>
        <x:v>Classic canvas cap</x:v>
      </x:c>
      <x:c r="F1383" s="2" t="str">
        <x:f>_xlfn.IFNA(VLOOKUP(D1383,'Products'!$A$7:$I$22,3,FALSE),"Unmapped")</x:f>
        <x:v>Accessories</x:v>
      </x:c>
      <x:c r="G1383" s="2" t="n">
        <x:v>3</x:v>
      </x:c>
      <x:c r="H1383" s="2" t="n">
        <x:v>0</x:v>
      </x:c>
      <x:c r="I1383" s="10" t="n">
        <x:v>24.95</x:v>
      </x:c>
      <x:c r="J1383" s="10" t="n">
        <x:v>7.48</x:v>
      </x:c>
      <x:c r="K1383" s="10" t="n">
        <x:v>8.5</x:v>
      </x:c>
      <x:c r="L1383" s="10" t="n">
        <x:f>G1383*I1383</x:f>
        <x:v>74.85</x:v>
      </x:c>
      <x:c r="M1383" s="10" t="n">
        <x:f>ROUND((L1383-J1383)*H1383/G1383,2)</x:f>
        <x:v>0</x:v>
      </x:c>
      <x:c r="N1383" s="10" t="n">
        <x:f>L1383-J1383-M1383</x:f>
        <x:v>67.36999999999999</x:v>
      </x:c>
      <x:c r="O1383" s="10" t="n">
        <x:f>(G1383-H1383)*K1383</x:f>
        <x:v>25.5</x:v>
      </x:c>
      <x:c r="P1383" s="10" t="n">
        <x:f>N1383-O1383</x:f>
        <x:v>41.86999999999999</x:v>
      </x:c>
      <x:c r="Q1383" s="9" t="n">
        <x:f>A1383-WEEKDAY(A1383,2)+1</x:f>
        <x:v>46314</x:v>
      </x:c>
      <x:c r="R1383" s="2" t="str">
        <x:f>IF(AND(A1383&gt;='Review'!$B$4,A1383&lt;='Review'!$D$4),"Selected","Outside")</x:f>
        <x:v>Selected</x:v>
      </x:c>
    </x:row>
    <x:row r="1384" ht="20" customHeight="1">
      <x:c r="A1384" s="9" t="n">
        <x:v>46316</x:v>
      </x:c>
      <x:c r="B1384" s="2" t="str">
        <x:v>MM-1977</x:v>
      </x:c>
      <x:c r="C1384" s="2" t="str">
        <x:v>Email</x:v>
      </x:c>
      <x:c r="D1384" s="2" t="str">
        <x:v>GFT-002</x:v>
      </x:c>
      <x:c r="E1384" s="2" t="str">
        <x:f>_xlfn.IFNA(VLOOKUP(D1384,'Products'!$A$7:$I$22,2,FALSE),"Unmapped")</x:f>
        <x:v>Cozy weekend gift box</x:v>
      </x:c>
      <x:c r="F1384" s="2" t="str">
        <x:f>_xlfn.IFNA(VLOOKUP(D1384,'Products'!$A$7:$I$22,3,FALSE),"Unmapped")</x:f>
        <x:v>Gifts</x:v>
      </x:c>
      <x:c r="G1384" s="2" t="n">
        <x:v>1</x:v>
      </x:c>
      <x:c r="H1384" s="2" t="n">
        <x:v>0</x:v>
      </x:c>
      <x:c r="I1384" s="10" t="n">
        <x:v>79.95</x:v>
      </x:c>
      <x:c r="J1384" s="10" t="n">
        <x:v>7.99</x:v>
      </x:c>
      <x:c r="K1384" s="10" t="n">
        <x:v>32</x:v>
      </x:c>
      <x:c r="L1384" s="10" t="n">
        <x:f>G1384*I1384</x:f>
        <x:v>79.95</x:v>
      </x:c>
      <x:c r="M1384" s="10" t="n">
        <x:f>ROUND((L1384-J1384)*H1384/G1384,2)</x:f>
        <x:v>0</x:v>
      </x:c>
      <x:c r="N1384" s="10" t="n">
        <x:f>L1384-J1384-M1384</x:f>
        <x:v>71.96000000000001</x:v>
      </x:c>
      <x:c r="O1384" s="10" t="n">
        <x:f>(G1384-H1384)*K1384</x:f>
        <x:v>32</x:v>
      </x:c>
      <x:c r="P1384" s="10" t="n">
        <x:f>N1384-O1384</x:f>
        <x:v>39.96000000000001</x:v>
      </x:c>
      <x:c r="Q1384" s="9" t="n">
        <x:f>A1384-WEEKDAY(A1384,2)+1</x:f>
        <x:v>46314</x:v>
      </x:c>
      <x:c r="R1384" s="2" t="str">
        <x:f>IF(AND(A1384&gt;='Review'!$B$4,A1384&lt;='Review'!$D$4),"Selected","Outside")</x:f>
        <x:v>Selected</x:v>
      </x:c>
    </x:row>
    <x:row r="1385" ht="20" customHeight="1">
      <x:c r="A1385" s="9" t="n">
        <x:v>46316</x:v>
      </x:c>
      <x:c r="B1385" s="2" t="str">
        <x:v>MM-1977</x:v>
      </x:c>
      <x:c r="C1385" s="2" t="str">
        <x:v>Email</x:v>
      </x:c>
      <x:c r="D1385" s="2" t="str">
        <x:v>TUM-001</x:v>
      </x:c>
      <x:c r="E1385" s="2" t="str">
        <x:f>_xlfn.IFNA(VLOOKUP(D1385,'Products'!$A$7:$I$22,2,FALSE),"Unmapped")</x:f>
        <x:v>Maple travel tumbler</x:v>
      </x:c>
      <x:c r="F1385" s="2" t="str">
        <x:f>_xlfn.IFNA(VLOOKUP(D1385,'Products'!$A$7:$I$22,3,FALSE),"Unmapped")</x:f>
        <x:v>Drinkware</x:v>
      </x:c>
      <x:c r="G1385" s="2" t="n">
        <x:v>1</x:v>
      </x:c>
      <x:c r="H1385" s="2" t="n">
        <x:v>0</x:v>
      </x:c>
      <x:c r="I1385" s="10" t="n">
        <x:v>32.95</x:v>
      </x:c>
      <x:c r="J1385" s="10" t="n">
        <x:v>3.29</x:v>
      </x:c>
      <x:c r="K1385" s="10" t="n">
        <x:v>12</x:v>
      </x:c>
      <x:c r="L1385" s="10" t="n">
        <x:f>G1385*I1385</x:f>
        <x:v>32.95</x:v>
      </x:c>
      <x:c r="M1385" s="10" t="n">
        <x:f>ROUND((L1385-J1385)*H1385/G1385,2)</x:f>
        <x:v>0</x:v>
      </x:c>
      <x:c r="N1385" s="10" t="n">
        <x:f>L1385-J1385-M1385</x:f>
        <x:v>29.660000000000004</x:v>
      </x:c>
      <x:c r="O1385" s="10" t="n">
        <x:f>(G1385-H1385)*K1385</x:f>
        <x:v>12</x:v>
      </x:c>
      <x:c r="P1385" s="10" t="n">
        <x:f>N1385-O1385</x:f>
        <x:v>17.660000000000004</x:v>
      </x:c>
      <x:c r="Q1385" s="9" t="n">
        <x:f>A1385-WEEKDAY(A1385,2)+1</x:f>
        <x:v>46314</x:v>
      </x:c>
      <x:c r="R1385" s="2" t="str">
        <x:f>IF(AND(A1385&gt;='Review'!$B$4,A1385&lt;='Review'!$D$4),"Selected","Outside")</x:f>
        <x:v>Selected</x:v>
      </x:c>
    </x:row>
    <x:row r="1386" ht="20" customHeight="1">
      <x:c r="A1386" s="9" t="n">
        <x:v>46316</x:v>
      </x:c>
      <x:c r="B1386" s="2" t="str">
        <x:v>MM-1978</x:v>
      </x:c>
      <x:c r="C1386" s="2" t="str">
        <x:v>Paid Social</x:v>
      </x:c>
      <x:c r="D1386" s="2" t="str">
        <x:v>PIN-001</x:v>
      </x:c>
      <x:c r="E1386" s="2" t="str">
        <x:f>_xlfn.IFNA(VLOOKUP(D1386,'Products'!$A$7:$I$22,2,FALSE),"Unmapped")</x:f>
        <x:v>Coffee enamel pin</x:v>
      </x:c>
      <x:c r="F1386" s="2" t="str">
        <x:f>_xlfn.IFNA(VLOOKUP(D1386,'Products'!$A$7:$I$22,3,FALSE),"Unmapped")</x:f>
        <x:v>Accessories</x:v>
      </x:c>
      <x:c r="G1386" s="2" t="n">
        <x:v>1</x:v>
      </x:c>
      <x:c r="H1386" s="2" t="n">
        <x:v>0</x:v>
      </x:c>
      <x:c r="I1386" s="10" t="n">
        <x:v>9.95</x:v>
      </x:c>
      <x:c r="J1386" s="10" t="n">
        <x:v>0.99</x:v>
      </x:c>
      <x:c r="K1386" s="10" t="n">
        <x:v>2.5</x:v>
      </x:c>
      <x:c r="L1386" s="10" t="n">
        <x:f>G1386*I1386</x:f>
        <x:v>9.95</x:v>
      </x:c>
      <x:c r="M1386" s="10" t="n">
        <x:f>ROUND((L1386-J1386)*H1386/G1386,2)</x:f>
        <x:v>0</x:v>
      </x:c>
      <x:c r="N1386" s="10" t="n">
        <x:f>L1386-J1386-M1386</x:f>
        <x:v>8.959999999999999</x:v>
      </x:c>
      <x:c r="O1386" s="10" t="n">
        <x:f>(G1386-H1386)*K1386</x:f>
        <x:v>2.5</x:v>
      </x:c>
      <x:c r="P1386" s="10" t="n">
        <x:f>N1386-O1386</x:f>
        <x:v>6.459999999999999</x:v>
      </x:c>
      <x:c r="Q1386" s="9" t="n">
        <x:f>A1386-WEEKDAY(A1386,2)+1</x:f>
        <x:v>46314</x:v>
      </x:c>
      <x:c r="R1386" s="2" t="str">
        <x:f>IF(AND(A1386&gt;='Review'!$B$4,A1386&lt;='Review'!$D$4),"Selected","Outside")</x:f>
        <x:v>Selected</x:v>
      </x:c>
    </x:row>
    <x:row r="1387" ht="20" customHeight="1">
      <x:c r="A1387" s="9" t="n">
        <x:v>46316</x:v>
      </x:c>
      <x:c r="B1387" s="2" t="str">
        <x:v>MM-1986</x:v>
      </x:c>
      <x:c r="C1387" s="2" t="str">
        <x:v>Paid Social</x:v>
      </x:c>
      <x:c r="D1387" s="2" t="str">
        <x:v>TUM-002</x:v>
      </x:c>
      <x:c r="E1387" s="2" t="str">
        <x:f>_xlfn.IFNA(VLOOKUP(D1387,'Products'!$A$7:$I$22,2,FALSE),"Unmapped")</x:f>
        <x:v>Cold brew glass cup</x:v>
      </x:c>
      <x:c r="F1387" s="2" t="str">
        <x:f>_xlfn.IFNA(VLOOKUP(D1387,'Products'!$A$7:$I$22,3,FALSE),"Unmapped")</x:f>
        <x:v>Drinkware</x:v>
      </x:c>
      <x:c r="G1387" s="2" t="n">
        <x:v>1</x:v>
      </x:c>
      <x:c r="H1387" s="2" t="n">
        <x:v>0</x:v>
      </x:c>
      <x:c r="I1387" s="10" t="n">
        <x:v>24.95</x:v>
      </x:c>
      <x:c r="J1387" s="10" t="n">
        <x:v>0</x:v>
      </x:c>
      <x:c r="K1387" s="10" t="n">
        <x:v>9</x:v>
      </x:c>
      <x:c r="L1387" s="10" t="n">
        <x:f>G1387*I1387</x:f>
        <x:v>24.95</x:v>
      </x:c>
      <x:c r="M1387" s="10" t="n">
        <x:f>ROUND((L1387-J1387)*H1387/G1387,2)</x:f>
        <x:v>0</x:v>
      </x:c>
      <x:c r="N1387" s="10" t="n">
        <x:f>L1387-J1387-M1387</x:f>
        <x:v>24.95</x:v>
      </x:c>
      <x:c r="O1387" s="10" t="n">
        <x:f>(G1387-H1387)*K1387</x:f>
        <x:v>9</x:v>
      </x:c>
      <x:c r="P1387" s="10" t="n">
        <x:f>N1387-O1387</x:f>
        <x:v>15.95</x:v>
      </x:c>
      <x:c r="Q1387" s="9" t="n">
        <x:f>A1387-WEEKDAY(A1387,2)+1</x:f>
        <x:v>46314</x:v>
      </x:c>
      <x:c r="R1387" s="2" t="str">
        <x:f>IF(AND(A1387&gt;='Review'!$B$4,A1387&lt;='Review'!$D$4),"Selected","Outside")</x:f>
        <x:v>Selected</x:v>
      </x:c>
    </x:row>
    <x:row r="1388" ht="20" customHeight="1">
      <x:c r="A1388" s="9" t="n">
        <x:v>46316</x:v>
      </x:c>
      <x:c r="B1388" s="2" t="str">
        <x:v>MM-1989</x:v>
      </x:c>
      <x:c r="C1388" s="2" t="str">
        <x:v>Organic Search</x:v>
      </x:c>
      <x:c r="D1388" s="2" t="str">
        <x:v>HAT-001</x:v>
      </x:c>
      <x:c r="E1388" s="2" t="str">
        <x:f>_xlfn.IFNA(VLOOKUP(D1388,'Products'!$A$7:$I$22,2,FALSE),"Unmapped")</x:f>
        <x:v>Classic canvas cap</x:v>
      </x:c>
      <x:c r="F1388" s="2" t="str">
        <x:f>_xlfn.IFNA(VLOOKUP(D1388,'Products'!$A$7:$I$22,3,FALSE),"Unmapped")</x:f>
        <x:v>Accessories</x:v>
      </x:c>
      <x:c r="G1388" s="2" t="n">
        <x:v>1</x:v>
      </x:c>
      <x:c r="H1388" s="2" t="n">
        <x:v>0</x:v>
      </x:c>
      <x:c r="I1388" s="10" t="n">
        <x:v>24.95</x:v>
      </x:c>
      <x:c r="J1388" s="10" t="n">
        <x:v>0</x:v>
      </x:c>
      <x:c r="K1388" s="10" t="n">
        <x:v>8.5</x:v>
      </x:c>
      <x:c r="L1388" s="10" t="n">
        <x:f>G1388*I1388</x:f>
        <x:v>24.95</x:v>
      </x:c>
      <x:c r="M1388" s="10" t="n">
        <x:f>ROUND((L1388-J1388)*H1388/G1388,2)</x:f>
        <x:v>0</x:v>
      </x:c>
      <x:c r="N1388" s="10" t="n">
        <x:f>L1388-J1388-M1388</x:f>
        <x:v>24.95</x:v>
      </x:c>
      <x:c r="O1388" s="10" t="n">
        <x:f>(G1388-H1388)*K1388</x:f>
        <x:v>8.5</x:v>
      </x:c>
      <x:c r="P1388" s="10" t="n">
        <x:f>N1388-O1388</x:f>
        <x:v>16.45</x:v>
      </x:c>
      <x:c r="Q1388" s="9" t="n">
        <x:f>A1388-WEEKDAY(A1388,2)+1</x:f>
        <x:v>46314</x:v>
      </x:c>
      <x:c r="R1388" s="2" t="str">
        <x:f>IF(AND(A1388&gt;='Review'!$B$4,A1388&lt;='Review'!$D$4),"Selected","Outside")</x:f>
        <x:v>Selected</x:v>
      </x:c>
    </x:row>
    <x:row r="1389" ht="20" customHeight="1">
      <x:c r="A1389" s="9" t="n">
        <x:v>46316</x:v>
      </x:c>
      <x:c r="B1389" s="2" t="str">
        <x:v>MM-1966</x:v>
      </x:c>
      <x:c r="C1389" s="2" t="str">
        <x:v>Email</x:v>
      </x:c>
      <x:c r="D1389" s="2" t="str">
        <x:v>TUM-001</x:v>
      </x:c>
      <x:c r="E1389" s="2" t="str">
        <x:f>_xlfn.IFNA(VLOOKUP(D1389,'Products'!$A$7:$I$22,2,FALSE),"Unmapped")</x:f>
        <x:v>Maple travel tumbler</x:v>
      </x:c>
      <x:c r="F1389" s="2" t="str">
        <x:f>_xlfn.IFNA(VLOOKUP(D1389,'Products'!$A$7:$I$22,3,FALSE),"Unmapped")</x:f>
        <x:v>Drinkware</x:v>
      </x:c>
      <x:c r="G1389" s="2" t="n">
        <x:v>1</x:v>
      </x:c>
      <x:c r="H1389" s="2" t="n">
        <x:v>0</x:v>
      </x:c>
      <x:c r="I1389" s="10" t="n">
        <x:v>32.95</x:v>
      </x:c>
      <x:c r="J1389" s="10" t="n">
        <x:v>3.29</x:v>
      </x:c>
      <x:c r="K1389" s="10" t="n">
        <x:v>12</x:v>
      </x:c>
      <x:c r="L1389" s="10" t="n">
        <x:f>G1389*I1389</x:f>
        <x:v>32.95</x:v>
      </x:c>
      <x:c r="M1389" s="10" t="n">
        <x:f>ROUND((L1389-J1389)*H1389/G1389,2)</x:f>
        <x:v>0</x:v>
      </x:c>
      <x:c r="N1389" s="10" t="n">
        <x:f>L1389-J1389-M1389</x:f>
        <x:v>29.660000000000004</x:v>
      </x:c>
      <x:c r="O1389" s="10" t="n">
        <x:f>(G1389-H1389)*K1389</x:f>
        <x:v>12</x:v>
      </x:c>
      <x:c r="P1389" s="10" t="n">
        <x:f>N1389-O1389</x:f>
        <x:v>17.660000000000004</x:v>
      </x:c>
      <x:c r="Q1389" s="9" t="n">
        <x:f>A1389-WEEKDAY(A1389,2)+1</x:f>
        <x:v>46314</x:v>
      </x:c>
      <x:c r="R1389" s="2" t="str">
        <x:f>IF(AND(A1389&gt;='Review'!$B$4,A1389&lt;='Review'!$D$4),"Selected","Outside")</x:f>
        <x:v>Selected</x:v>
      </x:c>
    </x:row>
    <x:row r="1390" ht="20" customHeight="1">
      <x:c r="A1390" s="9" t="n">
        <x:v>46316</x:v>
      </x:c>
      <x:c r="B1390" s="2" t="str">
        <x:v>MM-1966</x:v>
      </x:c>
      <x:c r="C1390" s="2" t="str">
        <x:v>Email</x:v>
      </x:c>
      <x:c r="D1390" s="2" t="str">
        <x:v>APP-003</x:v>
      </x:c>
      <x:c r="E1390" s="2" t="str">
        <x:f>_xlfn.IFNA(VLOOKUP(D1390,'Products'!$A$7:$I$22,2,FALSE),"Unmapped")</x:f>
        <x:v>Coffee club tee</x:v>
      </x:c>
      <x:c r="F1390" s="2" t="str">
        <x:f>_xlfn.IFNA(VLOOKUP(D1390,'Products'!$A$7:$I$22,3,FALSE),"Unmapped")</x:f>
        <x:v>Apparel</x:v>
      </x:c>
      <x:c r="G1390" s="2" t="n">
        <x:v>1</x:v>
      </x:c>
      <x:c r="H1390" s="2" t="n">
        <x:v>0</x:v>
      </x:c>
      <x:c r="I1390" s="10" t="n">
        <x:v>29.95</x:v>
      </x:c>
      <x:c r="J1390" s="10" t="n">
        <x:v>2.99</x:v>
      </x:c>
      <x:c r="K1390" s="10" t="n">
        <x:v>10</x:v>
      </x:c>
      <x:c r="L1390" s="10" t="n">
        <x:f>G1390*I1390</x:f>
        <x:v>29.95</x:v>
      </x:c>
      <x:c r="M1390" s="10" t="n">
        <x:f>ROUND((L1390-J1390)*H1390/G1390,2)</x:f>
        <x:v>0</x:v>
      </x:c>
      <x:c r="N1390" s="10" t="n">
        <x:f>L1390-J1390-M1390</x:f>
        <x:v>26.96</x:v>
      </x:c>
      <x:c r="O1390" s="10" t="n">
        <x:f>(G1390-H1390)*K1390</x:f>
        <x:v>10</x:v>
      </x:c>
      <x:c r="P1390" s="10" t="n">
        <x:f>N1390-O1390</x:f>
        <x:v>16.96</x:v>
      </x:c>
      <x:c r="Q1390" s="9" t="n">
        <x:f>A1390-WEEKDAY(A1390,2)+1</x:f>
        <x:v>46314</x:v>
      </x:c>
      <x:c r="R1390" s="2" t="str">
        <x:f>IF(AND(A1390&gt;='Review'!$B$4,A1390&lt;='Review'!$D$4),"Selected","Outside")</x:f>
        <x:v>Selected</x:v>
      </x:c>
    </x:row>
    <x:row r="1391" ht="20" customHeight="1">
      <x:c r="A1391" s="9" t="n">
        <x:v>46316</x:v>
      </x:c>
      <x:c r="B1391" s="2" t="str">
        <x:v>MM-1970</x:v>
      </x:c>
      <x:c r="C1391" s="2" t="str">
        <x:v>Paid Social</x:v>
      </x:c>
      <x:c r="D1391" s="2" t="str">
        <x:v>MUG-001</x:v>
      </x:c>
      <x:c r="E1391" s="2" t="str">
        <x:f>_xlfn.IFNA(VLOOKUP(D1391,'Products'!$A$7:$I$22,2,FALSE),"Unmapped")</x:f>
        <x:v>Everyday ceramic mug</x:v>
      </x:c>
      <x:c r="F1391" s="2" t="str">
        <x:f>_xlfn.IFNA(VLOOKUP(D1391,'Products'!$A$7:$I$22,3,FALSE),"Unmapped")</x:f>
        <x:v>Drinkware</x:v>
      </x:c>
      <x:c r="G1391" s="2" t="n">
        <x:v>1</x:v>
      </x:c>
      <x:c r="H1391" s="2" t="n">
        <x:v>0</x:v>
      </x:c>
      <x:c r="I1391" s="10" t="n">
        <x:v>18.95</x:v>
      </x:c>
      <x:c r="J1391" s="10" t="n">
        <x:v>0</x:v>
      </x:c>
      <x:c r="K1391" s="10" t="n">
        <x:v>6.5</x:v>
      </x:c>
      <x:c r="L1391" s="10" t="n">
        <x:f>G1391*I1391</x:f>
        <x:v>18.95</x:v>
      </x:c>
      <x:c r="M1391" s="10" t="n">
        <x:f>ROUND((L1391-J1391)*H1391/G1391,2)</x:f>
        <x:v>0</x:v>
      </x:c>
      <x:c r="N1391" s="10" t="n">
        <x:f>L1391-J1391-M1391</x:f>
        <x:v>18.95</x:v>
      </x:c>
      <x:c r="O1391" s="10" t="n">
        <x:f>(G1391-H1391)*K1391</x:f>
        <x:v>6.5</x:v>
      </x:c>
      <x:c r="P1391" s="10" t="n">
        <x:f>N1391-O1391</x:f>
        <x:v>12.45</x:v>
      </x:c>
      <x:c r="Q1391" s="9" t="n">
        <x:f>A1391-WEEKDAY(A1391,2)+1</x:f>
        <x:v>46314</x:v>
      </x:c>
      <x:c r="R1391" s="2" t="str">
        <x:f>IF(AND(A1391&gt;='Review'!$B$4,A1391&lt;='Review'!$D$4),"Selected","Outside")</x:f>
        <x:v>Selected</x:v>
      </x:c>
    </x:row>
    <x:row r="1392" ht="20" customHeight="1">
      <x:c r="A1392" s="9" t="n">
        <x:v>46316</x:v>
      </x:c>
      <x:c r="B1392" s="2" t="str">
        <x:v>MM-1971</x:v>
      </x:c>
      <x:c r="C1392" s="2" t="str">
        <x:v>Paid Social</x:v>
      </x:c>
      <x:c r="D1392" s="2" t="str">
        <x:v>BOT-001</x:v>
      </x:c>
      <x:c r="E1392" s="2" t="str">
        <x:f>_xlfn.IFNA(VLOOKUP(D1392,'Products'!$A$7:$I$22,2,FALSE),"Unmapped")</x:f>
        <x:v>Trail water bottle</x:v>
      </x:c>
      <x:c r="F1392" s="2" t="str">
        <x:f>_xlfn.IFNA(VLOOKUP(D1392,'Products'!$A$7:$I$22,3,FALSE),"Unmapped")</x:f>
        <x:v>Drinkware</x:v>
      </x:c>
      <x:c r="G1392" s="2" t="n">
        <x:v>2</x:v>
      </x:c>
      <x:c r="H1392" s="2" t="n">
        <x:v>0</x:v>
      </x:c>
      <x:c r="I1392" s="10" t="n">
        <x:v>34.95</x:v>
      </x:c>
      <x:c r="J1392" s="10" t="n">
        <x:v>0</x:v>
      </x:c>
      <x:c r="K1392" s="10" t="n">
        <x:v>13.5</x:v>
      </x:c>
      <x:c r="L1392" s="10" t="n">
        <x:f>G1392*I1392</x:f>
        <x:v>69.9</x:v>
      </x:c>
      <x:c r="M1392" s="10" t="n">
        <x:f>ROUND((L1392-J1392)*H1392/G1392,2)</x:f>
        <x:v>0</x:v>
      </x:c>
      <x:c r="N1392" s="10" t="n">
        <x:f>L1392-J1392-M1392</x:f>
        <x:v>69.9</x:v>
      </x:c>
      <x:c r="O1392" s="10" t="n">
        <x:f>(G1392-H1392)*K1392</x:f>
        <x:v>27</x:v>
      </x:c>
      <x:c r="P1392" s="10" t="n">
        <x:f>N1392-O1392</x:f>
        <x:v>42.900000000000006</x:v>
      </x:c>
      <x:c r="Q1392" s="9" t="n">
        <x:f>A1392-WEEKDAY(A1392,2)+1</x:f>
        <x:v>46314</x:v>
      </x:c>
      <x:c r="R1392" s="2" t="str">
        <x:f>IF(AND(A1392&gt;='Review'!$B$4,A1392&lt;='Review'!$D$4),"Selected","Outside")</x:f>
        <x:v>Selected</x:v>
      </x:c>
    </x:row>
    <x:row r="1393" ht="20" customHeight="1">
      <x:c r="A1393" s="9" t="n">
        <x:v>46316</x:v>
      </x:c>
      <x:c r="B1393" s="2" t="str">
        <x:v>MM-1979</x:v>
      </x:c>
      <x:c r="C1393" s="2" t="str">
        <x:v>Email</x:v>
      </x:c>
      <x:c r="D1393" s="2" t="str">
        <x:v>KEY-001</x:v>
      </x:c>
      <x:c r="E1393" s="2" t="str">
        <x:f>_xlfn.IFNA(VLOOKUP(D1393,'Products'!$A$7:$I$22,2,FALSE),"Unmapped")</x:f>
        <x:v>Maple keyring</x:v>
      </x:c>
      <x:c r="F1393" s="2" t="str">
        <x:f>_xlfn.IFNA(VLOOKUP(D1393,'Products'!$A$7:$I$22,3,FALSE),"Unmapped")</x:f>
        <x:v>Accessories</x:v>
      </x:c>
      <x:c r="G1393" s="2" t="n">
        <x:v>1</x:v>
      </x:c>
      <x:c r="H1393" s="2" t="n">
        <x:v>0</x:v>
      </x:c>
      <x:c r="I1393" s="10" t="n">
        <x:v>12.95</x:v>
      </x:c>
      <x:c r="J1393" s="10" t="n">
        <x:v>1.29</x:v>
      </x:c>
      <x:c r="K1393" s="10" t="n">
        <x:v>3.5</x:v>
      </x:c>
      <x:c r="L1393" s="10" t="n">
        <x:f>G1393*I1393</x:f>
        <x:v>12.95</x:v>
      </x:c>
      <x:c r="M1393" s="10" t="n">
        <x:f>ROUND((L1393-J1393)*H1393/G1393,2)</x:f>
        <x:v>0</x:v>
      </x:c>
      <x:c r="N1393" s="10" t="n">
        <x:f>L1393-J1393-M1393</x:f>
        <x:v>11.66</x:v>
      </x:c>
      <x:c r="O1393" s="10" t="n">
        <x:f>(G1393-H1393)*K1393</x:f>
        <x:v>3.5</x:v>
      </x:c>
      <x:c r="P1393" s="10" t="n">
        <x:f>N1393-O1393</x:f>
        <x:v>8.16</x:v>
      </x:c>
      <x:c r="Q1393" s="9" t="n">
        <x:f>A1393-WEEKDAY(A1393,2)+1</x:f>
        <x:v>46314</x:v>
      </x:c>
      <x:c r="R1393" s="2" t="str">
        <x:f>IF(AND(A1393&gt;='Review'!$B$4,A1393&lt;='Review'!$D$4),"Selected","Outside")</x:f>
        <x:v>Selected</x:v>
      </x:c>
    </x:row>
    <x:row r="1394" ht="20" customHeight="1">
      <x:c r="A1394" s="9" t="n">
        <x:v>46316</x:v>
      </x:c>
      <x:c r="B1394" s="2" t="str">
        <x:v>MM-1985</x:v>
      </x:c>
      <x:c r="C1394" s="2" t="str">
        <x:v>Email</x:v>
      </x:c>
      <x:c r="D1394" s="2" t="str">
        <x:v>GFT-001</x:v>
      </x:c>
      <x:c r="E1394" s="2" t="str">
        <x:f>_xlfn.IFNA(VLOOKUP(D1394,'Products'!$A$7:$I$22,2,FALSE),"Unmapped")</x:f>
        <x:v>Morning ritual gift set</x:v>
      </x:c>
      <x:c r="F1394" s="2" t="str">
        <x:f>_xlfn.IFNA(VLOOKUP(D1394,'Products'!$A$7:$I$22,3,FALSE),"Unmapped")</x:f>
        <x:v>Gifts</x:v>
      </x:c>
      <x:c r="G1394" s="2" t="n">
        <x:v>1</x:v>
      </x:c>
      <x:c r="H1394" s="2" t="n">
        <x:v>0</x:v>
      </x:c>
      <x:c r="I1394" s="10" t="n">
        <x:v>59.95</x:v>
      </x:c>
      <x:c r="J1394" s="10" t="n">
        <x:v>5.99</x:v>
      </x:c>
      <x:c r="K1394" s="10" t="n">
        <x:v>24</x:v>
      </x:c>
      <x:c r="L1394" s="10" t="n">
        <x:f>G1394*I1394</x:f>
        <x:v>59.95</x:v>
      </x:c>
      <x:c r="M1394" s="10" t="n">
        <x:f>ROUND((L1394-J1394)*H1394/G1394,2)</x:f>
        <x:v>0</x:v>
      </x:c>
      <x:c r="N1394" s="10" t="n">
        <x:f>L1394-J1394-M1394</x:f>
        <x:v>53.96</x:v>
      </x:c>
      <x:c r="O1394" s="10" t="n">
        <x:f>(G1394-H1394)*K1394</x:f>
        <x:v>24</x:v>
      </x:c>
      <x:c r="P1394" s="10" t="n">
        <x:f>N1394-O1394</x:f>
        <x:v>29.96</x:v>
      </x:c>
      <x:c r="Q1394" s="9" t="n">
        <x:f>A1394-WEEKDAY(A1394,2)+1</x:f>
        <x:v>46314</x:v>
      </x:c>
      <x:c r="R1394" s="2" t="str">
        <x:f>IF(AND(A1394&gt;='Review'!$B$4,A1394&lt;='Review'!$D$4),"Selected","Outside")</x:f>
        <x:v>Selected</x:v>
      </x:c>
    </x:row>
    <x:row r="1395" ht="20" customHeight="1">
      <x:c r="A1395" s="9" t="n">
        <x:v>46316</x:v>
      </x:c>
      <x:c r="B1395" s="2" t="str">
        <x:v>MM-1985</x:v>
      </x:c>
      <x:c r="C1395" s="2" t="str">
        <x:v>Email</x:v>
      </x:c>
      <x:c r="D1395" s="2" t="str">
        <x:v>TUM-002</x:v>
      </x:c>
      <x:c r="E1395" s="2" t="str">
        <x:f>_xlfn.IFNA(VLOOKUP(D1395,'Products'!$A$7:$I$22,2,FALSE),"Unmapped")</x:f>
        <x:v>Cold brew glass cup</x:v>
      </x:c>
      <x:c r="F1395" s="2" t="str">
        <x:f>_xlfn.IFNA(VLOOKUP(D1395,'Products'!$A$7:$I$22,3,FALSE),"Unmapped")</x:f>
        <x:v>Drinkware</x:v>
      </x:c>
      <x:c r="G1395" s="2" t="n">
        <x:v>1</x:v>
      </x:c>
      <x:c r="H1395" s="2" t="n">
        <x:v>0</x:v>
      </x:c>
      <x:c r="I1395" s="10" t="n">
        <x:v>24.95</x:v>
      </x:c>
      <x:c r="J1395" s="10" t="n">
        <x:v>2.49</x:v>
      </x:c>
      <x:c r="K1395" s="10" t="n">
        <x:v>9</x:v>
      </x:c>
      <x:c r="L1395" s="10" t="n">
        <x:f>G1395*I1395</x:f>
        <x:v>24.95</x:v>
      </x:c>
      <x:c r="M1395" s="10" t="n">
        <x:f>ROUND((L1395-J1395)*H1395/G1395,2)</x:f>
        <x:v>0</x:v>
      </x:c>
      <x:c r="N1395" s="10" t="n">
        <x:f>L1395-J1395-M1395</x:f>
        <x:v>22.46</x:v>
      </x:c>
      <x:c r="O1395" s="10" t="n">
        <x:f>(G1395-H1395)*K1395</x:f>
        <x:v>9</x:v>
      </x:c>
      <x:c r="P1395" s="10" t="n">
        <x:f>N1395-O1395</x:f>
        <x:v>13.46</x:v>
      </x:c>
      <x:c r="Q1395" s="9" t="n">
        <x:f>A1395-WEEKDAY(A1395,2)+1</x:f>
        <x:v>46314</x:v>
      </x:c>
      <x:c r="R1395" s="2" t="str">
        <x:f>IF(AND(A1395&gt;='Review'!$B$4,A1395&lt;='Review'!$D$4),"Selected","Outside")</x:f>
        <x:v>Selected</x:v>
      </x:c>
    </x:row>
    <x:row r="1396" ht="20" customHeight="1">
      <x:c r="A1396" s="9" t="n">
        <x:v>46316</x:v>
      </x:c>
      <x:c r="B1396" s="2" t="str">
        <x:v>MM-1967</x:v>
      </x:c>
      <x:c r="C1396" s="2" t="str">
        <x:v>Email</x:v>
      </x:c>
      <x:c r="D1396" s="2" t="str">
        <x:v>APP-002</x:v>
      </x:c>
      <x:c r="E1396" s="2" t="str">
        <x:f>_xlfn.IFNA(VLOOKUP(D1396,'Products'!$A$7:$I$22,2,FALSE),"Unmapped")</x:f>
        <x:v>Weekend hoodie</x:v>
      </x:c>
      <x:c r="F1396" s="2" t="str">
        <x:f>_xlfn.IFNA(VLOOKUP(D1396,'Products'!$A$7:$I$22,3,FALSE),"Unmapped")</x:f>
        <x:v>Apparel</x:v>
      </x:c>
      <x:c r="G1396" s="2" t="n">
        <x:v>1</x:v>
      </x:c>
      <x:c r="H1396" s="2" t="n">
        <x:v>0</x:v>
      </x:c>
      <x:c r="I1396" s="10" t="n">
        <x:v>69.95</x:v>
      </x:c>
      <x:c r="J1396" s="10" t="n">
        <x:v>6.99</x:v>
      </x:c>
      <x:c r="K1396" s="10" t="n">
        <x:v>28</x:v>
      </x:c>
      <x:c r="L1396" s="10" t="n">
        <x:f>G1396*I1396</x:f>
        <x:v>69.95</x:v>
      </x:c>
      <x:c r="M1396" s="10" t="n">
        <x:f>ROUND((L1396-J1396)*H1396/G1396,2)</x:f>
        <x:v>0</x:v>
      </x:c>
      <x:c r="N1396" s="10" t="n">
        <x:f>L1396-J1396-M1396</x:f>
        <x:v>62.96</x:v>
      </x:c>
      <x:c r="O1396" s="10" t="n">
        <x:f>(G1396-H1396)*K1396</x:f>
        <x:v>28</x:v>
      </x:c>
      <x:c r="P1396" s="10" t="n">
        <x:f>N1396-O1396</x:f>
        <x:v>34.96</x:v>
      </x:c>
      <x:c r="Q1396" s="9" t="n">
        <x:f>A1396-WEEKDAY(A1396,2)+1</x:f>
        <x:v>46314</x:v>
      </x:c>
      <x:c r="R1396" s="2" t="str">
        <x:f>IF(AND(A1396&gt;='Review'!$B$4,A1396&lt;='Review'!$D$4),"Selected","Outside")</x:f>
        <x:v>Selected</x:v>
      </x:c>
    </x:row>
    <x:row r="1397" ht="20" customHeight="1">
      <x:c r="A1397" s="9" t="n">
        <x:v>46316</x:v>
      </x:c>
      <x:c r="B1397" s="2" t="str">
        <x:v>MM-1980</x:v>
      </x:c>
      <x:c r="C1397" s="2" t="str">
        <x:v>Organic Search</x:v>
      </x:c>
      <x:c r="D1397" s="2" t="str">
        <x:v>APP-001</x:v>
      </x:c>
      <x:c r="E1397" s="2" t="str">
        <x:f>_xlfn.IFNA(VLOOKUP(D1397,'Products'!$A$7:$I$22,2,FALSE),"Unmapped")</x:f>
        <x:v>Everyday crewneck</x:v>
      </x:c>
      <x:c r="F1397" s="2" t="str">
        <x:f>_xlfn.IFNA(VLOOKUP(D1397,'Products'!$A$7:$I$22,3,FALSE),"Unmapped")</x:f>
        <x:v>Apparel</x:v>
      </x:c>
      <x:c r="G1397" s="2" t="n">
        <x:v>1</x:v>
      </x:c>
      <x:c r="H1397" s="2" t="n">
        <x:v>0</x:v>
      </x:c>
      <x:c r="I1397" s="10" t="n">
        <x:v>54.95</x:v>
      </x:c>
      <x:c r="J1397" s="10" t="n">
        <x:v>0</x:v>
      </x:c>
      <x:c r="K1397" s="10" t="n">
        <x:v>22</x:v>
      </x:c>
      <x:c r="L1397" s="10" t="n">
        <x:f>G1397*I1397</x:f>
        <x:v>54.95</x:v>
      </x:c>
      <x:c r="M1397" s="10" t="n">
        <x:f>ROUND((L1397-J1397)*H1397/G1397,2)</x:f>
        <x:v>0</x:v>
      </x:c>
      <x:c r="N1397" s="10" t="n">
        <x:f>L1397-J1397-M1397</x:f>
        <x:v>54.95</x:v>
      </x:c>
      <x:c r="O1397" s="10" t="n">
        <x:f>(G1397-H1397)*K1397</x:f>
        <x:v>22</x:v>
      </x:c>
      <x:c r="P1397" s="10" t="n">
        <x:f>N1397-O1397</x:f>
        <x:v>32.95</x:v>
      </x:c>
      <x:c r="Q1397" s="9" t="n">
        <x:f>A1397-WEEKDAY(A1397,2)+1</x:f>
        <x:v>46314</x:v>
      </x:c>
      <x:c r="R1397" s="2" t="str">
        <x:f>IF(AND(A1397&gt;='Review'!$B$4,A1397&lt;='Review'!$D$4),"Selected","Outside")</x:f>
        <x:v>Selected</x:v>
      </x:c>
    </x:row>
    <x:row r="1398" ht="20" customHeight="1">
      <x:c r="A1398" s="9" t="n">
        <x:v>46316</x:v>
      </x:c>
      <x:c r="B1398" s="2" t="str">
        <x:v>MM-1974</x:v>
      </x:c>
      <x:c r="C1398" s="2" t="str">
        <x:v>Organic Search</x:v>
      </x:c>
      <x:c r="D1398" s="2" t="str">
        <x:v>TUM-001</x:v>
      </x:c>
      <x:c r="E1398" s="2" t="str">
        <x:f>_xlfn.IFNA(VLOOKUP(D1398,'Products'!$A$7:$I$22,2,FALSE),"Unmapped")</x:f>
        <x:v>Maple travel tumbler</x:v>
      </x:c>
      <x:c r="F1398" s="2" t="str">
        <x:f>_xlfn.IFNA(VLOOKUP(D1398,'Products'!$A$7:$I$22,3,FALSE),"Unmapped")</x:f>
        <x:v>Drinkware</x:v>
      </x:c>
      <x:c r="G1398" s="2" t="n">
        <x:v>1</x:v>
      </x:c>
      <x:c r="H1398" s="2" t="n">
        <x:v>0</x:v>
      </x:c>
      <x:c r="I1398" s="10" t="n">
        <x:v>32.95</x:v>
      </x:c>
      <x:c r="J1398" s="10" t="n">
        <x:v>0</x:v>
      </x:c>
      <x:c r="K1398" s="10" t="n">
        <x:v>12</x:v>
      </x:c>
      <x:c r="L1398" s="10" t="n">
        <x:f>G1398*I1398</x:f>
        <x:v>32.95</x:v>
      </x:c>
      <x:c r="M1398" s="10" t="n">
        <x:f>ROUND((L1398-J1398)*H1398/G1398,2)</x:f>
        <x:v>0</x:v>
      </x:c>
      <x:c r="N1398" s="10" t="n">
        <x:f>L1398-J1398-M1398</x:f>
        <x:v>32.95</x:v>
      </x:c>
      <x:c r="O1398" s="10" t="n">
        <x:f>(G1398-H1398)*K1398</x:f>
        <x:v>12</x:v>
      </x:c>
      <x:c r="P1398" s="10" t="n">
        <x:f>N1398-O1398</x:f>
        <x:v>20.950000000000003</x:v>
      </x:c>
      <x:c r="Q1398" s="9" t="n">
        <x:f>A1398-WEEKDAY(A1398,2)+1</x:f>
        <x:v>46314</x:v>
      </x:c>
      <x:c r="R1398" s="2" t="str">
        <x:f>IF(AND(A1398&gt;='Review'!$B$4,A1398&lt;='Review'!$D$4),"Selected","Outside")</x:f>
        <x:v>Selected</x:v>
      </x:c>
    </x:row>
    <x:row r="1399" ht="20" customHeight="1">
      <x:c r="A1399" s="9" t="n">
        <x:v>46316</x:v>
      </x:c>
      <x:c r="B1399" s="2" t="str">
        <x:v>MM-1976</x:v>
      </x:c>
      <x:c r="C1399" s="2" t="str">
        <x:v>Organic Search</x:v>
      </x:c>
      <x:c r="D1399" s="2" t="str">
        <x:v>APP-002</x:v>
      </x:c>
      <x:c r="E1399" s="2" t="str">
        <x:f>_xlfn.IFNA(VLOOKUP(D1399,'Products'!$A$7:$I$22,2,FALSE),"Unmapped")</x:f>
        <x:v>Weekend hoodie</x:v>
      </x:c>
      <x:c r="F1399" s="2" t="str">
        <x:f>_xlfn.IFNA(VLOOKUP(D1399,'Products'!$A$7:$I$22,3,FALSE),"Unmapped")</x:f>
        <x:v>Apparel</x:v>
      </x:c>
      <x:c r="G1399" s="2" t="n">
        <x:v>3</x:v>
      </x:c>
      <x:c r="H1399" s="2" t="n">
        <x:v>0</x:v>
      </x:c>
      <x:c r="I1399" s="10" t="n">
        <x:v>69.95</x:v>
      </x:c>
      <x:c r="J1399" s="10" t="n">
        <x:v>0</x:v>
      </x:c>
      <x:c r="K1399" s="10" t="n">
        <x:v>28</x:v>
      </x:c>
      <x:c r="L1399" s="10" t="n">
        <x:f>G1399*I1399</x:f>
        <x:v>209.85000000000002</x:v>
      </x:c>
      <x:c r="M1399" s="10" t="n">
        <x:f>ROUND((L1399-J1399)*H1399/G1399,2)</x:f>
        <x:v>0</x:v>
      </x:c>
      <x:c r="N1399" s="10" t="n">
        <x:f>L1399-J1399-M1399</x:f>
        <x:v>209.85000000000002</x:v>
      </x:c>
      <x:c r="O1399" s="10" t="n">
        <x:f>(G1399-H1399)*K1399</x:f>
        <x:v>84</x:v>
      </x:c>
      <x:c r="P1399" s="10" t="n">
        <x:f>N1399-O1399</x:f>
        <x:v>125.85000000000002</x:v>
      </x:c>
      <x:c r="Q1399" s="9" t="n">
        <x:f>A1399-WEEKDAY(A1399,2)+1</x:f>
        <x:v>46314</x:v>
      </x:c>
      <x:c r="R1399" s="2" t="str">
        <x:f>IF(AND(A1399&gt;='Review'!$B$4,A1399&lt;='Review'!$D$4),"Selected","Outside")</x:f>
        <x:v>Selected</x:v>
      </x:c>
    </x:row>
    <x:row r="1400" ht="20" customHeight="1">
      <x:c r="A1400" s="9" t="n">
        <x:v>46316</x:v>
      </x:c>
      <x:c r="B1400" s="2" t="str">
        <x:v>MM-1976</x:v>
      </x:c>
      <x:c r="C1400" s="2" t="str">
        <x:v>Organic Search</x:v>
      </x:c>
      <x:c r="D1400" s="2" t="str">
        <x:v>TUM-001</x:v>
      </x:c>
      <x:c r="E1400" s="2" t="str">
        <x:f>_xlfn.IFNA(VLOOKUP(D1400,'Products'!$A$7:$I$22,2,FALSE),"Unmapped")</x:f>
        <x:v>Maple travel tumbler</x:v>
      </x:c>
      <x:c r="F1400" s="2" t="str">
        <x:f>_xlfn.IFNA(VLOOKUP(D1400,'Products'!$A$7:$I$22,3,FALSE),"Unmapped")</x:f>
        <x:v>Drinkware</x:v>
      </x:c>
      <x:c r="G1400" s="2" t="n">
        <x:v>1</x:v>
      </x:c>
      <x:c r="H1400" s="2" t="n">
        <x:v>0</x:v>
      </x:c>
      <x:c r="I1400" s="10" t="n">
        <x:v>32.95</x:v>
      </x:c>
      <x:c r="J1400" s="10" t="n">
        <x:v>0</x:v>
      </x:c>
      <x:c r="K1400" s="10" t="n">
        <x:v>12</x:v>
      </x:c>
      <x:c r="L1400" s="10" t="n">
        <x:f>G1400*I1400</x:f>
        <x:v>32.95</x:v>
      </x:c>
      <x:c r="M1400" s="10" t="n">
        <x:f>ROUND((L1400-J1400)*H1400/G1400,2)</x:f>
        <x:v>0</x:v>
      </x:c>
      <x:c r="N1400" s="10" t="n">
        <x:f>L1400-J1400-M1400</x:f>
        <x:v>32.95</x:v>
      </x:c>
      <x:c r="O1400" s="10" t="n">
        <x:f>(G1400-H1400)*K1400</x:f>
        <x:v>12</x:v>
      </x:c>
      <x:c r="P1400" s="10" t="n">
        <x:f>N1400-O1400</x:f>
        <x:v>20.950000000000003</x:v>
      </x:c>
      <x:c r="Q1400" s="9" t="n">
        <x:f>A1400-WEEKDAY(A1400,2)+1</x:f>
        <x:v>46314</x:v>
      </x:c>
      <x:c r="R1400" s="2" t="str">
        <x:f>IF(AND(A1400&gt;='Review'!$B$4,A1400&lt;='Review'!$D$4),"Selected","Outside")</x:f>
        <x:v>Selected</x:v>
      </x:c>
    </x:row>
    <x:row r="1401" ht="20" customHeight="1">
      <x:c r="A1401" s="9" t="n">
        <x:v>46316</x:v>
      </x:c>
      <x:c r="B1401" s="2" t="str">
        <x:v>MM-1973</x:v>
      </x:c>
      <x:c r="C1401" s="2" t="str">
        <x:v>Organic Search</x:v>
      </x:c>
      <x:c r="D1401" s="2" t="str">
        <x:v>APP-001</x:v>
      </x:c>
      <x:c r="E1401" s="2" t="str">
        <x:f>_xlfn.IFNA(VLOOKUP(D1401,'Products'!$A$7:$I$22,2,FALSE),"Unmapped")</x:f>
        <x:v>Everyday crewneck</x:v>
      </x:c>
      <x:c r="F1401" s="2" t="str">
        <x:f>_xlfn.IFNA(VLOOKUP(D1401,'Products'!$A$7:$I$22,3,FALSE),"Unmapped")</x:f>
        <x:v>Apparel</x:v>
      </x:c>
      <x:c r="G1401" s="2" t="n">
        <x:v>1</x:v>
      </x:c>
      <x:c r="H1401" s="2" t="n">
        <x:v>0</x:v>
      </x:c>
      <x:c r="I1401" s="10" t="n">
        <x:v>54.95</x:v>
      </x:c>
      <x:c r="J1401" s="10" t="n">
        <x:v>0</x:v>
      </x:c>
      <x:c r="K1401" s="10" t="n">
        <x:v>22</x:v>
      </x:c>
      <x:c r="L1401" s="10" t="n">
        <x:f>G1401*I1401</x:f>
        <x:v>54.95</x:v>
      </x:c>
      <x:c r="M1401" s="10" t="n">
        <x:f>ROUND((L1401-J1401)*H1401/G1401,2)</x:f>
        <x:v>0</x:v>
      </x:c>
      <x:c r="N1401" s="10" t="n">
        <x:f>L1401-J1401-M1401</x:f>
        <x:v>54.95</x:v>
      </x:c>
      <x:c r="O1401" s="10" t="n">
        <x:f>(G1401-H1401)*K1401</x:f>
        <x:v>22</x:v>
      </x:c>
      <x:c r="P1401" s="10" t="n">
        <x:f>N1401-O1401</x:f>
        <x:v>32.95</x:v>
      </x:c>
      <x:c r="Q1401" s="9" t="n">
        <x:f>A1401-WEEKDAY(A1401,2)+1</x:f>
        <x:v>46314</x:v>
      </x:c>
      <x:c r="R1401" s="2" t="str">
        <x:f>IF(AND(A1401&gt;='Review'!$B$4,A1401&lt;='Review'!$D$4),"Selected","Outside")</x:f>
        <x:v>Selected</x:v>
      </x:c>
    </x:row>
    <x:row r="1402" ht="20" customHeight="1">
      <x:c r="A1402" s="9" t="n">
        <x:v>46316</x:v>
      </x:c>
      <x:c r="B1402" s="2" t="str">
        <x:v>MM-1973</x:v>
      </x:c>
      <x:c r="C1402" s="2" t="str">
        <x:v>Organic Search</x:v>
      </x:c>
      <x:c r="D1402" s="2" t="str">
        <x:v>MUG-001</x:v>
      </x:c>
      <x:c r="E1402" s="2" t="str">
        <x:f>_xlfn.IFNA(VLOOKUP(D1402,'Products'!$A$7:$I$22,2,FALSE),"Unmapped")</x:f>
        <x:v>Everyday ceramic mug</x:v>
      </x:c>
      <x:c r="F1402" s="2" t="str">
        <x:f>_xlfn.IFNA(VLOOKUP(D1402,'Products'!$A$7:$I$22,3,FALSE),"Unmapped")</x:f>
        <x:v>Drinkware</x:v>
      </x:c>
      <x:c r="G1402" s="2" t="n">
        <x:v>1</x:v>
      </x:c>
      <x:c r="H1402" s="2" t="n">
        <x:v>0</x:v>
      </x:c>
      <x:c r="I1402" s="10" t="n">
        <x:v>18.95</x:v>
      </x:c>
      <x:c r="J1402" s="10" t="n">
        <x:v>1.89</x:v>
      </x:c>
      <x:c r="K1402" s="10" t="n">
        <x:v>6.5</x:v>
      </x:c>
      <x:c r="L1402" s="10" t="n">
        <x:f>G1402*I1402</x:f>
        <x:v>18.95</x:v>
      </x:c>
      <x:c r="M1402" s="10" t="n">
        <x:f>ROUND((L1402-J1402)*H1402/G1402,2)</x:f>
        <x:v>0</x:v>
      </x:c>
      <x:c r="N1402" s="10" t="n">
        <x:f>L1402-J1402-M1402</x:f>
        <x:v>17.06</x:v>
      </x:c>
      <x:c r="O1402" s="10" t="n">
        <x:f>(G1402-H1402)*K1402</x:f>
        <x:v>6.5</x:v>
      </x:c>
      <x:c r="P1402" s="10" t="n">
        <x:f>N1402-O1402</x:f>
        <x:v>10.559999999999999</x:v>
      </x:c>
      <x:c r="Q1402" s="9" t="n">
        <x:f>A1402-WEEKDAY(A1402,2)+1</x:f>
        <x:v>46314</x:v>
      </x:c>
      <x:c r="R1402" s="2" t="str">
        <x:f>IF(AND(A1402&gt;='Review'!$B$4,A1402&lt;='Review'!$D$4),"Selected","Outside")</x:f>
        <x:v>Selected</x:v>
      </x:c>
    </x:row>
    <x:row r="1403" ht="20" customHeight="1">
      <x:c r="A1403" s="9" t="n">
        <x:v>46316</x:v>
      </x:c>
      <x:c r="B1403" s="2" t="str">
        <x:v>MM-1983</x:v>
      </x:c>
      <x:c r="C1403" s="2" t="str">
        <x:v>Paid Social</x:v>
      </x:c>
      <x:c r="D1403" s="2" t="str">
        <x:v>TUM-002</x:v>
      </x:c>
      <x:c r="E1403" s="2" t="str">
        <x:f>_xlfn.IFNA(VLOOKUP(D1403,'Products'!$A$7:$I$22,2,FALSE),"Unmapped")</x:f>
        <x:v>Cold brew glass cup</x:v>
      </x:c>
      <x:c r="F1403" s="2" t="str">
        <x:f>_xlfn.IFNA(VLOOKUP(D1403,'Products'!$A$7:$I$22,3,FALSE),"Unmapped")</x:f>
        <x:v>Drinkware</x:v>
      </x:c>
      <x:c r="G1403" s="2" t="n">
        <x:v>2</x:v>
      </x:c>
      <x:c r="H1403" s="2" t="n">
        <x:v>0</x:v>
      </x:c>
      <x:c r="I1403" s="10" t="n">
        <x:v>24.95</x:v>
      </x:c>
      <x:c r="J1403" s="10" t="n">
        <x:v>0</x:v>
      </x:c>
      <x:c r="K1403" s="10" t="n">
        <x:v>9</x:v>
      </x:c>
      <x:c r="L1403" s="10" t="n">
        <x:f>G1403*I1403</x:f>
        <x:v>49.9</x:v>
      </x:c>
      <x:c r="M1403" s="10" t="n">
        <x:f>ROUND((L1403-J1403)*H1403/G1403,2)</x:f>
        <x:v>0</x:v>
      </x:c>
      <x:c r="N1403" s="10" t="n">
        <x:f>L1403-J1403-M1403</x:f>
        <x:v>49.9</x:v>
      </x:c>
      <x:c r="O1403" s="10" t="n">
        <x:f>(G1403-H1403)*K1403</x:f>
        <x:v>18</x:v>
      </x:c>
      <x:c r="P1403" s="10" t="n">
        <x:f>N1403-O1403</x:f>
        <x:v>31.9</x:v>
      </x:c>
      <x:c r="Q1403" s="9" t="n">
        <x:f>A1403-WEEKDAY(A1403,2)+1</x:f>
        <x:v>46314</x:v>
      </x:c>
      <x:c r="R1403" s="2" t="str">
        <x:f>IF(AND(A1403&gt;='Review'!$B$4,A1403&lt;='Review'!$D$4),"Selected","Outside")</x:f>
        <x:v>Selected</x:v>
      </x:c>
    </x:row>
    <x:row r="1404" ht="20" customHeight="1">
      <x:c r="A1404" s="9" t="n">
        <x:v>46316</x:v>
      </x:c>
      <x:c r="B1404" s="2" t="str">
        <x:v>MM-1968</x:v>
      </x:c>
      <x:c r="C1404" s="2" t="str">
        <x:v>Direct</x:v>
      </x:c>
      <x:c r="D1404" s="2" t="str">
        <x:v>HAT-001</x:v>
      </x:c>
      <x:c r="E1404" s="2" t="str">
        <x:f>_xlfn.IFNA(VLOOKUP(D1404,'Products'!$A$7:$I$22,2,FALSE),"Unmapped")</x:f>
        <x:v>Classic canvas cap</x:v>
      </x:c>
      <x:c r="F1404" s="2" t="str">
        <x:f>_xlfn.IFNA(VLOOKUP(D1404,'Products'!$A$7:$I$22,3,FALSE),"Unmapped")</x:f>
        <x:v>Accessories</x:v>
      </x:c>
      <x:c r="G1404" s="2" t="n">
        <x:v>1</x:v>
      </x:c>
      <x:c r="H1404" s="2" t="n">
        <x:v>0</x:v>
      </x:c>
      <x:c r="I1404" s="10" t="n">
        <x:v>24.95</x:v>
      </x:c>
      <x:c r="J1404" s="10" t="n">
        <x:v>0</x:v>
      </x:c>
      <x:c r="K1404" s="10" t="n">
        <x:v>8.5</x:v>
      </x:c>
      <x:c r="L1404" s="10" t="n">
        <x:f>G1404*I1404</x:f>
        <x:v>24.95</x:v>
      </x:c>
      <x:c r="M1404" s="10" t="n">
        <x:f>ROUND((L1404-J1404)*H1404/G1404,2)</x:f>
        <x:v>0</x:v>
      </x:c>
      <x:c r="N1404" s="10" t="n">
        <x:f>L1404-J1404-M1404</x:f>
        <x:v>24.95</x:v>
      </x:c>
      <x:c r="O1404" s="10" t="n">
        <x:f>(G1404-H1404)*K1404</x:f>
        <x:v>8.5</x:v>
      </x:c>
      <x:c r="P1404" s="10" t="n">
        <x:f>N1404-O1404</x:f>
        <x:v>16.45</x:v>
      </x:c>
      <x:c r="Q1404" s="9" t="n">
        <x:f>A1404-WEEKDAY(A1404,2)+1</x:f>
        <x:v>46314</x:v>
      </x:c>
      <x:c r="R1404" s="2" t="str">
        <x:f>IF(AND(A1404&gt;='Review'!$B$4,A1404&lt;='Review'!$D$4),"Selected","Outside")</x:f>
        <x:v>Selected</x:v>
      </x:c>
    </x:row>
    <x:row r="1405" ht="20" customHeight="1">
      <x:c r="A1405" s="9" t="n">
        <x:v>46316</x:v>
      </x:c>
      <x:c r="B1405" s="2" t="str">
        <x:v>MM-1981</x:v>
      </x:c>
      <x:c r="C1405" s="2" t="str">
        <x:v>Paid Social</x:v>
      </x:c>
      <x:c r="D1405" s="2" t="str">
        <x:v>HAT-001</x:v>
      </x:c>
      <x:c r="E1405" s="2" t="str">
        <x:f>_xlfn.IFNA(VLOOKUP(D1405,'Products'!$A$7:$I$22,2,FALSE),"Unmapped")</x:f>
        <x:v>Classic canvas cap</x:v>
      </x:c>
      <x:c r="F1405" s="2" t="str">
        <x:f>_xlfn.IFNA(VLOOKUP(D1405,'Products'!$A$7:$I$22,3,FALSE),"Unmapped")</x:f>
        <x:v>Accessories</x:v>
      </x:c>
      <x:c r="G1405" s="2" t="n">
        <x:v>1</x:v>
      </x:c>
      <x:c r="H1405" s="2" t="n">
        <x:v>0</x:v>
      </x:c>
      <x:c r="I1405" s="10" t="n">
        <x:v>24.95</x:v>
      </x:c>
      <x:c r="J1405" s="10" t="n">
        <x:v>2.49</x:v>
      </x:c>
      <x:c r="K1405" s="10" t="n">
        <x:v>8.5</x:v>
      </x:c>
      <x:c r="L1405" s="10" t="n">
        <x:f>G1405*I1405</x:f>
        <x:v>24.95</x:v>
      </x:c>
      <x:c r="M1405" s="10" t="n">
        <x:f>ROUND((L1405-J1405)*H1405/G1405,2)</x:f>
        <x:v>0</x:v>
      </x:c>
      <x:c r="N1405" s="10" t="n">
        <x:f>L1405-J1405-M1405</x:f>
        <x:v>22.46</x:v>
      </x:c>
      <x:c r="O1405" s="10" t="n">
        <x:f>(G1405-H1405)*K1405</x:f>
        <x:v>8.5</x:v>
      </x:c>
      <x:c r="P1405" s="10" t="n">
        <x:f>N1405-O1405</x:f>
        <x:v>13.96</x:v>
      </x:c>
      <x:c r="Q1405" s="9" t="n">
        <x:f>A1405-WEEKDAY(A1405,2)+1</x:f>
        <x:v>46314</x:v>
      </x:c>
      <x:c r="R1405" s="2" t="str">
        <x:f>IF(AND(A1405&gt;='Review'!$B$4,A1405&lt;='Review'!$D$4),"Selected","Outside")</x:f>
        <x:v>Selected</x:v>
      </x:c>
    </x:row>
    <x:row r="1406" ht="20" customHeight="1">
      <x:c r="A1406" s="9" t="n">
        <x:v>46316</x:v>
      </x:c>
      <x:c r="B1406" s="2" t="str">
        <x:v>MM-1988</x:v>
      </x:c>
      <x:c r="C1406" s="2" t="str">
        <x:v>Paid Social</x:v>
      </x:c>
      <x:c r="D1406" s="2" t="str">
        <x:v>TUM-001</x:v>
      </x:c>
      <x:c r="E1406" s="2" t="str">
        <x:f>_xlfn.IFNA(VLOOKUP(D1406,'Products'!$A$7:$I$22,2,FALSE),"Unmapped")</x:f>
        <x:v>Maple travel tumbler</x:v>
      </x:c>
      <x:c r="F1406" s="2" t="str">
        <x:f>_xlfn.IFNA(VLOOKUP(D1406,'Products'!$A$7:$I$22,3,FALSE),"Unmapped")</x:f>
        <x:v>Drinkware</x:v>
      </x:c>
      <x:c r="G1406" s="2" t="n">
        <x:v>1</x:v>
      </x:c>
      <x:c r="H1406" s="2" t="n">
        <x:v>0</x:v>
      </x:c>
      <x:c r="I1406" s="10" t="n">
        <x:v>32.95</x:v>
      </x:c>
      <x:c r="J1406" s="10" t="n">
        <x:v>0</x:v>
      </x:c>
      <x:c r="K1406" s="10" t="n">
        <x:v>12</x:v>
      </x:c>
      <x:c r="L1406" s="10" t="n">
        <x:f>G1406*I1406</x:f>
        <x:v>32.95</x:v>
      </x:c>
      <x:c r="M1406" s="10" t="n">
        <x:f>ROUND((L1406-J1406)*H1406/G1406,2)</x:f>
        <x:v>0</x:v>
      </x:c>
      <x:c r="N1406" s="10" t="n">
        <x:f>L1406-J1406-M1406</x:f>
        <x:v>32.95</x:v>
      </x:c>
      <x:c r="O1406" s="10" t="n">
        <x:f>(G1406-H1406)*K1406</x:f>
        <x:v>12</x:v>
      </x:c>
      <x:c r="P1406" s="10" t="n">
        <x:f>N1406-O1406</x:f>
        <x:v>20.950000000000003</x:v>
      </x:c>
      <x:c r="Q1406" s="9" t="n">
        <x:f>A1406-WEEKDAY(A1406,2)+1</x:f>
        <x:v>46314</x:v>
      </x:c>
      <x:c r="R1406" s="2" t="str">
        <x:f>IF(AND(A1406&gt;='Review'!$B$4,A1406&lt;='Review'!$D$4),"Selected","Outside")</x:f>
        <x:v>Selected</x:v>
      </x:c>
    </x:row>
    <x:row r="1407" ht="20" customHeight="1">
      <x:c r="A1407" s="9" t="n">
        <x:v>46316</x:v>
      </x:c>
      <x:c r="B1407" s="2" t="str">
        <x:v>MM-1991</x:v>
      </x:c>
      <x:c r="C1407" s="2" t="str">
        <x:v>Paid Social</x:v>
      </x:c>
      <x:c r="D1407" s="2" t="str">
        <x:v>MUG-002</x:v>
      </x:c>
      <x:c r="E1407" s="2" t="str">
        <x:f>_xlfn.IFNA(VLOOKUP(D1407,'Products'!$A$7:$I$22,2,FALSE),"Unmapped")</x:f>
        <x:v>Campfire enamel mug</x:v>
      </x:c>
      <x:c r="F1407" s="2" t="str">
        <x:f>_xlfn.IFNA(VLOOKUP(D1407,'Products'!$A$7:$I$22,3,FALSE),"Unmapped")</x:f>
        <x:v>Drinkware</x:v>
      </x:c>
      <x:c r="G1407" s="2" t="n">
        <x:v>2</x:v>
      </x:c>
      <x:c r="H1407" s="2" t="n">
        <x:v>0</x:v>
      </x:c>
      <x:c r="I1407" s="10" t="n">
        <x:v>22.95</x:v>
      </x:c>
      <x:c r="J1407" s="10" t="n">
        <x:v>0</x:v>
      </x:c>
      <x:c r="K1407" s="10" t="n">
        <x:v>8.5</x:v>
      </x:c>
      <x:c r="L1407" s="10" t="n">
        <x:f>G1407*I1407</x:f>
        <x:v>45.9</x:v>
      </x:c>
      <x:c r="M1407" s="10" t="n">
        <x:f>ROUND((L1407-J1407)*H1407/G1407,2)</x:f>
        <x:v>0</x:v>
      </x:c>
      <x:c r="N1407" s="10" t="n">
        <x:f>L1407-J1407-M1407</x:f>
        <x:v>45.9</x:v>
      </x:c>
      <x:c r="O1407" s="10" t="n">
        <x:f>(G1407-H1407)*K1407</x:f>
        <x:v>17</x:v>
      </x:c>
      <x:c r="P1407" s="10" t="n">
        <x:f>N1407-O1407</x:f>
        <x:v>28.9</x:v>
      </x:c>
      <x:c r="Q1407" s="9" t="n">
        <x:f>A1407-WEEKDAY(A1407,2)+1</x:f>
        <x:v>46314</x:v>
      </x:c>
      <x:c r="R1407" s="2" t="str">
        <x:f>IF(AND(A1407&gt;='Review'!$B$4,A1407&lt;='Review'!$D$4),"Selected","Outside")</x:f>
        <x:v>Selected</x:v>
      </x:c>
    </x:row>
    <x:row r="1408" ht="20" customHeight="1">
      <x:c r="A1408" s="9" t="n">
        <x:v>46317</x:v>
      </x:c>
      <x:c r="B1408" s="2" t="str">
        <x:v>MM-1992</x:v>
      </x:c>
      <x:c r="C1408" s="2" t="str">
        <x:v>Email</x:v>
      </x:c>
      <x:c r="D1408" s="2" t="str">
        <x:v>GFT-002</x:v>
      </x:c>
      <x:c r="E1408" s="2" t="str">
        <x:f>_xlfn.IFNA(VLOOKUP(D1408,'Products'!$A$7:$I$22,2,FALSE),"Unmapped")</x:f>
        <x:v>Cozy weekend gift box</x:v>
      </x:c>
      <x:c r="F1408" s="2" t="str">
        <x:f>_xlfn.IFNA(VLOOKUP(D1408,'Products'!$A$7:$I$22,3,FALSE),"Unmapped")</x:f>
        <x:v>Gifts</x:v>
      </x:c>
      <x:c r="G1408" s="2" t="n">
        <x:v>1</x:v>
      </x:c>
      <x:c r="H1408" s="2" t="n">
        <x:v>0</x:v>
      </x:c>
      <x:c r="I1408" s="10" t="n">
        <x:v>79.95</x:v>
      </x:c>
      <x:c r="J1408" s="10" t="n">
        <x:v>7.99</x:v>
      </x:c>
      <x:c r="K1408" s="10" t="n">
        <x:v>32</x:v>
      </x:c>
      <x:c r="L1408" s="10" t="n">
        <x:f>G1408*I1408</x:f>
        <x:v>79.95</x:v>
      </x:c>
      <x:c r="M1408" s="10" t="n">
        <x:f>ROUND((L1408-J1408)*H1408/G1408,2)</x:f>
        <x:v>0</x:v>
      </x:c>
      <x:c r="N1408" s="10" t="n">
        <x:f>L1408-J1408-M1408</x:f>
        <x:v>71.96000000000001</x:v>
      </x:c>
      <x:c r="O1408" s="10" t="n">
        <x:f>(G1408-H1408)*K1408</x:f>
        <x:v>32</x:v>
      </x:c>
      <x:c r="P1408" s="10" t="n">
        <x:f>N1408-O1408</x:f>
        <x:v>39.96000000000001</x:v>
      </x:c>
      <x:c r="Q1408" s="9" t="n">
        <x:f>A1408-WEEKDAY(A1408,2)+1</x:f>
        <x:v>46314</x:v>
      </x:c>
      <x:c r="R1408" s="2" t="str">
        <x:f>IF(AND(A1408&gt;='Review'!$B$4,A1408&lt;='Review'!$D$4),"Selected","Outside")</x:f>
        <x:v>Selected</x:v>
      </x:c>
    </x:row>
    <x:row r="1409" ht="20" customHeight="1">
      <x:c r="A1409" s="9" t="n">
        <x:v>46317</x:v>
      </x:c>
      <x:c r="B1409" s="2" t="str">
        <x:v>MM-1992</x:v>
      </x:c>
      <x:c r="C1409" s="2" t="str">
        <x:v>Email</x:v>
      </x:c>
      <x:c r="D1409" s="2" t="str">
        <x:v>TUM-001</x:v>
      </x:c>
      <x:c r="E1409" s="2" t="str">
        <x:f>_xlfn.IFNA(VLOOKUP(D1409,'Products'!$A$7:$I$22,2,FALSE),"Unmapped")</x:f>
        <x:v>Maple travel tumbler</x:v>
      </x:c>
      <x:c r="F1409" s="2" t="str">
        <x:f>_xlfn.IFNA(VLOOKUP(D1409,'Products'!$A$7:$I$22,3,FALSE),"Unmapped")</x:f>
        <x:v>Drinkware</x:v>
      </x:c>
      <x:c r="G1409" s="2" t="n">
        <x:v>1</x:v>
      </x:c>
      <x:c r="H1409" s="2" t="n">
        <x:v>0</x:v>
      </x:c>
      <x:c r="I1409" s="10" t="n">
        <x:v>32.95</x:v>
      </x:c>
      <x:c r="J1409" s="10" t="n">
        <x:v>3.29</x:v>
      </x:c>
      <x:c r="K1409" s="10" t="n">
        <x:v>12</x:v>
      </x:c>
      <x:c r="L1409" s="10" t="n">
        <x:f>G1409*I1409</x:f>
        <x:v>32.95</x:v>
      </x:c>
      <x:c r="M1409" s="10" t="n">
        <x:f>ROUND((L1409-J1409)*H1409/G1409,2)</x:f>
        <x:v>0</x:v>
      </x:c>
      <x:c r="N1409" s="10" t="n">
        <x:f>L1409-J1409-M1409</x:f>
        <x:v>29.660000000000004</x:v>
      </x:c>
      <x:c r="O1409" s="10" t="n">
        <x:f>(G1409-H1409)*K1409</x:f>
        <x:v>12</x:v>
      </x:c>
      <x:c r="P1409" s="10" t="n">
        <x:f>N1409-O1409</x:f>
        <x:v>17.660000000000004</x:v>
      </x:c>
      <x:c r="Q1409" s="9" t="n">
        <x:f>A1409-WEEKDAY(A1409,2)+1</x:f>
        <x:v>46314</x:v>
      </x:c>
      <x:c r="R1409" s="2" t="str">
        <x:f>IF(AND(A1409&gt;='Review'!$B$4,A1409&lt;='Review'!$D$4),"Selected","Outside")</x:f>
        <x:v>Selected</x:v>
      </x:c>
    </x:row>
    <x:row r="1410" ht="20" customHeight="1">
      <x:c r="A1410" s="9" t="n">
        <x:v>46317</x:v>
      </x:c>
      <x:c r="B1410" s="2" t="str">
        <x:v>MM-1992</x:v>
      </x:c>
      <x:c r="C1410" s="2" t="str">
        <x:v>Email</x:v>
      </x:c>
      <x:c r="D1410" s="2" t="str">
        <x:v>APP-003</x:v>
      </x:c>
      <x:c r="E1410" s="2" t="str">
        <x:f>_xlfn.IFNA(VLOOKUP(D1410,'Products'!$A$7:$I$22,2,FALSE),"Unmapped")</x:f>
        <x:v>Coffee club tee</x:v>
      </x:c>
      <x:c r="F1410" s="2" t="str">
        <x:f>_xlfn.IFNA(VLOOKUP(D1410,'Products'!$A$7:$I$22,3,FALSE),"Unmapped")</x:f>
        <x:v>Apparel</x:v>
      </x:c>
      <x:c r="G1410" s="2" t="n">
        <x:v>2</x:v>
      </x:c>
      <x:c r="H1410" s="2" t="n">
        <x:v>0</x:v>
      </x:c>
      <x:c r="I1410" s="10" t="n">
        <x:v>29.95</x:v>
      </x:c>
      <x:c r="J1410" s="10" t="n">
        <x:v>5.99</x:v>
      </x:c>
      <x:c r="K1410" s="10" t="n">
        <x:v>10</x:v>
      </x:c>
      <x:c r="L1410" s="10" t="n">
        <x:f>G1410*I1410</x:f>
        <x:v>59.9</x:v>
      </x:c>
      <x:c r="M1410" s="10" t="n">
        <x:f>ROUND((L1410-J1410)*H1410/G1410,2)</x:f>
        <x:v>0</x:v>
      </x:c>
      <x:c r="N1410" s="10" t="n">
        <x:f>L1410-J1410-M1410</x:f>
        <x:v>53.91</x:v>
      </x:c>
      <x:c r="O1410" s="10" t="n">
        <x:f>(G1410-H1410)*K1410</x:f>
        <x:v>20</x:v>
      </x:c>
      <x:c r="P1410" s="10" t="n">
        <x:f>N1410-O1410</x:f>
        <x:v>33.91</x:v>
      </x:c>
      <x:c r="Q1410" s="9" t="n">
        <x:f>A1410-WEEKDAY(A1410,2)+1</x:f>
        <x:v>46314</x:v>
      </x:c>
      <x:c r="R1410" s="2" t="str">
        <x:f>IF(AND(A1410&gt;='Review'!$B$4,A1410&lt;='Review'!$D$4),"Selected","Outside")</x:f>
        <x:v>Selected</x:v>
      </x:c>
    </x:row>
    <x:row r="1411" ht="20" customHeight="1">
      <x:c r="A1411" s="9" t="n">
        <x:v>46317</x:v>
      </x:c>
      <x:c r="B1411" s="2" t="str">
        <x:v>MM-1996</x:v>
      </x:c>
      <x:c r="C1411" s="2" t="str">
        <x:v>Direct</x:v>
      </x:c>
      <x:c r="D1411" s="2" t="str">
        <x:v>MUG-001</x:v>
      </x:c>
      <x:c r="E1411" s="2" t="str">
        <x:f>_xlfn.IFNA(VLOOKUP(D1411,'Products'!$A$7:$I$22,2,FALSE),"Unmapped")</x:f>
        <x:v>Everyday ceramic mug</x:v>
      </x:c>
      <x:c r="F1411" s="2" t="str">
        <x:f>_xlfn.IFNA(VLOOKUP(D1411,'Products'!$A$7:$I$22,3,FALSE),"Unmapped")</x:f>
        <x:v>Drinkware</x:v>
      </x:c>
      <x:c r="G1411" s="2" t="n">
        <x:v>1</x:v>
      </x:c>
      <x:c r="H1411" s="2" t="n">
        <x:v>0</x:v>
      </x:c>
      <x:c r="I1411" s="10" t="n">
        <x:v>18.95</x:v>
      </x:c>
      <x:c r="J1411" s="10" t="n">
        <x:v>0</x:v>
      </x:c>
      <x:c r="K1411" s="10" t="n">
        <x:v>6.5</x:v>
      </x:c>
      <x:c r="L1411" s="10" t="n">
        <x:f>G1411*I1411</x:f>
        <x:v>18.95</x:v>
      </x:c>
      <x:c r="M1411" s="10" t="n">
        <x:f>ROUND((L1411-J1411)*H1411/G1411,2)</x:f>
        <x:v>0</x:v>
      </x:c>
      <x:c r="N1411" s="10" t="n">
        <x:f>L1411-J1411-M1411</x:f>
        <x:v>18.95</x:v>
      </x:c>
      <x:c r="O1411" s="10" t="n">
        <x:f>(G1411-H1411)*K1411</x:f>
        <x:v>6.5</x:v>
      </x:c>
      <x:c r="P1411" s="10" t="n">
        <x:f>N1411-O1411</x:f>
        <x:v>12.45</x:v>
      </x:c>
      <x:c r="Q1411" s="9" t="n">
        <x:f>A1411-WEEKDAY(A1411,2)+1</x:f>
        <x:v>46314</x:v>
      </x:c>
      <x:c r="R1411" s="2" t="str">
        <x:f>IF(AND(A1411&gt;='Review'!$B$4,A1411&lt;='Review'!$D$4),"Selected","Outside")</x:f>
        <x:v>Selected</x:v>
      </x:c>
    </x:row>
    <x:row r="1412" ht="20" customHeight="1">
      <x:c r="A1412" s="9" t="n">
        <x:v>46317</x:v>
      </x:c>
      <x:c r="B1412" s="2" t="str">
        <x:v>MM-2004</x:v>
      </x:c>
      <x:c r="C1412" s="2" t="str">
        <x:v>Organic Search</x:v>
      </x:c>
      <x:c r="D1412" s="2" t="str">
        <x:v>PIN-001</x:v>
      </x:c>
      <x:c r="E1412" s="2" t="str">
        <x:f>_xlfn.IFNA(VLOOKUP(D1412,'Products'!$A$7:$I$22,2,FALSE),"Unmapped")</x:f>
        <x:v>Coffee enamel pin</x:v>
      </x:c>
      <x:c r="F1412" s="2" t="str">
        <x:f>_xlfn.IFNA(VLOOKUP(D1412,'Products'!$A$7:$I$22,3,FALSE),"Unmapped")</x:f>
        <x:v>Accessories</x:v>
      </x:c>
      <x:c r="G1412" s="2" t="n">
        <x:v>2</x:v>
      </x:c>
      <x:c r="H1412" s="2" t="n">
        <x:v>0</x:v>
      </x:c>
      <x:c r="I1412" s="10" t="n">
        <x:v>9.95</x:v>
      </x:c>
      <x:c r="J1412" s="10" t="n">
        <x:v>0</x:v>
      </x:c>
      <x:c r="K1412" s="10" t="n">
        <x:v>2.5</x:v>
      </x:c>
      <x:c r="L1412" s="10" t="n">
        <x:f>G1412*I1412</x:f>
        <x:v>19.9</x:v>
      </x:c>
      <x:c r="M1412" s="10" t="n">
        <x:f>ROUND((L1412-J1412)*H1412/G1412,2)</x:f>
        <x:v>0</x:v>
      </x:c>
      <x:c r="N1412" s="10" t="n">
        <x:f>L1412-J1412-M1412</x:f>
        <x:v>19.9</x:v>
      </x:c>
      <x:c r="O1412" s="10" t="n">
        <x:f>(G1412-H1412)*K1412</x:f>
        <x:v>5</x:v>
      </x:c>
      <x:c r="P1412" s="10" t="n">
        <x:f>N1412-O1412</x:f>
        <x:v>14.899999999999999</x:v>
      </x:c>
      <x:c r="Q1412" s="9" t="n">
        <x:f>A1412-WEEKDAY(A1412,2)+1</x:f>
        <x:v>46314</x:v>
      </x:c>
      <x:c r="R1412" s="2" t="str">
        <x:f>IF(AND(A1412&gt;='Review'!$B$4,A1412&lt;='Review'!$D$4),"Selected","Outside")</x:f>
        <x:v>Selected</x:v>
      </x:c>
    </x:row>
    <x:row r="1413" ht="20" customHeight="1">
      <x:c r="A1413" s="9" t="n">
        <x:v>46317</x:v>
      </x:c>
      <x:c r="B1413" s="2" t="str">
        <x:v>MM-2004</x:v>
      </x:c>
      <x:c r="C1413" s="2" t="str">
        <x:v>Organic Search</x:v>
      </x:c>
      <x:c r="D1413" s="2" t="str">
        <x:v>MUG-001</x:v>
      </x:c>
      <x:c r="E1413" s="2" t="str">
        <x:f>_xlfn.IFNA(VLOOKUP(D1413,'Products'!$A$7:$I$22,2,FALSE),"Unmapped")</x:f>
        <x:v>Everyday ceramic mug</x:v>
      </x:c>
      <x:c r="F1413" s="2" t="str">
        <x:f>_xlfn.IFNA(VLOOKUP(D1413,'Products'!$A$7:$I$22,3,FALSE),"Unmapped")</x:f>
        <x:v>Drinkware</x:v>
      </x:c>
      <x:c r="G1413" s="2" t="n">
        <x:v>1</x:v>
      </x:c>
      <x:c r="H1413" s="2" t="n">
        <x:v>0</x:v>
      </x:c>
      <x:c r="I1413" s="10" t="n">
        <x:v>18.95</x:v>
      </x:c>
      <x:c r="J1413" s="10" t="n">
        <x:v>0</x:v>
      </x:c>
      <x:c r="K1413" s="10" t="n">
        <x:v>6.5</x:v>
      </x:c>
      <x:c r="L1413" s="10" t="n">
        <x:f>G1413*I1413</x:f>
        <x:v>18.95</x:v>
      </x:c>
      <x:c r="M1413" s="10" t="n">
        <x:f>ROUND((L1413-J1413)*H1413/G1413,2)</x:f>
        <x:v>0</x:v>
      </x:c>
      <x:c r="N1413" s="10" t="n">
        <x:f>L1413-J1413-M1413</x:f>
        <x:v>18.95</x:v>
      </x:c>
      <x:c r="O1413" s="10" t="n">
        <x:f>(G1413-H1413)*K1413</x:f>
        <x:v>6.5</x:v>
      </x:c>
      <x:c r="P1413" s="10" t="n">
        <x:f>N1413-O1413</x:f>
        <x:v>12.45</x:v>
      </x:c>
      <x:c r="Q1413" s="9" t="n">
        <x:f>A1413-WEEKDAY(A1413,2)+1</x:f>
        <x:v>46314</x:v>
      </x:c>
      <x:c r="R1413" s="2" t="str">
        <x:f>IF(AND(A1413&gt;='Review'!$B$4,A1413&lt;='Review'!$D$4),"Selected","Outside")</x:f>
        <x:v>Selected</x:v>
      </x:c>
    </x:row>
    <x:row r="1414" ht="20" customHeight="1">
      <x:c r="A1414" s="9" t="n">
        <x:v>46317</x:v>
      </x:c>
      <x:c r="B1414" s="2" t="str">
        <x:v>MM-2004</x:v>
      </x:c>
      <x:c r="C1414" s="2" t="str">
        <x:v>Organic Search</x:v>
      </x:c>
      <x:c r="D1414" s="2" t="str">
        <x:v>BOT-001</x:v>
      </x:c>
      <x:c r="E1414" s="2" t="str">
        <x:f>_xlfn.IFNA(VLOOKUP(D1414,'Products'!$A$7:$I$22,2,FALSE),"Unmapped")</x:f>
        <x:v>Trail water bottle</x:v>
      </x:c>
      <x:c r="F1414" s="2" t="str">
        <x:f>_xlfn.IFNA(VLOOKUP(D1414,'Products'!$A$7:$I$22,3,FALSE),"Unmapped")</x:f>
        <x:v>Drinkware</x:v>
      </x:c>
      <x:c r="G1414" s="2" t="n">
        <x:v>1</x:v>
      </x:c>
      <x:c r="H1414" s="2" t="n">
        <x:v>0</x:v>
      </x:c>
      <x:c r="I1414" s="10" t="n">
        <x:v>34.95</x:v>
      </x:c>
      <x:c r="J1414" s="10" t="n">
        <x:v>3.49</x:v>
      </x:c>
      <x:c r="K1414" s="10" t="n">
        <x:v>13.5</x:v>
      </x:c>
      <x:c r="L1414" s="10" t="n">
        <x:f>G1414*I1414</x:f>
        <x:v>34.95</x:v>
      </x:c>
      <x:c r="M1414" s="10" t="n">
        <x:f>ROUND((L1414-J1414)*H1414/G1414,2)</x:f>
        <x:v>0</x:v>
      </x:c>
      <x:c r="N1414" s="10" t="n">
        <x:f>L1414-J1414-M1414</x:f>
        <x:v>31.46</x:v>
      </x:c>
      <x:c r="O1414" s="10" t="n">
        <x:f>(G1414-H1414)*K1414</x:f>
        <x:v>13.5</x:v>
      </x:c>
      <x:c r="P1414" s="10" t="n">
        <x:f>N1414-O1414</x:f>
        <x:v>17.96</x:v>
      </x:c>
      <x:c r="Q1414" s="9" t="n">
        <x:f>A1414-WEEKDAY(A1414,2)+1</x:f>
        <x:v>46314</x:v>
      </x:c>
      <x:c r="R1414" s="2" t="str">
        <x:f>IF(AND(A1414&gt;='Review'!$B$4,A1414&lt;='Review'!$D$4),"Selected","Outside")</x:f>
        <x:v>Selected</x:v>
      </x:c>
    </x:row>
    <x:row r="1415" ht="20" customHeight="1">
      <x:c r="A1415" s="9" t="n">
        <x:v>46317</x:v>
      </x:c>
      <x:c r="B1415" s="2" t="str">
        <x:v>MM-1997</x:v>
      </x:c>
      <x:c r="C1415" s="2" t="str">
        <x:v>Organic Search</x:v>
      </x:c>
      <x:c r="D1415" s="2" t="str">
        <x:v>TUM-001</x:v>
      </x:c>
      <x:c r="E1415" s="2" t="str">
        <x:f>_xlfn.IFNA(VLOOKUP(D1415,'Products'!$A$7:$I$22,2,FALSE),"Unmapped")</x:f>
        <x:v>Maple travel tumbler</x:v>
      </x:c>
      <x:c r="F1415" s="2" t="str">
        <x:f>_xlfn.IFNA(VLOOKUP(D1415,'Products'!$A$7:$I$22,3,FALSE),"Unmapped")</x:f>
        <x:v>Drinkware</x:v>
      </x:c>
      <x:c r="G1415" s="2" t="n">
        <x:v>1</x:v>
      </x:c>
      <x:c r="H1415" s="2" t="n">
        <x:v>0</x:v>
      </x:c>
      <x:c r="I1415" s="10" t="n">
        <x:v>32.95</x:v>
      </x:c>
      <x:c r="J1415" s="10" t="n">
        <x:v>0</x:v>
      </x:c>
      <x:c r="K1415" s="10" t="n">
        <x:v>12</x:v>
      </x:c>
      <x:c r="L1415" s="10" t="n">
        <x:f>G1415*I1415</x:f>
        <x:v>32.95</x:v>
      </x:c>
      <x:c r="M1415" s="10" t="n">
        <x:f>ROUND((L1415-J1415)*H1415/G1415,2)</x:f>
        <x:v>0</x:v>
      </x:c>
      <x:c r="N1415" s="10" t="n">
        <x:f>L1415-J1415-M1415</x:f>
        <x:v>32.95</x:v>
      </x:c>
      <x:c r="O1415" s="10" t="n">
        <x:f>(G1415-H1415)*K1415</x:f>
        <x:v>12</x:v>
      </x:c>
      <x:c r="P1415" s="10" t="n">
        <x:f>N1415-O1415</x:f>
        <x:v>20.950000000000003</x:v>
      </x:c>
      <x:c r="Q1415" s="9" t="n">
        <x:f>A1415-WEEKDAY(A1415,2)+1</x:f>
        <x:v>46314</x:v>
      </x:c>
      <x:c r="R1415" s="2" t="str">
        <x:f>IF(AND(A1415&gt;='Review'!$B$4,A1415&lt;='Review'!$D$4),"Selected","Outside")</x:f>
        <x:v>Selected</x:v>
      </x:c>
    </x:row>
    <x:row r="1416" ht="20" customHeight="1">
      <x:c r="A1416" s="9" t="n">
        <x:v>46317</x:v>
      </x:c>
      <x:c r="B1416" s="2" t="str">
        <x:v>MM-1997</x:v>
      </x:c>
      <x:c r="C1416" s="2" t="str">
        <x:v>Organic Search</x:v>
      </x:c>
      <x:c r="D1416" s="2" t="str">
        <x:v>KEY-001</x:v>
      </x:c>
      <x:c r="E1416" s="2" t="str">
        <x:f>_xlfn.IFNA(VLOOKUP(D1416,'Products'!$A$7:$I$22,2,FALSE),"Unmapped")</x:f>
        <x:v>Maple keyring</x:v>
      </x:c>
      <x:c r="F1416" s="2" t="str">
        <x:f>_xlfn.IFNA(VLOOKUP(D1416,'Products'!$A$7:$I$22,3,FALSE),"Unmapped")</x:f>
        <x:v>Accessories</x:v>
      </x:c>
      <x:c r="G1416" s="2" t="n">
        <x:v>1</x:v>
      </x:c>
      <x:c r="H1416" s="2" t="n">
        <x:v>0</x:v>
      </x:c>
      <x:c r="I1416" s="10" t="n">
        <x:v>12.95</x:v>
      </x:c>
      <x:c r="J1416" s="10" t="n">
        <x:v>0</x:v>
      </x:c>
      <x:c r="K1416" s="10" t="n">
        <x:v>3.5</x:v>
      </x:c>
      <x:c r="L1416" s="10" t="n">
        <x:f>G1416*I1416</x:f>
        <x:v>12.95</x:v>
      </x:c>
      <x:c r="M1416" s="10" t="n">
        <x:f>ROUND((L1416-J1416)*H1416/G1416,2)</x:f>
        <x:v>0</x:v>
      </x:c>
      <x:c r="N1416" s="10" t="n">
        <x:f>L1416-J1416-M1416</x:f>
        <x:v>12.95</x:v>
      </x:c>
      <x:c r="O1416" s="10" t="n">
        <x:f>(G1416-H1416)*K1416</x:f>
        <x:v>3.5</x:v>
      </x:c>
      <x:c r="P1416" s="10" t="n">
        <x:f>N1416-O1416</x:f>
        <x:v>9.45</x:v>
      </x:c>
      <x:c r="Q1416" s="9" t="n">
        <x:f>A1416-WEEKDAY(A1416,2)+1</x:f>
        <x:v>46314</x:v>
      </x:c>
      <x:c r="R1416" s="2" t="str">
        <x:f>IF(AND(A1416&gt;='Review'!$B$4,A1416&lt;='Review'!$D$4),"Selected","Outside")</x:f>
        <x:v>Selected</x:v>
      </x:c>
    </x:row>
    <x:row r="1417" ht="20" customHeight="1">
      <x:c r="A1417" s="9" t="n">
        <x:v>46317</x:v>
      </x:c>
      <x:c r="B1417" s="2" t="str">
        <x:v>MM-2000</x:v>
      </x:c>
      <x:c r="C1417" s="2" t="str">
        <x:v>Email</x:v>
      </x:c>
      <x:c r="D1417" s="2" t="str">
        <x:v>BOT-001</x:v>
      </x:c>
      <x:c r="E1417" s="2" t="str">
        <x:f>_xlfn.IFNA(VLOOKUP(D1417,'Products'!$A$7:$I$22,2,FALSE),"Unmapped")</x:f>
        <x:v>Trail water bottle</x:v>
      </x:c>
      <x:c r="F1417" s="2" t="str">
        <x:f>_xlfn.IFNA(VLOOKUP(D1417,'Products'!$A$7:$I$22,3,FALSE),"Unmapped")</x:f>
        <x:v>Drinkware</x:v>
      </x:c>
      <x:c r="G1417" s="2" t="n">
        <x:v>3</x:v>
      </x:c>
      <x:c r="H1417" s="2" t="n">
        <x:v>0</x:v>
      </x:c>
      <x:c r="I1417" s="10" t="n">
        <x:v>34.95</x:v>
      </x:c>
      <x:c r="J1417" s="10" t="n">
        <x:v>10.48</x:v>
      </x:c>
      <x:c r="K1417" s="10" t="n">
        <x:v>13.5</x:v>
      </x:c>
      <x:c r="L1417" s="10" t="n">
        <x:f>G1417*I1417</x:f>
        <x:v>104.85000000000001</x:v>
      </x:c>
      <x:c r="M1417" s="10" t="n">
        <x:f>ROUND((L1417-J1417)*H1417/G1417,2)</x:f>
        <x:v>0</x:v>
      </x:c>
      <x:c r="N1417" s="10" t="n">
        <x:f>L1417-J1417-M1417</x:f>
        <x:v>94.37</x:v>
      </x:c>
      <x:c r="O1417" s="10" t="n">
        <x:f>(G1417-H1417)*K1417</x:f>
        <x:v>40.5</x:v>
      </x:c>
      <x:c r="P1417" s="10" t="n">
        <x:f>N1417-O1417</x:f>
        <x:v>53.870000000000005</x:v>
      </x:c>
      <x:c r="Q1417" s="9" t="n">
        <x:f>A1417-WEEKDAY(A1417,2)+1</x:f>
        <x:v>46314</x:v>
      </x:c>
      <x:c r="R1417" s="2" t="str">
        <x:f>IF(AND(A1417&gt;='Review'!$B$4,A1417&lt;='Review'!$D$4),"Selected","Outside")</x:f>
        <x:v>Selected</x:v>
      </x:c>
    </x:row>
    <x:row r="1418" ht="20" customHeight="1">
      <x:c r="A1418" s="9" t="n">
        <x:v>46317</x:v>
      </x:c>
      <x:c r="B1418" s="2" t="str">
        <x:v>MM-1993</x:v>
      </x:c>
      <x:c r="C1418" s="2" t="str">
        <x:v>Paid Social</x:v>
      </x:c>
      <x:c r="D1418" s="2" t="str">
        <x:v>GFT-002</x:v>
      </x:c>
      <x:c r="E1418" s="2" t="str">
        <x:f>_xlfn.IFNA(VLOOKUP(D1418,'Products'!$A$7:$I$22,2,FALSE),"Unmapped")</x:f>
        <x:v>Cozy weekend gift box</x:v>
      </x:c>
      <x:c r="F1418" s="2" t="str">
        <x:f>_xlfn.IFNA(VLOOKUP(D1418,'Products'!$A$7:$I$22,3,FALSE),"Unmapped")</x:f>
        <x:v>Gifts</x:v>
      </x:c>
      <x:c r="G1418" s="2" t="n">
        <x:v>1</x:v>
      </x:c>
      <x:c r="H1418" s="2" t="n">
        <x:v>0</x:v>
      </x:c>
      <x:c r="I1418" s="10" t="n">
        <x:v>79.95</x:v>
      </x:c>
      <x:c r="J1418" s="10" t="n">
        <x:v>0</x:v>
      </x:c>
      <x:c r="K1418" s="10" t="n">
        <x:v>32</x:v>
      </x:c>
      <x:c r="L1418" s="10" t="n">
        <x:f>G1418*I1418</x:f>
        <x:v>79.95</x:v>
      </x:c>
      <x:c r="M1418" s="10" t="n">
        <x:f>ROUND((L1418-J1418)*H1418/G1418,2)</x:f>
        <x:v>0</x:v>
      </x:c>
      <x:c r="N1418" s="10" t="n">
        <x:f>L1418-J1418-M1418</x:f>
        <x:v>79.95</x:v>
      </x:c>
      <x:c r="O1418" s="10" t="n">
        <x:f>(G1418-H1418)*K1418</x:f>
        <x:v>32</x:v>
      </x:c>
      <x:c r="P1418" s="10" t="n">
        <x:f>N1418-O1418</x:f>
        <x:v>47.95</x:v>
      </x:c>
      <x:c r="Q1418" s="9" t="n">
        <x:f>A1418-WEEKDAY(A1418,2)+1</x:f>
        <x:v>46314</x:v>
      </x:c>
      <x:c r="R1418" s="2" t="str">
        <x:f>IF(AND(A1418&gt;='Review'!$B$4,A1418&lt;='Review'!$D$4),"Selected","Outside")</x:f>
        <x:v>Selected</x:v>
      </x:c>
    </x:row>
    <x:row r="1419" ht="20" customHeight="1">
      <x:c r="A1419" s="9" t="n">
        <x:v>46317</x:v>
      </x:c>
      <x:c r="B1419" s="2" t="str">
        <x:v>MM-2013</x:v>
      </x:c>
      <x:c r="C1419" s="2" t="str">
        <x:v>Organic Search</x:v>
      </x:c>
      <x:c r="D1419" s="2" t="str">
        <x:v>MUG-002</x:v>
      </x:c>
      <x:c r="E1419" s="2" t="str">
        <x:f>_xlfn.IFNA(VLOOKUP(D1419,'Products'!$A$7:$I$22,2,FALSE),"Unmapped")</x:f>
        <x:v>Campfire enamel mug</x:v>
      </x:c>
      <x:c r="F1419" s="2" t="str">
        <x:f>_xlfn.IFNA(VLOOKUP(D1419,'Products'!$A$7:$I$22,3,FALSE),"Unmapped")</x:f>
        <x:v>Drinkware</x:v>
      </x:c>
      <x:c r="G1419" s="2" t="n">
        <x:v>1</x:v>
      </x:c>
      <x:c r="H1419" s="2" t="n">
        <x:v>0</x:v>
      </x:c>
      <x:c r="I1419" s="10" t="n">
        <x:v>22.95</x:v>
      </x:c>
      <x:c r="J1419" s="10" t="n">
        <x:v>2.29</x:v>
      </x:c>
      <x:c r="K1419" s="10" t="n">
        <x:v>8.5</x:v>
      </x:c>
      <x:c r="L1419" s="10" t="n">
        <x:f>G1419*I1419</x:f>
        <x:v>22.95</x:v>
      </x:c>
      <x:c r="M1419" s="10" t="n">
        <x:f>ROUND((L1419-J1419)*H1419/G1419,2)</x:f>
        <x:v>0</x:v>
      </x:c>
      <x:c r="N1419" s="10" t="n">
        <x:f>L1419-J1419-M1419</x:f>
        <x:v>20.66</x:v>
      </x:c>
      <x:c r="O1419" s="10" t="n">
        <x:f>(G1419-H1419)*K1419</x:f>
        <x:v>8.5</x:v>
      </x:c>
      <x:c r="P1419" s="10" t="n">
        <x:f>N1419-O1419</x:f>
        <x:v>12.16</x:v>
      </x:c>
      <x:c r="Q1419" s="9" t="n">
        <x:f>A1419-WEEKDAY(A1419,2)+1</x:f>
        <x:v>46314</x:v>
      </x:c>
      <x:c r="R1419" s="2" t="str">
        <x:f>IF(AND(A1419&gt;='Review'!$B$4,A1419&lt;='Review'!$D$4),"Selected","Outside")</x:f>
        <x:v>Selected</x:v>
      </x:c>
    </x:row>
    <x:row r="1420" ht="20" customHeight="1">
      <x:c r="A1420" s="9" t="n">
        <x:v>46317</x:v>
      </x:c>
      <x:c r="B1420" s="2" t="str">
        <x:v>MM-1994</x:v>
      </x:c>
      <x:c r="C1420" s="2" t="str">
        <x:v>Paid Social</x:v>
      </x:c>
      <x:c r="D1420" s="2" t="str">
        <x:v>TUM-001</x:v>
      </x:c>
      <x:c r="E1420" s="2" t="str">
        <x:f>_xlfn.IFNA(VLOOKUP(D1420,'Products'!$A$7:$I$22,2,FALSE),"Unmapped")</x:f>
        <x:v>Maple travel tumbler</x:v>
      </x:c>
      <x:c r="F1420" s="2" t="str">
        <x:f>_xlfn.IFNA(VLOOKUP(D1420,'Products'!$A$7:$I$22,3,FALSE),"Unmapped")</x:f>
        <x:v>Drinkware</x:v>
      </x:c>
      <x:c r="G1420" s="2" t="n">
        <x:v>1</x:v>
      </x:c>
      <x:c r="H1420" s="2" t="n">
        <x:v>0</x:v>
      </x:c>
      <x:c r="I1420" s="10" t="n">
        <x:v>32.95</x:v>
      </x:c>
      <x:c r="J1420" s="10" t="n">
        <x:v>0</x:v>
      </x:c>
      <x:c r="K1420" s="10" t="n">
        <x:v>12</x:v>
      </x:c>
      <x:c r="L1420" s="10" t="n">
        <x:f>G1420*I1420</x:f>
        <x:v>32.95</x:v>
      </x:c>
      <x:c r="M1420" s="10" t="n">
        <x:f>ROUND((L1420-J1420)*H1420/G1420,2)</x:f>
        <x:v>0</x:v>
      </x:c>
      <x:c r="N1420" s="10" t="n">
        <x:f>L1420-J1420-M1420</x:f>
        <x:v>32.95</x:v>
      </x:c>
      <x:c r="O1420" s="10" t="n">
        <x:f>(G1420-H1420)*K1420</x:f>
        <x:v>12</x:v>
      </x:c>
      <x:c r="P1420" s="10" t="n">
        <x:f>N1420-O1420</x:f>
        <x:v>20.950000000000003</x:v>
      </x:c>
      <x:c r="Q1420" s="9" t="n">
        <x:f>A1420-WEEKDAY(A1420,2)+1</x:f>
        <x:v>46314</x:v>
      </x:c>
      <x:c r="R1420" s="2" t="str">
        <x:f>IF(AND(A1420&gt;='Review'!$B$4,A1420&lt;='Review'!$D$4),"Selected","Outside")</x:f>
        <x:v>Selected</x:v>
      </x:c>
    </x:row>
    <x:row r="1421" ht="20" customHeight="1">
      <x:c r="A1421" s="9" t="n">
        <x:v>46317</x:v>
      </x:c>
      <x:c r="B1421" s="2" t="str">
        <x:v>MM-2012</x:v>
      </x:c>
      <x:c r="C1421" s="2" t="str">
        <x:v>Direct</x:v>
      </x:c>
      <x:c r="D1421" s="2" t="str">
        <x:v>MUG-002</x:v>
      </x:c>
      <x:c r="E1421" s="2" t="str">
        <x:f>_xlfn.IFNA(VLOOKUP(D1421,'Products'!$A$7:$I$22,2,FALSE),"Unmapped")</x:f>
        <x:v>Campfire enamel mug</x:v>
      </x:c>
      <x:c r="F1421" s="2" t="str">
        <x:f>_xlfn.IFNA(VLOOKUP(D1421,'Products'!$A$7:$I$22,3,FALSE),"Unmapped")</x:f>
        <x:v>Drinkware</x:v>
      </x:c>
      <x:c r="G1421" s="2" t="n">
        <x:v>1</x:v>
      </x:c>
      <x:c r="H1421" s="2" t="n">
        <x:v>0</x:v>
      </x:c>
      <x:c r="I1421" s="10" t="n">
        <x:v>22.95</x:v>
      </x:c>
      <x:c r="J1421" s="10" t="n">
        <x:v>0</x:v>
      </x:c>
      <x:c r="K1421" s="10" t="n">
        <x:v>8.5</x:v>
      </x:c>
      <x:c r="L1421" s="10" t="n">
        <x:f>G1421*I1421</x:f>
        <x:v>22.95</x:v>
      </x:c>
      <x:c r="M1421" s="10" t="n">
        <x:f>ROUND((L1421-J1421)*H1421/G1421,2)</x:f>
        <x:v>0</x:v>
      </x:c>
      <x:c r="N1421" s="10" t="n">
        <x:f>L1421-J1421-M1421</x:f>
        <x:v>22.95</x:v>
      </x:c>
      <x:c r="O1421" s="10" t="n">
        <x:f>(G1421-H1421)*K1421</x:f>
        <x:v>8.5</x:v>
      </x:c>
      <x:c r="P1421" s="10" t="n">
        <x:f>N1421-O1421</x:f>
        <x:v>14.45</x:v>
      </x:c>
      <x:c r="Q1421" s="9" t="n">
        <x:f>A1421-WEEKDAY(A1421,2)+1</x:f>
        <x:v>46314</x:v>
      </x:c>
      <x:c r="R1421" s="2" t="str">
        <x:f>IF(AND(A1421&gt;='Review'!$B$4,A1421&lt;='Review'!$D$4),"Selected","Outside")</x:f>
        <x:v>Selected</x:v>
      </x:c>
    </x:row>
    <x:row r="1422" ht="20" customHeight="1">
      <x:c r="A1422" s="9" t="n">
        <x:v>46317</x:v>
      </x:c>
      <x:c r="B1422" s="2" t="str">
        <x:v>MM-2012</x:v>
      </x:c>
      <x:c r="C1422" s="2" t="str">
        <x:v>Direct</x:v>
      </x:c>
      <x:c r="D1422" s="2" t="str">
        <x:v>APP-003</x:v>
      </x:c>
      <x:c r="E1422" s="2" t="str">
        <x:f>_xlfn.IFNA(VLOOKUP(D1422,'Products'!$A$7:$I$22,2,FALSE),"Unmapped")</x:f>
        <x:v>Coffee club tee</x:v>
      </x:c>
      <x:c r="F1422" s="2" t="str">
        <x:f>_xlfn.IFNA(VLOOKUP(D1422,'Products'!$A$7:$I$22,3,FALSE),"Unmapped")</x:f>
        <x:v>Apparel</x:v>
      </x:c>
      <x:c r="G1422" s="2" t="n">
        <x:v>1</x:v>
      </x:c>
      <x:c r="H1422" s="2" t="n">
        <x:v>0</x:v>
      </x:c>
      <x:c r="I1422" s="10" t="n">
        <x:v>29.95</x:v>
      </x:c>
      <x:c r="J1422" s="10" t="n">
        <x:v>0</x:v>
      </x:c>
      <x:c r="K1422" s="10" t="n">
        <x:v>10</x:v>
      </x:c>
      <x:c r="L1422" s="10" t="n">
        <x:f>G1422*I1422</x:f>
        <x:v>29.95</x:v>
      </x:c>
      <x:c r="M1422" s="10" t="n">
        <x:f>ROUND((L1422-J1422)*H1422/G1422,2)</x:f>
        <x:v>0</x:v>
      </x:c>
      <x:c r="N1422" s="10" t="n">
        <x:f>L1422-J1422-M1422</x:f>
        <x:v>29.95</x:v>
      </x:c>
      <x:c r="O1422" s="10" t="n">
        <x:f>(G1422-H1422)*K1422</x:f>
        <x:v>10</x:v>
      </x:c>
      <x:c r="P1422" s="10" t="n">
        <x:f>N1422-O1422</x:f>
        <x:v>19.95</x:v>
      </x:c>
      <x:c r="Q1422" s="9" t="n">
        <x:f>A1422-WEEKDAY(A1422,2)+1</x:f>
        <x:v>46314</x:v>
      </x:c>
      <x:c r="R1422" s="2" t="str">
        <x:f>IF(AND(A1422&gt;='Review'!$B$4,A1422&lt;='Review'!$D$4),"Selected","Outside")</x:f>
        <x:v>Selected</x:v>
      </x:c>
    </x:row>
    <x:row r="1423" ht="20" customHeight="1">
      <x:c r="A1423" s="9" t="n">
        <x:v>46317</x:v>
      </x:c>
      <x:c r="B1423" s="2" t="str">
        <x:v>MM-2014</x:v>
      </x:c>
      <x:c r="C1423" s="2" t="str">
        <x:v>Organic Search</x:v>
      </x:c>
      <x:c r="D1423" s="2" t="str">
        <x:v>TOTE-001</x:v>
      </x:c>
      <x:c r="E1423" s="2" t="str">
        <x:f>_xlfn.IFNA(VLOOKUP(D1423,'Products'!$A$7:$I$22,2,FALSE),"Unmapped")</x:f>
        <x:v>Market canvas tote</x:v>
      </x:c>
      <x:c r="F1423" s="2" t="str">
        <x:f>_xlfn.IFNA(VLOOKUP(D1423,'Products'!$A$7:$I$22,3,FALSE),"Unmapped")</x:f>
        <x:v>Accessories</x:v>
      </x:c>
      <x:c r="G1423" s="2" t="n">
        <x:v>1</x:v>
      </x:c>
      <x:c r="H1423" s="2" t="n">
        <x:v>0</x:v>
      </x:c>
      <x:c r="I1423" s="10" t="n">
        <x:v>19.95</x:v>
      </x:c>
      <x:c r="J1423" s="10" t="n">
        <x:v>0</x:v>
      </x:c>
      <x:c r="K1423" s="10" t="n">
        <x:v>6</x:v>
      </x:c>
      <x:c r="L1423" s="10" t="n">
        <x:f>G1423*I1423</x:f>
        <x:v>19.95</x:v>
      </x:c>
      <x:c r="M1423" s="10" t="n">
        <x:f>ROUND((L1423-J1423)*H1423/G1423,2)</x:f>
        <x:v>0</x:v>
      </x:c>
      <x:c r="N1423" s="10" t="n">
        <x:f>L1423-J1423-M1423</x:f>
        <x:v>19.95</x:v>
      </x:c>
      <x:c r="O1423" s="10" t="n">
        <x:f>(G1423-H1423)*K1423</x:f>
        <x:v>6</x:v>
      </x:c>
      <x:c r="P1423" s="10" t="n">
        <x:f>N1423-O1423</x:f>
        <x:v>13.95</x:v>
      </x:c>
      <x:c r="Q1423" s="9" t="n">
        <x:f>A1423-WEEKDAY(A1423,2)+1</x:f>
        <x:v>46314</x:v>
      </x:c>
      <x:c r="R1423" s="2" t="str">
        <x:f>IF(AND(A1423&gt;='Review'!$B$4,A1423&lt;='Review'!$D$4),"Selected","Outside")</x:f>
        <x:v>Selected</x:v>
      </x:c>
    </x:row>
    <x:row r="1424" ht="20" customHeight="1">
      <x:c r="A1424" s="9" t="n">
        <x:v>46317</x:v>
      </x:c>
      <x:c r="B1424" s="2" t="str">
        <x:v>MM-2014</x:v>
      </x:c>
      <x:c r="C1424" s="2" t="str">
        <x:v>Organic Search</x:v>
      </x:c>
      <x:c r="D1424" s="2" t="str">
        <x:v>KEY-001</x:v>
      </x:c>
      <x:c r="E1424" s="2" t="str">
        <x:f>_xlfn.IFNA(VLOOKUP(D1424,'Products'!$A$7:$I$22,2,FALSE),"Unmapped")</x:f>
        <x:v>Maple keyring</x:v>
      </x:c>
      <x:c r="F1424" s="2" t="str">
        <x:f>_xlfn.IFNA(VLOOKUP(D1424,'Products'!$A$7:$I$22,3,FALSE),"Unmapped")</x:f>
        <x:v>Accessories</x:v>
      </x:c>
      <x:c r="G1424" s="2" t="n">
        <x:v>1</x:v>
      </x:c>
      <x:c r="H1424" s="2" t="n">
        <x:v>0</x:v>
      </x:c>
      <x:c r="I1424" s="10" t="n">
        <x:v>12.95</x:v>
      </x:c>
      <x:c r="J1424" s="10" t="n">
        <x:v>0</x:v>
      </x:c>
      <x:c r="K1424" s="10" t="n">
        <x:v>3.5</x:v>
      </x:c>
      <x:c r="L1424" s="10" t="n">
        <x:f>G1424*I1424</x:f>
        <x:v>12.95</x:v>
      </x:c>
      <x:c r="M1424" s="10" t="n">
        <x:f>ROUND((L1424-J1424)*H1424/G1424,2)</x:f>
        <x:v>0</x:v>
      </x:c>
      <x:c r="N1424" s="10" t="n">
        <x:f>L1424-J1424-M1424</x:f>
        <x:v>12.95</x:v>
      </x:c>
      <x:c r="O1424" s="10" t="n">
        <x:f>(G1424-H1424)*K1424</x:f>
        <x:v>3.5</x:v>
      </x:c>
      <x:c r="P1424" s="10" t="n">
        <x:f>N1424-O1424</x:f>
        <x:v>9.45</x:v>
      </x:c>
      <x:c r="Q1424" s="9" t="n">
        <x:f>A1424-WEEKDAY(A1424,2)+1</x:f>
        <x:v>46314</x:v>
      </x:c>
      <x:c r="R1424" s="2" t="str">
        <x:f>IF(AND(A1424&gt;='Review'!$B$4,A1424&lt;='Review'!$D$4),"Selected","Outside")</x:f>
        <x:v>Selected</x:v>
      </x:c>
    </x:row>
    <x:row r="1425" ht="20" customHeight="1">
      <x:c r="A1425" s="9" t="n">
        <x:v>46317</x:v>
      </x:c>
      <x:c r="B1425" s="2" t="str">
        <x:v>MM-1998</x:v>
      </x:c>
      <x:c r="C1425" s="2" t="str">
        <x:v>Organic Search</x:v>
      </x:c>
      <x:c r="D1425" s="2" t="str">
        <x:v>TUM-002</x:v>
      </x:c>
      <x:c r="E1425" s="2" t="str">
        <x:f>_xlfn.IFNA(VLOOKUP(D1425,'Products'!$A$7:$I$22,2,FALSE),"Unmapped")</x:f>
        <x:v>Cold brew glass cup</x:v>
      </x:c>
      <x:c r="F1425" s="2" t="str">
        <x:f>_xlfn.IFNA(VLOOKUP(D1425,'Products'!$A$7:$I$22,3,FALSE),"Unmapped")</x:f>
        <x:v>Drinkware</x:v>
      </x:c>
      <x:c r="G1425" s="2" t="n">
        <x:v>3</x:v>
      </x:c>
      <x:c r="H1425" s="2" t="n">
        <x:v>0</x:v>
      </x:c>
      <x:c r="I1425" s="10" t="n">
        <x:v>24.95</x:v>
      </x:c>
      <x:c r="J1425" s="10" t="n">
        <x:v>0</x:v>
      </x:c>
      <x:c r="K1425" s="10" t="n">
        <x:v>9</x:v>
      </x:c>
      <x:c r="L1425" s="10" t="n">
        <x:f>G1425*I1425</x:f>
        <x:v>74.85</x:v>
      </x:c>
      <x:c r="M1425" s="10" t="n">
        <x:f>ROUND((L1425-J1425)*H1425/G1425,2)</x:f>
        <x:v>0</x:v>
      </x:c>
      <x:c r="N1425" s="10" t="n">
        <x:f>L1425-J1425-M1425</x:f>
        <x:v>74.85</x:v>
      </x:c>
      <x:c r="O1425" s="10" t="n">
        <x:f>(G1425-H1425)*K1425</x:f>
        <x:v>27</x:v>
      </x:c>
      <x:c r="P1425" s="10" t="n">
        <x:f>N1425-O1425</x:f>
        <x:v>47.849999999999994</x:v>
      </x:c>
      <x:c r="Q1425" s="9" t="n">
        <x:f>A1425-WEEKDAY(A1425,2)+1</x:f>
        <x:v>46314</x:v>
      </x:c>
      <x:c r="R1425" s="2" t="str">
        <x:f>IF(AND(A1425&gt;='Review'!$B$4,A1425&lt;='Review'!$D$4),"Selected","Outside")</x:f>
        <x:v>Selected</x:v>
      </x:c>
    </x:row>
    <x:row r="1426" ht="20" customHeight="1">
      <x:c r="A1426" s="9" t="n">
        <x:v>46317</x:v>
      </x:c>
      <x:c r="B1426" s="2" t="str">
        <x:v>MM-2009</x:v>
      </x:c>
      <x:c r="C1426" s="2" t="str">
        <x:v>Email</x:v>
      </x:c>
      <x:c r="D1426" s="2" t="str">
        <x:v>GFT-001</x:v>
      </x:c>
      <x:c r="E1426" s="2" t="str">
        <x:f>_xlfn.IFNA(VLOOKUP(D1426,'Products'!$A$7:$I$22,2,FALSE),"Unmapped")</x:f>
        <x:v>Morning ritual gift set</x:v>
      </x:c>
      <x:c r="F1426" s="2" t="str">
        <x:f>_xlfn.IFNA(VLOOKUP(D1426,'Products'!$A$7:$I$22,3,FALSE),"Unmapped")</x:f>
        <x:v>Gifts</x:v>
      </x:c>
      <x:c r="G1426" s="2" t="n">
        <x:v>1</x:v>
      </x:c>
      <x:c r="H1426" s="2" t="n">
        <x:v>0</x:v>
      </x:c>
      <x:c r="I1426" s="10" t="n">
        <x:v>59.95</x:v>
      </x:c>
      <x:c r="J1426" s="10" t="n">
        <x:v>5.99</x:v>
      </x:c>
      <x:c r="K1426" s="10" t="n">
        <x:v>24</x:v>
      </x:c>
      <x:c r="L1426" s="10" t="n">
        <x:f>G1426*I1426</x:f>
        <x:v>59.95</x:v>
      </x:c>
      <x:c r="M1426" s="10" t="n">
        <x:f>ROUND((L1426-J1426)*H1426/G1426,2)</x:f>
        <x:v>0</x:v>
      </x:c>
      <x:c r="N1426" s="10" t="n">
        <x:f>L1426-J1426-M1426</x:f>
        <x:v>53.96</x:v>
      </x:c>
      <x:c r="O1426" s="10" t="n">
        <x:f>(G1426-H1426)*K1426</x:f>
        <x:v>24</x:v>
      </x:c>
      <x:c r="P1426" s="10" t="n">
        <x:f>N1426-O1426</x:f>
        <x:v>29.96</x:v>
      </x:c>
      <x:c r="Q1426" s="9" t="n">
        <x:f>A1426-WEEKDAY(A1426,2)+1</x:f>
        <x:v>46314</x:v>
      </x:c>
      <x:c r="R1426" s="2" t="str">
        <x:f>IF(AND(A1426&gt;='Review'!$B$4,A1426&lt;='Review'!$D$4),"Selected","Outside")</x:f>
        <x:v>Selected</x:v>
      </x:c>
    </x:row>
    <x:row r="1427" ht="20" customHeight="1">
      <x:c r="A1427" s="9" t="n">
        <x:v>46317</x:v>
      </x:c>
      <x:c r="B1427" s="2" t="str">
        <x:v>MM-1995</x:v>
      </x:c>
      <x:c r="C1427" s="2" t="str">
        <x:v>Organic Search</x:v>
      </x:c>
      <x:c r="D1427" s="2" t="str">
        <x:v>BOT-001</x:v>
      </x:c>
      <x:c r="E1427" s="2" t="str">
        <x:f>_xlfn.IFNA(VLOOKUP(D1427,'Products'!$A$7:$I$22,2,FALSE),"Unmapped")</x:f>
        <x:v>Trail water bottle</x:v>
      </x:c>
      <x:c r="F1427" s="2" t="str">
        <x:f>_xlfn.IFNA(VLOOKUP(D1427,'Products'!$A$7:$I$22,3,FALSE),"Unmapped")</x:f>
        <x:v>Drinkware</x:v>
      </x:c>
      <x:c r="G1427" s="2" t="n">
        <x:v>1</x:v>
      </x:c>
      <x:c r="H1427" s="2" t="n">
        <x:v>0</x:v>
      </x:c>
      <x:c r="I1427" s="10" t="n">
        <x:v>34.95</x:v>
      </x:c>
      <x:c r="J1427" s="10" t="n">
        <x:v>0</x:v>
      </x:c>
      <x:c r="K1427" s="10" t="n">
        <x:v>13.5</x:v>
      </x:c>
      <x:c r="L1427" s="10" t="n">
        <x:f>G1427*I1427</x:f>
        <x:v>34.95</x:v>
      </x:c>
      <x:c r="M1427" s="10" t="n">
        <x:f>ROUND((L1427-J1427)*H1427/G1427,2)</x:f>
        <x:v>0</x:v>
      </x:c>
      <x:c r="N1427" s="10" t="n">
        <x:f>L1427-J1427-M1427</x:f>
        <x:v>34.95</x:v>
      </x:c>
      <x:c r="O1427" s="10" t="n">
        <x:f>(G1427-H1427)*K1427</x:f>
        <x:v>13.5</x:v>
      </x:c>
      <x:c r="P1427" s="10" t="n">
        <x:f>N1427-O1427</x:f>
        <x:v>21.450000000000003</x:v>
      </x:c>
      <x:c r="Q1427" s="9" t="n">
        <x:f>A1427-WEEKDAY(A1427,2)+1</x:f>
        <x:v>46314</x:v>
      </x:c>
      <x:c r="R1427" s="2" t="str">
        <x:f>IF(AND(A1427&gt;='Review'!$B$4,A1427&lt;='Review'!$D$4),"Selected","Outside")</x:f>
        <x:v>Selected</x:v>
      </x:c>
    </x:row>
    <x:row r="1428" ht="20" customHeight="1">
      <x:c r="A1428" s="9" t="n">
        <x:v>46317</x:v>
      </x:c>
      <x:c r="B1428" s="2" t="str">
        <x:v>MM-1999</x:v>
      </x:c>
      <x:c r="C1428" s="2" t="str">
        <x:v>Organic Search</x:v>
      </x:c>
      <x:c r="D1428" s="2" t="str">
        <x:v>TUM-002</x:v>
      </x:c>
      <x:c r="E1428" s="2" t="str">
        <x:f>_xlfn.IFNA(VLOOKUP(D1428,'Products'!$A$7:$I$22,2,FALSE),"Unmapped")</x:f>
        <x:v>Cold brew glass cup</x:v>
      </x:c>
      <x:c r="F1428" s="2" t="str">
        <x:f>_xlfn.IFNA(VLOOKUP(D1428,'Products'!$A$7:$I$22,3,FALSE),"Unmapped")</x:f>
        <x:v>Drinkware</x:v>
      </x:c>
      <x:c r="G1428" s="2" t="n">
        <x:v>1</x:v>
      </x:c>
      <x:c r="H1428" s="2" t="n">
        <x:v>0</x:v>
      </x:c>
      <x:c r="I1428" s="10" t="n">
        <x:v>24.95</x:v>
      </x:c>
      <x:c r="J1428" s="10" t="n">
        <x:v>0</x:v>
      </x:c>
      <x:c r="K1428" s="10" t="n">
        <x:v>9</x:v>
      </x:c>
      <x:c r="L1428" s="10" t="n">
        <x:f>G1428*I1428</x:f>
        <x:v>24.95</x:v>
      </x:c>
      <x:c r="M1428" s="10" t="n">
        <x:f>ROUND((L1428-J1428)*H1428/G1428,2)</x:f>
        <x:v>0</x:v>
      </x:c>
      <x:c r="N1428" s="10" t="n">
        <x:f>L1428-J1428-M1428</x:f>
        <x:v>24.95</x:v>
      </x:c>
      <x:c r="O1428" s="10" t="n">
        <x:f>(G1428-H1428)*K1428</x:f>
        <x:v>9</x:v>
      </x:c>
      <x:c r="P1428" s="10" t="n">
        <x:f>N1428-O1428</x:f>
        <x:v>15.95</x:v>
      </x:c>
      <x:c r="Q1428" s="9" t="n">
        <x:f>A1428-WEEKDAY(A1428,2)+1</x:f>
        <x:v>46314</x:v>
      </x:c>
      <x:c r="R1428" s="2" t="str">
        <x:f>IF(AND(A1428&gt;='Review'!$B$4,A1428&lt;='Review'!$D$4),"Selected","Outside")</x:f>
        <x:v>Selected</x:v>
      </x:c>
    </x:row>
    <x:row r="1429" ht="20" customHeight="1">
      <x:c r="A1429" s="9" t="n">
        <x:v>46317</x:v>
      </x:c>
      <x:c r="B1429" s="2" t="str">
        <x:v>MM-2003</x:v>
      </x:c>
      <x:c r="C1429" s="2" t="str">
        <x:v>Organic Search</x:v>
      </x:c>
      <x:c r="D1429" s="2" t="str">
        <x:v>TUM-002</x:v>
      </x:c>
      <x:c r="E1429" s="2" t="str">
        <x:f>_xlfn.IFNA(VLOOKUP(D1429,'Products'!$A$7:$I$22,2,FALSE),"Unmapped")</x:f>
        <x:v>Cold brew glass cup</x:v>
      </x:c>
      <x:c r="F1429" s="2" t="str">
        <x:f>_xlfn.IFNA(VLOOKUP(D1429,'Products'!$A$7:$I$22,3,FALSE),"Unmapped")</x:f>
        <x:v>Drinkware</x:v>
      </x:c>
      <x:c r="G1429" s="2" t="n">
        <x:v>2</x:v>
      </x:c>
      <x:c r="H1429" s="2" t="n">
        <x:v>0</x:v>
      </x:c>
      <x:c r="I1429" s="10" t="n">
        <x:v>24.95</x:v>
      </x:c>
      <x:c r="J1429" s="10" t="n">
        <x:v>0</x:v>
      </x:c>
      <x:c r="K1429" s="10" t="n">
        <x:v>9</x:v>
      </x:c>
      <x:c r="L1429" s="10" t="n">
        <x:f>G1429*I1429</x:f>
        <x:v>49.9</x:v>
      </x:c>
      <x:c r="M1429" s="10" t="n">
        <x:f>ROUND((L1429-J1429)*H1429/G1429,2)</x:f>
        <x:v>0</x:v>
      </x:c>
      <x:c r="N1429" s="10" t="n">
        <x:f>L1429-J1429-M1429</x:f>
        <x:v>49.9</x:v>
      </x:c>
      <x:c r="O1429" s="10" t="n">
        <x:f>(G1429-H1429)*K1429</x:f>
        <x:v>18</x:v>
      </x:c>
      <x:c r="P1429" s="10" t="n">
        <x:f>N1429-O1429</x:f>
        <x:v>31.9</x:v>
      </x:c>
      <x:c r="Q1429" s="9" t="n">
        <x:f>A1429-WEEKDAY(A1429,2)+1</x:f>
        <x:v>46314</x:v>
      </x:c>
      <x:c r="R1429" s="2" t="str">
        <x:f>IF(AND(A1429&gt;='Review'!$B$4,A1429&lt;='Review'!$D$4),"Selected","Outside")</x:f>
        <x:v>Selected</x:v>
      </x:c>
    </x:row>
    <x:row r="1430" ht="20" customHeight="1">
      <x:c r="A1430" s="9" t="n">
        <x:v>46317</x:v>
      </x:c>
      <x:c r="B1430" s="2" t="str">
        <x:v>MM-2002</x:v>
      </x:c>
      <x:c r="C1430" s="2" t="str">
        <x:v>Direct</x:v>
      </x:c>
      <x:c r="D1430" s="2" t="str">
        <x:v>APP-002</x:v>
      </x:c>
      <x:c r="E1430" s="2" t="str">
        <x:f>_xlfn.IFNA(VLOOKUP(D1430,'Products'!$A$7:$I$22,2,FALSE),"Unmapped")</x:f>
        <x:v>Weekend hoodie</x:v>
      </x:c>
      <x:c r="F1430" s="2" t="str">
        <x:f>_xlfn.IFNA(VLOOKUP(D1430,'Products'!$A$7:$I$22,3,FALSE),"Unmapped")</x:f>
        <x:v>Apparel</x:v>
      </x:c>
      <x:c r="G1430" s="2" t="n">
        <x:v>1</x:v>
      </x:c>
      <x:c r="H1430" s="2" t="n">
        <x:v>0</x:v>
      </x:c>
      <x:c r="I1430" s="10" t="n">
        <x:v>69.95</x:v>
      </x:c>
      <x:c r="J1430" s="10" t="n">
        <x:v>0</x:v>
      </x:c>
      <x:c r="K1430" s="10" t="n">
        <x:v>28</x:v>
      </x:c>
      <x:c r="L1430" s="10" t="n">
        <x:f>G1430*I1430</x:f>
        <x:v>69.95</x:v>
      </x:c>
      <x:c r="M1430" s="10" t="n">
        <x:f>ROUND((L1430-J1430)*H1430/G1430,2)</x:f>
        <x:v>0</x:v>
      </x:c>
      <x:c r="N1430" s="10" t="n">
        <x:f>L1430-J1430-M1430</x:f>
        <x:v>69.95</x:v>
      </x:c>
      <x:c r="O1430" s="10" t="n">
        <x:f>(G1430-H1430)*K1430</x:f>
        <x:v>28</x:v>
      </x:c>
      <x:c r="P1430" s="10" t="n">
        <x:f>N1430-O1430</x:f>
        <x:v>41.95</x:v>
      </x:c>
      <x:c r="Q1430" s="9" t="n">
        <x:f>A1430-WEEKDAY(A1430,2)+1</x:f>
        <x:v>46314</x:v>
      </x:c>
      <x:c r="R1430" s="2" t="str">
        <x:f>IF(AND(A1430&gt;='Review'!$B$4,A1430&lt;='Review'!$D$4),"Selected","Outside")</x:f>
        <x:v>Selected</x:v>
      </x:c>
    </x:row>
    <x:row r="1431" ht="20" customHeight="1">
      <x:c r="A1431" s="9" t="n">
        <x:v>46317</x:v>
      </x:c>
      <x:c r="B1431" s="2" t="str">
        <x:v>MM-2005</x:v>
      </x:c>
      <x:c r="C1431" s="2" t="str">
        <x:v>Direct</x:v>
      </x:c>
      <x:c r="D1431" s="2" t="str">
        <x:v>TOTE-001</x:v>
      </x:c>
      <x:c r="E1431" s="2" t="str">
        <x:f>_xlfn.IFNA(VLOOKUP(D1431,'Products'!$A$7:$I$22,2,FALSE),"Unmapped")</x:f>
        <x:v>Market canvas tote</x:v>
      </x:c>
      <x:c r="F1431" s="2" t="str">
        <x:f>_xlfn.IFNA(VLOOKUP(D1431,'Products'!$A$7:$I$22,3,FALSE),"Unmapped")</x:f>
        <x:v>Accessories</x:v>
      </x:c>
      <x:c r="G1431" s="2" t="n">
        <x:v>1</x:v>
      </x:c>
      <x:c r="H1431" s="2" t="n">
        <x:v>0</x:v>
      </x:c>
      <x:c r="I1431" s="10" t="n">
        <x:v>19.95</x:v>
      </x:c>
      <x:c r="J1431" s="10" t="n">
        <x:v>0</x:v>
      </x:c>
      <x:c r="K1431" s="10" t="n">
        <x:v>6</x:v>
      </x:c>
      <x:c r="L1431" s="10" t="n">
        <x:f>G1431*I1431</x:f>
        <x:v>19.95</x:v>
      </x:c>
      <x:c r="M1431" s="10" t="n">
        <x:f>ROUND((L1431-J1431)*H1431/G1431,2)</x:f>
        <x:v>0</x:v>
      </x:c>
      <x:c r="N1431" s="10" t="n">
        <x:f>L1431-J1431-M1431</x:f>
        <x:v>19.95</x:v>
      </x:c>
      <x:c r="O1431" s="10" t="n">
        <x:f>(G1431-H1431)*K1431</x:f>
        <x:v>6</x:v>
      </x:c>
      <x:c r="P1431" s="10" t="n">
        <x:f>N1431-O1431</x:f>
        <x:v>13.95</x:v>
      </x:c>
      <x:c r="Q1431" s="9" t="n">
        <x:f>A1431-WEEKDAY(A1431,2)+1</x:f>
        <x:v>46314</x:v>
      </x:c>
      <x:c r="R1431" s="2" t="str">
        <x:f>IF(AND(A1431&gt;='Review'!$B$4,A1431&lt;='Review'!$D$4),"Selected","Outside")</x:f>
        <x:v>Selected</x:v>
      </x:c>
    </x:row>
    <x:row r="1432" ht="20" customHeight="1">
      <x:c r="A1432" s="9" t="n">
        <x:v>46317</x:v>
      </x:c>
      <x:c r="B1432" s="2" t="str">
        <x:v>MM-2005</x:v>
      </x:c>
      <x:c r="C1432" s="2" t="str">
        <x:v>Direct</x:v>
      </x:c>
      <x:c r="D1432" s="2" t="str">
        <x:v>HAT-001</x:v>
      </x:c>
      <x:c r="E1432" s="2" t="str">
        <x:f>_xlfn.IFNA(VLOOKUP(D1432,'Products'!$A$7:$I$22,2,FALSE),"Unmapped")</x:f>
        <x:v>Classic canvas cap</x:v>
      </x:c>
      <x:c r="F1432" s="2" t="str">
        <x:f>_xlfn.IFNA(VLOOKUP(D1432,'Products'!$A$7:$I$22,3,FALSE),"Unmapped")</x:f>
        <x:v>Accessories</x:v>
      </x:c>
      <x:c r="G1432" s="2" t="n">
        <x:v>1</x:v>
      </x:c>
      <x:c r="H1432" s="2" t="n">
        <x:v>0</x:v>
      </x:c>
      <x:c r="I1432" s="10" t="n">
        <x:v>24.95</x:v>
      </x:c>
      <x:c r="J1432" s="10" t="n">
        <x:v>0</x:v>
      </x:c>
      <x:c r="K1432" s="10" t="n">
        <x:v>8.5</x:v>
      </x:c>
      <x:c r="L1432" s="10" t="n">
        <x:f>G1432*I1432</x:f>
        <x:v>24.95</x:v>
      </x:c>
      <x:c r="M1432" s="10" t="n">
        <x:f>ROUND((L1432-J1432)*H1432/G1432,2)</x:f>
        <x:v>0</x:v>
      </x:c>
      <x:c r="N1432" s="10" t="n">
        <x:f>L1432-J1432-M1432</x:f>
        <x:v>24.95</x:v>
      </x:c>
      <x:c r="O1432" s="10" t="n">
        <x:f>(G1432-H1432)*K1432</x:f>
        <x:v>8.5</x:v>
      </x:c>
      <x:c r="P1432" s="10" t="n">
        <x:f>N1432-O1432</x:f>
        <x:v>16.45</x:v>
      </x:c>
      <x:c r="Q1432" s="9" t="n">
        <x:f>A1432-WEEKDAY(A1432,2)+1</x:f>
        <x:v>46314</x:v>
      </x:c>
      <x:c r="R1432" s="2" t="str">
        <x:f>IF(AND(A1432&gt;='Review'!$B$4,A1432&lt;='Review'!$D$4),"Selected","Outside")</x:f>
        <x:v>Selected</x:v>
      </x:c>
    </x:row>
    <x:row r="1433" ht="20" customHeight="1">
      <x:c r="A1433" s="9" t="n">
        <x:v>46317</x:v>
      </x:c>
      <x:c r="B1433" s="2" t="str">
        <x:v>MM-2006</x:v>
      </x:c>
      <x:c r="C1433" s="2" t="str">
        <x:v>Organic Search</x:v>
      </x:c>
      <x:c r="D1433" s="2" t="str">
        <x:v>TOTE-001</x:v>
      </x:c>
      <x:c r="E1433" s="2" t="str">
        <x:f>_xlfn.IFNA(VLOOKUP(D1433,'Products'!$A$7:$I$22,2,FALSE),"Unmapped")</x:f>
        <x:v>Market canvas tote</x:v>
      </x:c>
      <x:c r="F1433" s="2" t="str">
        <x:f>_xlfn.IFNA(VLOOKUP(D1433,'Products'!$A$7:$I$22,3,FALSE),"Unmapped")</x:f>
        <x:v>Accessories</x:v>
      </x:c>
      <x:c r="G1433" s="2" t="n">
        <x:v>2</x:v>
      </x:c>
      <x:c r="H1433" s="2" t="n">
        <x:v>0</x:v>
      </x:c>
      <x:c r="I1433" s="10" t="n">
        <x:v>19.95</x:v>
      </x:c>
      <x:c r="J1433" s="10" t="n">
        <x:v>0</x:v>
      </x:c>
      <x:c r="K1433" s="10" t="n">
        <x:v>6</x:v>
      </x:c>
      <x:c r="L1433" s="10" t="n">
        <x:f>G1433*I1433</x:f>
        <x:v>39.9</x:v>
      </x:c>
      <x:c r="M1433" s="10" t="n">
        <x:f>ROUND((L1433-J1433)*H1433/G1433,2)</x:f>
        <x:v>0</x:v>
      </x:c>
      <x:c r="N1433" s="10" t="n">
        <x:f>L1433-J1433-M1433</x:f>
        <x:v>39.9</x:v>
      </x:c>
      <x:c r="O1433" s="10" t="n">
        <x:f>(G1433-H1433)*K1433</x:f>
        <x:v>12</x:v>
      </x:c>
      <x:c r="P1433" s="10" t="n">
        <x:f>N1433-O1433</x:f>
        <x:v>27.9</x:v>
      </x:c>
      <x:c r="Q1433" s="9" t="n">
        <x:f>A1433-WEEKDAY(A1433,2)+1</x:f>
        <x:v>46314</x:v>
      </x:c>
      <x:c r="R1433" s="2" t="str">
        <x:f>IF(AND(A1433&gt;='Review'!$B$4,A1433&lt;='Review'!$D$4),"Selected","Outside")</x:f>
        <x:v>Selected</x:v>
      </x:c>
    </x:row>
    <x:row r="1434" ht="20" customHeight="1">
      <x:c r="A1434" s="9" t="n">
        <x:v>46317</x:v>
      </x:c>
      <x:c r="B1434" s="2" t="str">
        <x:v>MM-2007</x:v>
      </x:c>
      <x:c r="C1434" s="2" t="str">
        <x:v>Organic Search</x:v>
      </x:c>
      <x:c r="D1434" s="2" t="str">
        <x:v>TUM-001</x:v>
      </x:c>
      <x:c r="E1434" s="2" t="str">
        <x:f>_xlfn.IFNA(VLOOKUP(D1434,'Products'!$A$7:$I$22,2,FALSE),"Unmapped")</x:f>
        <x:v>Maple travel tumbler</x:v>
      </x:c>
      <x:c r="F1434" s="2" t="str">
        <x:f>_xlfn.IFNA(VLOOKUP(D1434,'Products'!$A$7:$I$22,3,FALSE),"Unmapped")</x:f>
        <x:v>Drinkware</x:v>
      </x:c>
      <x:c r="G1434" s="2" t="n">
        <x:v>2</x:v>
      </x:c>
      <x:c r="H1434" s="2" t="n">
        <x:v>0</x:v>
      </x:c>
      <x:c r="I1434" s="10" t="n">
        <x:v>32.95</x:v>
      </x:c>
      <x:c r="J1434" s="10" t="n">
        <x:v>0</x:v>
      </x:c>
      <x:c r="K1434" s="10" t="n">
        <x:v>12</x:v>
      </x:c>
      <x:c r="L1434" s="10" t="n">
        <x:f>G1434*I1434</x:f>
        <x:v>65.9</x:v>
      </x:c>
      <x:c r="M1434" s="10" t="n">
        <x:f>ROUND((L1434-J1434)*H1434/G1434,2)</x:f>
        <x:v>0</x:v>
      </x:c>
      <x:c r="N1434" s="10" t="n">
        <x:f>L1434-J1434-M1434</x:f>
        <x:v>65.9</x:v>
      </x:c>
      <x:c r="O1434" s="10" t="n">
        <x:f>(G1434-H1434)*K1434</x:f>
        <x:v>24</x:v>
      </x:c>
      <x:c r="P1434" s="10" t="n">
        <x:f>N1434-O1434</x:f>
        <x:v>41.900000000000006</x:v>
      </x:c>
      <x:c r="Q1434" s="9" t="n">
        <x:f>A1434-WEEKDAY(A1434,2)+1</x:f>
        <x:v>46314</x:v>
      </x:c>
      <x:c r="R1434" s="2" t="str">
        <x:f>IF(AND(A1434&gt;='Review'!$B$4,A1434&lt;='Review'!$D$4),"Selected","Outside")</x:f>
        <x:v>Selected</x:v>
      </x:c>
    </x:row>
    <x:row r="1435" ht="20" customHeight="1">
      <x:c r="A1435" s="9" t="n">
        <x:v>46317</x:v>
      </x:c>
      <x:c r="B1435" s="2" t="str">
        <x:v>MM-2010</x:v>
      </x:c>
      <x:c r="C1435" s="2" t="str">
        <x:v>Paid Social</x:v>
      </x:c>
      <x:c r="D1435" s="2" t="str">
        <x:v>TOTE-001</x:v>
      </x:c>
      <x:c r="E1435" s="2" t="str">
        <x:f>_xlfn.IFNA(VLOOKUP(D1435,'Products'!$A$7:$I$22,2,FALSE),"Unmapped")</x:f>
        <x:v>Market canvas tote</x:v>
      </x:c>
      <x:c r="F1435" s="2" t="str">
        <x:f>_xlfn.IFNA(VLOOKUP(D1435,'Products'!$A$7:$I$22,3,FALSE),"Unmapped")</x:f>
        <x:v>Accessories</x:v>
      </x:c>
      <x:c r="G1435" s="2" t="n">
        <x:v>1</x:v>
      </x:c>
      <x:c r="H1435" s="2" t="n">
        <x:v>0</x:v>
      </x:c>
      <x:c r="I1435" s="10" t="n">
        <x:v>19.95</x:v>
      </x:c>
      <x:c r="J1435" s="10" t="n">
        <x:v>0</x:v>
      </x:c>
      <x:c r="K1435" s="10" t="n">
        <x:v>6</x:v>
      </x:c>
      <x:c r="L1435" s="10" t="n">
        <x:f>G1435*I1435</x:f>
        <x:v>19.95</x:v>
      </x:c>
      <x:c r="M1435" s="10" t="n">
        <x:f>ROUND((L1435-J1435)*H1435/G1435,2)</x:f>
        <x:v>0</x:v>
      </x:c>
      <x:c r="N1435" s="10" t="n">
        <x:f>L1435-J1435-M1435</x:f>
        <x:v>19.95</x:v>
      </x:c>
      <x:c r="O1435" s="10" t="n">
        <x:f>(G1435-H1435)*K1435</x:f>
        <x:v>6</x:v>
      </x:c>
      <x:c r="P1435" s="10" t="n">
        <x:f>N1435-O1435</x:f>
        <x:v>13.95</x:v>
      </x:c>
      <x:c r="Q1435" s="9" t="n">
        <x:f>A1435-WEEKDAY(A1435,2)+1</x:f>
        <x:v>46314</x:v>
      </x:c>
      <x:c r="R1435" s="2" t="str">
        <x:f>IF(AND(A1435&gt;='Review'!$B$4,A1435&lt;='Review'!$D$4),"Selected","Outside")</x:f>
        <x:v>Selected</x:v>
      </x:c>
    </x:row>
    <x:row r="1436" ht="20" customHeight="1">
      <x:c r="A1436" s="9" t="n">
        <x:v>46317</x:v>
      </x:c>
      <x:c r="B1436" s="2" t="str">
        <x:v>MM-2010</x:v>
      </x:c>
      <x:c r="C1436" s="2" t="str">
        <x:v>Paid Social</x:v>
      </x:c>
      <x:c r="D1436" s="2" t="str">
        <x:v>APP-003</x:v>
      </x:c>
      <x:c r="E1436" s="2" t="str">
        <x:f>_xlfn.IFNA(VLOOKUP(D1436,'Products'!$A$7:$I$22,2,FALSE),"Unmapped")</x:f>
        <x:v>Coffee club tee</x:v>
      </x:c>
      <x:c r="F1436" s="2" t="str">
        <x:f>_xlfn.IFNA(VLOOKUP(D1436,'Products'!$A$7:$I$22,3,FALSE),"Unmapped")</x:f>
        <x:v>Apparel</x:v>
      </x:c>
      <x:c r="G1436" s="2" t="n">
        <x:v>1</x:v>
      </x:c>
      <x:c r="H1436" s="2" t="n">
        <x:v>0</x:v>
      </x:c>
      <x:c r="I1436" s="10" t="n">
        <x:v>29.95</x:v>
      </x:c>
      <x:c r="J1436" s="10" t="n">
        <x:v>2.99</x:v>
      </x:c>
      <x:c r="K1436" s="10" t="n">
        <x:v>10</x:v>
      </x:c>
      <x:c r="L1436" s="10" t="n">
        <x:f>G1436*I1436</x:f>
        <x:v>29.95</x:v>
      </x:c>
      <x:c r="M1436" s="10" t="n">
        <x:f>ROUND((L1436-J1436)*H1436/G1436,2)</x:f>
        <x:v>0</x:v>
      </x:c>
      <x:c r="N1436" s="10" t="n">
        <x:f>L1436-J1436-M1436</x:f>
        <x:v>26.96</x:v>
      </x:c>
      <x:c r="O1436" s="10" t="n">
        <x:f>(G1436-H1436)*K1436</x:f>
        <x:v>10</x:v>
      </x:c>
      <x:c r="P1436" s="10" t="n">
        <x:f>N1436-O1436</x:f>
        <x:v>16.96</x:v>
      </x:c>
      <x:c r="Q1436" s="9" t="n">
        <x:f>A1436-WEEKDAY(A1436,2)+1</x:f>
        <x:v>46314</x:v>
      </x:c>
      <x:c r="R1436" s="2" t="str">
        <x:f>IF(AND(A1436&gt;='Review'!$B$4,A1436&lt;='Review'!$D$4),"Selected","Outside")</x:f>
        <x:v>Selected</x:v>
      </x:c>
    </x:row>
    <x:row r="1437" ht="20" customHeight="1">
      <x:c r="A1437" s="9" t="n">
        <x:v>46317</x:v>
      </x:c>
      <x:c r="B1437" s="2" t="str">
        <x:v>MM-2011</x:v>
      </x:c>
      <x:c r="C1437" s="2" t="str">
        <x:v>Paid Social</x:v>
      </x:c>
      <x:c r="D1437" s="2" t="str">
        <x:v>GFT-002</x:v>
      </x:c>
      <x:c r="E1437" s="2" t="str">
        <x:f>_xlfn.IFNA(VLOOKUP(D1437,'Products'!$A$7:$I$22,2,FALSE),"Unmapped")</x:f>
        <x:v>Cozy weekend gift box</x:v>
      </x:c>
      <x:c r="F1437" s="2" t="str">
        <x:f>_xlfn.IFNA(VLOOKUP(D1437,'Products'!$A$7:$I$22,3,FALSE),"Unmapped")</x:f>
        <x:v>Gifts</x:v>
      </x:c>
      <x:c r="G1437" s="2" t="n">
        <x:v>2</x:v>
      </x:c>
      <x:c r="H1437" s="2" t="n">
        <x:v>0</x:v>
      </x:c>
      <x:c r="I1437" s="10" t="n">
        <x:v>79.95</x:v>
      </x:c>
      <x:c r="J1437" s="10" t="n">
        <x:v>0</x:v>
      </x:c>
      <x:c r="K1437" s="10" t="n">
        <x:v>32</x:v>
      </x:c>
      <x:c r="L1437" s="10" t="n">
        <x:f>G1437*I1437</x:f>
        <x:v>159.9</x:v>
      </x:c>
      <x:c r="M1437" s="10" t="n">
        <x:f>ROUND((L1437-J1437)*H1437/G1437,2)</x:f>
        <x:v>0</x:v>
      </x:c>
      <x:c r="N1437" s="10" t="n">
        <x:f>L1437-J1437-M1437</x:f>
        <x:v>159.9</x:v>
      </x:c>
      <x:c r="O1437" s="10" t="n">
        <x:f>(G1437-H1437)*K1437</x:f>
        <x:v>64</x:v>
      </x:c>
      <x:c r="P1437" s="10" t="n">
        <x:f>N1437-O1437</x:f>
        <x:v>95.9</x:v>
      </x:c>
      <x:c r="Q1437" s="9" t="n">
        <x:f>A1437-WEEKDAY(A1437,2)+1</x:f>
        <x:v>46314</x:v>
      </x:c>
      <x:c r="R1437" s="2" t="str">
        <x:f>IF(AND(A1437&gt;='Review'!$B$4,A1437&lt;='Review'!$D$4),"Selected","Outside")</x:f>
        <x:v>Selected</x:v>
      </x:c>
    </x:row>
    <x:row r="1438" ht="20" customHeight="1">
      <x:c r="A1438" s="9" t="n">
        <x:v>46317</x:v>
      </x:c>
      <x:c r="B1438" s="2" t="str">
        <x:v>MM-2001</x:v>
      </x:c>
      <x:c r="C1438" s="2" t="str">
        <x:v>Email</x:v>
      </x:c>
      <x:c r="D1438" s="2" t="str">
        <x:v>APP-002</x:v>
      </x:c>
      <x:c r="E1438" s="2" t="str">
        <x:f>_xlfn.IFNA(VLOOKUP(D1438,'Products'!$A$7:$I$22,2,FALSE),"Unmapped")</x:f>
        <x:v>Weekend hoodie</x:v>
      </x:c>
      <x:c r="F1438" s="2" t="str">
        <x:f>_xlfn.IFNA(VLOOKUP(D1438,'Products'!$A$7:$I$22,3,FALSE),"Unmapped")</x:f>
        <x:v>Apparel</x:v>
      </x:c>
      <x:c r="G1438" s="2" t="n">
        <x:v>1</x:v>
      </x:c>
      <x:c r="H1438" s="2" t="n">
        <x:v>0</x:v>
      </x:c>
      <x:c r="I1438" s="10" t="n">
        <x:v>69.95</x:v>
      </x:c>
      <x:c r="J1438" s="10" t="n">
        <x:v>6.99</x:v>
      </x:c>
      <x:c r="K1438" s="10" t="n">
        <x:v>28</x:v>
      </x:c>
      <x:c r="L1438" s="10" t="n">
        <x:f>G1438*I1438</x:f>
        <x:v>69.95</x:v>
      </x:c>
      <x:c r="M1438" s="10" t="n">
        <x:f>ROUND((L1438-J1438)*H1438/G1438,2)</x:f>
        <x:v>0</x:v>
      </x:c>
      <x:c r="N1438" s="10" t="n">
        <x:f>L1438-J1438-M1438</x:f>
        <x:v>62.96</x:v>
      </x:c>
      <x:c r="O1438" s="10" t="n">
        <x:f>(G1438-H1438)*K1438</x:f>
        <x:v>28</x:v>
      </x:c>
      <x:c r="P1438" s="10" t="n">
        <x:f>N1438-O1438</x:f>
        <x:v>34.96</x:v>
      </x:c>
      <x:c r="Q1438" s="9" t="n">
        <x:f>A1438-WEEKDAY(A1438,2)+1</x:f>
        <x:v>46314</x:v>
      </x:c>
      <x:c r="R1438" s="2" t="str">
        <x:f>IF(AND(A1438&gt;='Review'!$B$4,A1438&lt;='Review'!$D$4),"Selected","Outside")</x:f>
        <x:v>Selected</x:v>
      </x:c>
    </x:row>
    <x:row r="1439" ht="20" customHeight="1">
      <x:c r="A1439" s="9" t="n">
        <x:v>46317</x:v>
      </x:c>
      <x:c r="B1439" s="2" t="str">
        <x:v>MM-2008</x:v>
      </x:c>
      <x:c r="C1439" s="2" t="str">
        <x:v>Organic Search</x:v>
      </x:c>
      <x:c r="D1439" s="2" t="str">
        <x:v>HAT-001</x:v>
      </x:c>
      <x:c r="E1439" s="2" t="str">
        <x:f>_xlfn.IFNA(VLOOKUP(D1439,'Products'!$A$7:$I$22,2,FALSE),"Unmapped")</x:f>
        <x:v>Classic canvas cap</x:v>
      </x:c>
      <x:c r="F1439" s="2" t="str">
        <x:f>_xlfn.IFNA(VLOOKUP(D1439,'Products'!$A$7:$I$22,3,FALSE),"Unmapped")</x:f>
        <x:v>Accessories</x:v>
      </x:c>
      <x:c r="G1439" s="2" t="n">
        <x:v>1</x:v>
      </x:c>
      <x:c r="H1439" s="2" t="n">
        <x:v>0</x:v>
      </x:c>
      <x:c r="I1439" s="10" t="n">
        <x:v>24.95</x:v>
      </x:c>
      <x:c r="J1439" s="10" t="n">
        <x:v>0</x:v>
      </x:c>
      <x:c r="K1439" s="10" t="n">
        <x:v>8.5</x:v>
      </x:c>
      <x:c r="L1439" s="10" t="n">
        <x:f>G1439*I1439</x:f>
        <x:v>24.95</x:v>
      </x:c>
      <x:c r="M1439" s="10" t="n">
        <x:f>ROUND((L1439-J1439)*H1439/G1439,2)</x:f>
        <x:v>0</x:v>
      </x:c>
      <x:c r="N1439" s="10" t="n">
        <x:f>L1439-J1439-M1439</x:f>
        <x:v>24.95</x:v>
      </x:c>
      <x:c r="O1439" s="10" t="n">
        <x:f>(G1439-H1439)*K1439</x:f>
        <x:v>8.5</x:v>
      </x:c>
      <x:c r="P1439" s="10" t="n">
        <x:f>N1439-O1439</x:f>
        <x:v>16.45</x:v>
      </x:c>
      <x:c r="Q1439" s="9" t="n">
        <x:f>A1439-WEEKDAY(A1439,2)+1</x:f>
        <x:v>46314</x:v>
      </x:c>
      <x:c r="R1439" s="2" t="str">
        <x:f>IF(AND(A1439&gt;='Review'!$B$4,A1439&lt;='Review'!$D$4),"Selected","Outside")</x:f>
        <x:v>Selected</x:v>
      </x:c>
    </x:row>
    <x:row r="1440" ht="20" customHeight="1">
      <x:c r="A1440" s="9" t="n">
        <x:v>46317</x:v>
      </x:c>
      <x:c r="B1440" s="2" t="str">
        <x:v>MM-2008</x:v>
      </x:c>
      <x:c r="C1440" s="2" t="str">
        <x:v>Organic Search</x:v>
      </x:c>
      <x:c r="D1440" s="2" t="str">
        <x:v>KEY-001</x:v>
      </x:c>
      <x:c r="E1440" s="2" t="str">
        <x:f>_xlfn.IFNA(VLOOKUP(D1440,'Products'!$A$7:$I$22,2,FALSE),"Unmapped")</x:f>
        <x:v>Maple keyring</x:v>
      </x:c>
      <x:c r="F1440" s="2" t="str">
        <x:f>_xlfn.IFNA(VLOOKUP(D1440,'Products'!$A$7:$I$22,3,FALSE),"Unmapped")</x:f>
        <x:v>Accessories</x:v>
      </x:c>
      <x:c r="G1440" s="2" t="n">
        <x:v>1</x:v>
      </x:c>
      <x:c r="H1440" s="2" t="n">
        <x:v>0</x:v>
      </x:c>
      <x:c r="I1440" s="10" t="n">
        <x:v>12.95</x:v>
      </x:c>
      <x:c r="J1440" s="10" t="n">
        <x:v>0</x:v>
      </x:c>
      <x:c r="K1440" s="10" t="n">
        <x:v>3.5</x:v>
      </x:c>
      <x:c r="L1440" s="10" t="n">
        <x:f>G1440*I1440</x:f>
        <x:v>12.95</x:v>
      </x:c>
      <x:c r="M1440" s="10" t="n">
        <x:f>ROUND((L1440-J1440)*H1440/G1440,2)</x:f>
        <x:v>0</x:v>
      </x:c>
      <x:c r="N1440" s="10" t="n">
        <x:f>L1440-J1440-M1440</x:f>
        <x:v>12.95</x:v>
      </x:c>
      <x:c r="O1440" s="10" t="n">
        <x:f>(G1440-H1440)*K1440</x:f>
        <x:v>3.5</x:v>
      </x:c>
      <x:c r="P1440" s="10" t="n">
        <x:f>N1440-O1440</x:f>
        <x:v>9.45</x:v>
      </x:c>
      <x:c r="Q1440" s="9" t="n">
        <x:f>A1440-WEEKDAY(A1440,2)+1</x:f>
        <x:v>46314</x:v>
      </x:c>
      <x:c r="R1440" s="2" t="str">
        <x:f>IF(AND(A1440&gt;='Review'!$B$4,A1440&lt;='Review'!$D$4),"Selected","Outside")</x:f>
        <x:v>Selected</x:v>
      </x:c>
    </x:row>
    <x:row r="1441" ht="20" customHeight="1">
      <x:c r="A1441" s="9" t="n">
        <x:v>46318</x:v>
      </x:c>
      <x:c r="B1441" s="2" t="str">
        <x:v>MM-2016</x:v>
      </x:c>
      <x:c r="C1441" s="2" t="str">
        <x:v>Paid Social</x:v>
      </x:c>
      <x:c r="D1441" s="2" t="str">
        <x:v>KEY-001</x:v>
      </x:c>
      <x:c r="E1441" s="2" t="str">
        <x:f>_xlfn.IFNA(VLOOKUP(D1441,'Products'!$A$7:$I$22,2,FALSE),"Unmapped")</x:f>
        <x:v>Maple keyring</x:v>
      </x:c>
      <x:c r="F1441" s="2" t="str">
        <x:f>_xlfn.IFNA(VLOOKUP(D1441,'Products'!$A$7:$I$22,3,FALSE),"Unmapped")</x:f>
        <x:v>Accessories</x:v>
      </x:c>
      <x:c r="G1441" s="2" t="n">
        <x:v>1</x:v>
      </x:c>
      <x:c r="H1441" s="2" t="n">
        <x:v>0</x:v>
      </x:c>
      <x:c r="I1441" s="10" t="n">
        <x:v>12.95</x:v>
      </x:c>
      <x:c r="J1441" s="10" t="n">
        <x:v>0</x:v>
      </x:c>
      <x:c r="K1441" s="10" t="n">
        <x:v>3.5</x:v>
      </x:c>
      <x:c r="L1441" s="10" t="n">
        <x:f>G1441*I1441</x:f>
        <x:v>12.95</x:v>
      </x:c>
      <x:c r="M1441" s="10" t="n">
        <x:f>ROUND((L1441-J1441)*H1441/G1441,2)</x:f>
        <x:v>0</x:v>
      </x:c>
      <x:c r="N1441" s="10" t="n">
        <x:f>L1441-J1441-M1441</x:f>
        <x:v>12.95</x:v>
      </x:c>
      <x:c r="O1441" s="10" t="n">
        <x:f>(G1441-H1441)*K1441</x:f>
        <x:v>3.5</x:v>
      </x:c>
      <x:c r="P1441" s="10" t="n">
        <x:f>N1441-O1441</x:f>
        <x:v>9.45</x:v>
      </x:c>
      <x:c r="Q1441" s="9" t="n">
        <x:f>A1441-WEEKDAY(A1441,2)+1</x:f>
        <x:v>46314</x:v>
      </x:c>
      <x:c r="R1441" s="2" t="str">
        <x:f>IF(AND(A1441&gt;='Review'!$B$4,A1441&lt;='Review'!$D$4),"Selected","Outside")</x:f>
        <x:v>Selected</x:v>
      </x:c>
    </x:row>
    <x:row r="1442" ht="20" customHeight="1">
      <x:c r="A1442" s="9" t="n">
        <x:v>46318</x:v>
      </x:c>
      <x:c r="B1442" s="2" t="str">
        <x:v>MM-2028</x:v>
      </x:c>
      <x:c r="C1442" s="2" t="str">
        <x:v>Email</x:v>
      </x:c>
      <x:c r="D1442" s="2" t="str">
        <x:v>APP-002</x:v>
      </x:c>
      <x:c r="E1442" s="2" t="str">
        <x:f>_xlfn.IFNA(VLOOKUP(D1442,'Products'!$A$7:$I$22,2,FALSE),"Unmapped")</x:f>
        <x:v>Weekend hoodie</x:v>
      </x:c>
      <x:c r="F1442" s="2" t="str">
        <x:f>_xlfn.IFNA(VLOOKUP(D1442,'Products'!$A$7:$I$22,3,FALSE),"Unmapped")</x:f>
        <x:v>Apparel</x:v>
      </x:c>
      <x:c r="G1442" s="2" t="n">
        <x:v>1</x:v>
      </x:c>
      <x:c r="H1442" s="2" t="n">
        <x:v>0</x:v>
      </x:c>
      <x:c r="I1442" s="10" t="n">
        <x:v>69.95</x:v>
      </x:c>
      <x:c r="J1442" s="10" t="n">
        <x:v>6.99</x:v>
      </x:c>
      <x:c r="K1442" s="10" t="n">
        <x:v>28</x:v>
      </x:c>
      <x:c r="L1442" s="10" t="n">
        <x:f>G1442*I1442</x:f>
        <x:v>69.95</x:v>
      </x:c>
      <x:c r="M1442" s="10" t="n">
        <x:f>ROUND((L1442-J1442)*H1442/G1442,2)</x:f>
        <x:v>0</x:v>
      </x:c>
      <x:c r="N1442" s="10" t="n">
        <x:f>L1442-J1442-M1442</x:f>
        <x:v>62.96</x:v>
      </x:c>
      <x:c r="O1442" s="10" t="n">
        <x:f>(G1442-H1442)*K1442</x:f>
        <x:v>28</x:v>
      </x:c>
      <x:c r="P1442" s="10" t="n">
        <x:f>N1442-O1442</x:f>
        <x:v>34.96</x:v>
      </x:c>
      <x:c r="Q1442" s="9" t="n">
        <x:f>A1442-WEEKDAY(A1442,2)+1</x:f>
        <x:v>46314</x:v>
      </x:c>
      <x:c r="R1442" s="2" t="str">
        <x:f>IF(AND(A1442&gt;='Review'!$B$4,A1442&lt;='Review'!$D$4),"Selected","Outside")</x:f>
        <x:v>Selected</x:v>
      </x:c>
    </x:row>
    <x:row r="1443" ht="20" customHeight="1">
      <x:c r="A1443" s="9" t="n">
        <x:v>46318</x:v>
      </x:c>
      <x:c r="B1443" s="2" t="str">
        <x:v>MM-2031</x:v>
      </x:c>
      <x:c r="C1443" s="2" t="str">
        <x:v>Paid Social</x:v>
      </x:c>
      <x:c r="D1443" s="2" t="str">
        <x:v>TOTE-001</x:v>
      </x:c>
      <x:c r="E1443" s="2" t="str">
        <x:f>_xlfn.IFNA(VLOOKUP(D1443,'Products'!$A$7:$I$22,2,FALSE),"Unmapped")</x:f>
        <x:v>Market canvas tote</x:v>
      </x:c>
      <x:c r="F1443" s="2" t="str">
        <x:f>_xlfn.IFNA(VLOOKUP(D1443,'Products'!$A$7:$I$22,3,FALSE),"Unmapped")</x:f>
        <x:v>Accessories</x:v>
      </x:c>
      <x:c r="G1443" s="2" t="n">
        <x:v>1</x:v>
      </x:c>
      <x:c r="H1443" s="2" t="n">
        <x:v>0</x:v>
      </x:c>
      <x:c r="I1443" s="10" t="n">
        <x:v>19.95</x:v>
      </x:c>
      <x:c r="J1443" s="10" t="n">
        <x:v>0</x:v>
      </x:c>
      <x:c r="K1443" s="10" t="n">
        <x:v>6</x:v>
      </x:c>
      <x:c r="L1443" s="10" t="n">
        <x:f>G1443*I1443</x:f>
        <x:v>19.95</x:v>
      </x:c>
      <x:c r="M1443" s="10" t="n">
        <x:f>ROUND((L1443-J1443)*H1443/G1443,2)</x:f>
        <x:v>0</x:v>
      </x:c>
      <x:c r="N1443" s="10" t="n">
        <x:f>L1443-J1443-M1443</x:f>
        <x:v>19.95</x:v>
      </x:c>
      <x:c r="O1443" s="10" t="n">
        <x:f>(G1443-H1443)*K1443</x:f>
        <x:v>6</x:v>
      </x:c>
      <x:c r="P1443" s="10" t="n">
        <x:f>N1443-O1443</x:f>
        <x:v>13.95</x:v>
      </x:c>
      <x:c r="Q1443" s="9" t="n">
        <x:f>A1443-WEEKDAY(A1443,2)+1</x:f>
        <x:v>46314</x:v>
      </x:c>
      <x:c r="R1443" s="2" t="str">
        <x:f>IF(AND(A1443&gt;='Review'!$B$4,A1443&lt;='Review'!$D$4),"Selected","Outside")</x:f>
        <x:v>Selected</x:v>
      </x:c>
    </x:row>
    <x:row r="1444" ht="20" customHeight="1">
      <x:c r="A1444" s="9" t="n">
        <x:v>46318</x:v>
      </x:c>
      <x:c r="B1444" s="2" t="str">
        <x:v>MM-2031</x:v>
      </x:c>
      <x:c r="C1444" s="2" t="str">
        <x:v>Paid Social</x:v>
      </x:c>
      <x:c r="D1444" s="2" t="str">
        <x:v>HAT-001</x:v>
      </x:c>
      <x:c r="E1444" s="2" t="str">
        <x:f>_xlfn.IFNA(VLOOKUP(D1444,'Products'!$A$7:$I$22,2,FALSE),"Unmapped")</x:f>
        <x:v>Classic canvas cap</x:v>
      </x:c>
      <x:c r="F1444" s="2" t="str">
        <x:f>_xlfn.IFNA(VLOOKUP(D1444,'Products'!$A$7:$I$22,3,FALSE),"Unmapped")</x:f>
        <x:v>Accessories</x:v>
      </x:c>
      <x:c r="G1444" s="2" t="n">
        <x:v>1</x:v>
      </x:c>
      <x:c r="H1444" s="2" t="n">
        <x:v>0</x:v>
      </x:c>
      <x:c r="I1444" s="10" t="n">
        <x:v>24.95</x:v>
      </x:c>
      <x:c r="J1444" s="10" t="n">
        <x:v>0</x:v>
      </x:c>
      <x:c r="K1444" s="10" t="n">
        <x:v>8.5</x:v>
      </x:c>
      <x:c r="L1444" s="10" t="n">
        <x:f>G1444*I1444</x:f>
        <x:v>24.95</x:v>
      </x:c>
      <x:c r="M1444" s="10" t="n">
        <x:f>ROUND((L1444-J1444)*H1444/G1444,2)</x:f>
        <x:v>0</x:v>
      </x:c>
      <x:c r="N1444" s="10" t="n">
        <x:f>L1444-J1444-M1444</x:f>
        <x:v>24.95</x:v>
      </x:c>
      <x:c r="O1444" s="10" t="n">
        <x:f>(G1444-H1444)*K1444</x:f>
        <x:v>8.5</x:v>
      </x:c>
      <x:c r="P1444" s="10" t="n">
        <x:f>N1444-O1444</x:f>
        <x:v>16.45</x:v>
      </x:c>
      <x:c r="Q1444" s="9" t="n">
        <x:f>A1444-WEEKDAY(A1444,2)+1</x:f>
        <x:v>46314</x:v>
      </x:c>
      <x:c r="R1444" s="2" t="str">
        <x:f>IF(AND(A1444&gt;='Review'!$B$4,A1444&lt;='Review'!$D$4),"Selected","Outside")</x:f>
        <x:v>Selected</x:v>
      </x:c>
    </x:row>
    <x:row r="1445" ht="20" customHeight="1">
      <x:c r="A1445" s="9" t="n">
        <x:v>46318</x:v>
      </x:c>
      <x:c r="B1445" s="2" t="str">
        <x:v>MM-2025</x:v>
      </x:c>
      <x:c r="C1445" s="2" t="str">
        <x:v>Email</x:v>
      </x:c>
      <x:c r="D1445" s="2" t="str">
        <x:v>TOTE-001</x:v>
      </x:c>
      <x:c r="E1445" s="2" t="str">
        <x:f>_xlfn.IFNA(VLOOKUP(D1445,'Products'!$A$7:$I$22,2,FALSE),"Unmapped")</x:f>
        <x:v>Market canvas tote</x:v>
      </x:c>
      <x:c r="F1445" s="2" t="str">
        <x:f>_xlfn.IFNA(VLOOKUP(D1445,'Products'!$A$7:$I$22,3,FALSE),"Unmapped")</x:f>
        <x:v>Accessories</x:v>
      </x:c>
      <x:c r="G1445" s="2" t="n">
        <x:v>2</x:v>
      </x:c>
      <x:c r="H1445" s="2" t="n">
        <x:v>0</x:v>
      </x:c>
      <x:c r="I1445" s="10" t="n">
        <x:v>19.95</x:v>
      </x:c>
      <x:c r="J1445" s="10" t="n">
        <x:v>3.99</x:v>
      </x:c>
      <x:c r="K1445" s="10" t="n">
        <x:v>6</x:v>
      </x:c>
      <x:c r="L1445" s="10" t="n">
        <x:f>G1445*I1445</x:f>
        <x:v>39.9</x:v>
      </x:c>
      <x:c r="M1445" s="10" t="n">
        <x:f>ROUND((L1445-J1445)*H1445/G1445,2)</x:f>
        <x:v>0</x:v>
      </x:c>
      <x:c r="N1445" s="10" t="n">
        <x:f>L1445-J1445-M1445</x:f>
        <x:v>35.91</x:v>
      </x:c>
      <x:c r="O1445" s="10" t="n">
        <x:f>(G1445-H1445)*K1445</x:f>
        <x:v>12</x:v>
      </x:c>
      <x:c r="P1445" s="10" t="n">
        <x:f>N1445-O1445</x:f>
        <x:v>23.909999999999997</x:v>
      </x:c>
      <x:c r="Q1445" s="9" t="n">
        <x:f>A1445-WEEKDAY(A1445,2)+1</x:f>
        <x:v>46314</x:v>
      </x:c>
      <x:c r="R1445" s="2" t="str">
        <x:f>IF(AND(A1445&gt;='Review'!$B$4,A1445&lt;='Review'!$D$4),"Selected","Outside")</x:f>
        <x:v>Selected</x:v>
      </x:c>
    </x:row>
    <x:row r="1446" ht="20" customHeight="1">
      <x:c r="A1446" s="9" t="n">
        <x:v>46318</x:v>
      </x:c>
      <x:c r="B1446" s="2" t="str">
        <x:v>MM-2025</x:v>
      </x:c>
      <x:c r="C1446" s="2" t="str">
        <x:v>Email</x:v>
      </x:c>
      <x:c r="D1446" s="2" t="str">
        <x:v>GFT-002</x:v>
      </x:c>
      <x:c r="E1446" s="2" t="str">
        <x:f>_xlfn.IFNA(VLOOKUP(D1446,'Products'!$A$7:$I$22,2,FALSE),"Unmapped")</x:f>
        <x:v>Cozy weekend gift box</x:v>
      </x:c>
      <x:c r="F1446" s="2" t="str">
        <x:f>_xlfn.IFNA(VLOOKUP(D1446,'Products'!$A$7:$I$22,3,FALSE),"Unmapped")</x:f>
        <x:v>Gifts</x:v>
      </x:c>
      <x:c r="G1446" s="2" t="n">
        <x:v>1</x:v>
      </x:c>
      <x:c r="H1446" s="2" t="n">
        <x:v>0</x:v>
      </x:c>
      <x:c r="I1446" s="10" t="n">
        <x:v>79.95</x:v>
      </x:c>
      <x:c r="J1446" s="10" t="n">
        <x:v>7.99</x:v>
      </x:c>
      <x:c r="K1446" s="10" t="n">
        <x:v>32</x:v>
      </x:c>
      <x:c r="L1446" s="10" t="n">
        <x:f>G1446*I1446</x:f>
        <x:v>79.95</x:v>
      </x:c>
      <x:c r="M1446" s="10" t="n">
        <x:f>ROUND((L1446-J1446)*H1446/G1446,2)</x:f>
        <x:v>0</x:v>
      </x:c>
      <x:c r="N1446" s="10" t="n">
        <x:f>L1446-J1446-M1446</x:f>
        <x:v>71.96000000000001</x:v>
      </x:c>
      <x:c r="O1446" s="10" t="n">
        <x:f>(G1446-H1446)*K1446</x:f>
        <x:v>32</x:v>
      </x:c>
      <x:c r="P1446" s="10" t="n">
        <x:f>N1446-O1446</x:f>
        <x:v>39.96000000000001</x:v>
      </x:c>
      <x:c r="Q1446" s="9" t="n">
        <x:f>A1446-WEEKDAY(A1446,2)+1</x:f>
        <x:v>46314</x:v>
      </x:c>
      <x:c r="R1446" s="2" t="str">
        <x:f>IF(AND(A1446&gt;='Review'!$B$4,A1446&lt;='Review'!$D$4),"Selected","Outside")</x:f>
        <x:v>Selected</x:v>
      </x:c>
    </x:row>
    <x:row r="1447" ht="20" customHeight="1">
      <x:c r="A1447" s="9" t="n">
        <x:v>46318</x:v>
      </x:c>
      <x:c r="B1447" s="2" t="str">
        <x:v>MM-2024</x:v>
      </x:c>
      <x:c r="C1447" s="2" t="str">
        <x:v>Email</x:v>
      </x:c>
      <x:c r="D1447" s="2" t="str">
        <x:v>GFT-001</x:v>
      </x:c>
      <x:c r="E1447" s="2" t="str">
        <x:f>_xlfn.IFNA(VLOOKUP(D1447,'Products'!$A$7:$I$22,2,FALSE),"Unmapped")</x:f>
        <x:v>Morning ritual gift set</x:v>
      </x:c>
      <x:c r="F1447" s="2" t="str">
        <x:f>_xlfn.IFNA(VLOOKUP(D1447,'Products'!$A$7:$I$22,3,FALSE),"Unmapped")</x:f>
        <x:v>Gifts</x:v>
      </x:c>
      <x:c r="G1447" s="2" t="n">
        <x:v>1</x:v>
      </x:c>
      <x:c r="H1447" s="2" t="n">
        <x:v>0</x:v>
      </x:c>
      <x:c r="I1447" s="10" t="n">
        <x:v>59.95</x:v>
      </x:c>
      <x:c r="J1447" s="10" t="n">
        <x:v>5.99</x:v>
      </x:c>
      <x:c r="K1447" s="10" t="n">
        <x:v>24</x:v>
      </x:c>
      <x:c r="L1447" s="10" t="n">
        <x:f>G1447*I1447</x:f>
        <x:v>59.95</x:v>
      </x:c>
      <x:c r="M1447" s="10" t="n">
        <x:f>ROUND((L1447-J1447)*H1447/G1447,2)</x:f>
        <x:v>0</x:v>
      </x:c>
      <x:c r="N1447" s="10" t="n">
        <x:f>L1447-J1447-M1447</x:f>
        <x:v>53.96</x:v>
      </x:c>
      <x:c r="O1447" s="10" t="n">
        <x:f>(G1447-H1447)*K1447</x:f>
        <x:v>24</x:v>
      </x:c>
      <x:c r="P1447" s="10" t="n">
        <x:f>N1447-O1447</x:f>
        <x:v>29.96</x:v>
      </x:c>
      <x:c r="Q1447" s="9" t="n">
        <x:f>A1447-WEEKDAY(A1447,2)+1</x:f>
        <x:v>46314</x:v>
      </x:c>
      <x:c r="R1447" s="2" t="str">
        <x:f>IF(AND(A1447&gt;='Review'!$B$4,A1447&lt;='Review'!$D$4),"Selected","Outside")</x:f>
        <x:v>Selected</x:v>
      </x:c>
    </x:row>
    <x:row r="1448" ht="20" customHeight="1">
      <x:c r="A1448" s="9" t="n">
        <x:v>46318</x:v>
      </x:c>
      <x:c r="B1448" s="2" t="str">
        <x:v>MM-2032</x:v>
      </x:c>
      <x:c r="C1448" s="2" t="str">
        <x:v>Organic Search</x:v>
      </x:c>
      <x:c r="D1448" s="2" t="str">
        <x:v>PIN-001</x:v>
      </x:c>
      <x:c r="E1448" s="2" t="str">
        <x:f>_xlfn.IFNA(VLOOKUP(D1448,'Products'!$A$7:$I$22,2,FALSE),"Unmapped")</x:f>
        <x:v>Coffee enamel pin</x:v>
      </x:c>
      <x:c r="F1448" s="2" t="str">
        <x:f>_xlfn.IFNA(VLOOKUP(D1448,'Products'!$A$7:$I$22,3,FALSE),"Unmapped")</x:f>
        <x:v>Accessories</x:v>
      </x:c>
      <x:c r="G1448" s="2" t="n">
        <x:v>1</x:v>
      </x:c>
      <x:c r="H1448" s="2" t="n">
        <x:v>0</x:v>
      </x:c>
      <x:c r="I1448" s="10" t="n">
        <x:v>9.95</x:v>
      </x:c>
      <x:c r="J1448" s="10" t="n">
        <x:v>0</x:v>
      </x:c>
      <x:c r="K1448" s="10" t="n">
        <x:v>2.5</x:v>
      </x:c>
      <x:c r="L1448" s="10" t="n">
        <x:f>G1448*I1448</x:f>
        <x:v>9.95</x:v>
      </x:c>
      <x:c r="M1448" s="10" t="n">
        <x:f>ROUND((L1448-J1448)*H1448/G1448,2)</x:f>
        <x:v>0</x:v>
      </x:c>
      <x:c r="N1448" s="10" t="n">
        <x:f>L1448-J1448-M1448</x:f>
        <x:v>9.95</x:v>
      </x:c>
      <x:c r="O1448" s="10" t="n">
        <x:f>(G1448-H1448)*K1448</x:f>
        <x:v>2.5</x:v>
      </x:c>
      <x:c r="P1448" s="10" t="n">
        <x:f>N1448-O1448</x:f>
        <x:v>7.449999999999999</x:v>
      </x:c>
      <x:c r="Q1448" s="9" t="n">
        <x:f>A1448-WEEKDAY(A1448,2)+1</x:f>
        <x:v>46314</x:v>
      </x:c>
      <x:c r="R1448" s="2" t="str">
        <x:f>IF(AND(A1448&gt;='Review'!$B$4,A1448&lt;='Review'!$D$4),"Selected","Outside")</x:f>
        <x:v>Selected</x:v>
      </x:c>
    </x:row>
    <x:row r="1449" ht="20" customHeight="1">
      <x:c r="A1449" s="9" t="n">
        <x:v>46318</x:v>
      </x:c>
      <x:c r="B1449" s="2" t="str">
        <x:v>MM-2032</x:v>
      </x:c>
      <x:c r="C1449" s="2" t="str">
        <x:v>Organic Search</x:v>
      </x:c>
      <x:c r="D1449" s="2" t="str">
        <x:v>MUG-002</x:v>
      </x:c>
      <x:c r="E1449" s="2" t="str">
        <x:f>_xlfn.IFNA(VLOOKUP(D1449,'Products'!$A$7:$I$22,2,FALSE),"Unmapped")</x:f>
        <x:v>Campfire enamel mug</x:v>
      </x:c>
      <x:c r="F1449" s="2" t="str">
        <x:f>_xlfn.IFNA(VLOOKUP(D1449,'Products'!$A$7:$I$22,3,FALSE),"Unmapped")</x:f>
        <x:v>Drinkware</x:v>
      </x:c>
      <x:c r="G1449" s="2" t="n">
        <x:v>1</x:v>
      </x:c>
      <x:c r="H1449" s="2" t="n">
        <x:v>0</x:v>
      </x:c>
      <x:c r="I1449" s="10" t="n">
        <x:v>22.95</x:v>
      </x:c>
      <x:c r="J1449" s="10" t="n">
        <x:v>0</x:v>
      </x:c>
      <x:c r="K1449" s="10" t="n">
        <x:v>8.5</x:v>
      </x:c>
      <x:c r="L1449" s="10" t="n">
        <x:f>G1449*I1449</x:f>
        <x:v>22.95</x:v>
      </x:c>
      <x:c r="M1449" s="10" t="n">
        <x:f>ROUND((L1449-J1449)*H1449/G1449,2)</x:f>
        <x:v>0</x:v>
      </x:c>
      <x:c r="N1449" s="10" t="n">
        <x:f>L1449-J1449-M1449</x:f>
        <x:v>22.95</x:v>
      </x:c>
      <x:c r="O1449" s="10" t="n">
        <x:f>(G1449-H1449)*K1449</x:f>
        <x:v>8.5</x:v>
      </x:c>
      <x:c r="P1449" s="10" t="n">
        <x:f>N1449-O1449</x:f>
        <x:v>14.45</x:v>
      </x:c>
      <x:c r="Q1449" s="9" t="n">
        <x:f>A1449-WEEKDAY(A1449,2)+1</x:f>
        <x:v>46314</x:v>
      </x:c>
      <x:c r="R1449" s="2" t="str">
        <x:f>IF(AND(A1449&gt;='Review'!$B$4,A1449&lt;='Review'!$D$4),"Selected","Outside")</x:f>
        <x:v>Selected</x:v>
      </x:c>
    </x:row>
    <x:row r="1450" ht="20" customHeight="1">
      <x:c r="A1450" s="9" t="n">
        <x:v>46318</x:v>
      </x:c>
      <x:c r="B1450" s="2" t="str">
        <x:v>MM-2032</x:v>
      </x:c>
      <x:c r="C1450" s="2" t="str">
        <x:v>Organic Search</x:v>
      </x:c>
      <x:c r="D1450" s="2" t="str">
        <x:v>GFT-001</x:v>
      </x:c>
      <x:c r="E1450" s="2" t="str">
        <x:f>_xlfn.IFNA(VLOOKUP(D1450,'Products'!$A$7:$I$22,2,FALSE),"Unmapped")</x:f>
        <x:v>Morning ritual gift set</x:v>
      </x:c>
      <x:c r="F1450" s="2" t="str">
        <x:f>_xlfn.IFNA(VLOOKUP(D1450,'Products'!$A$7:$I$22,3,FALSE),"Unmapped")</x:f>
        <x:v>Gifts</x:v>
      </x:c>
      <x:c r="G1450" s="2" t="n">
        <x:v>1</x:v>
      </x:c>
      <x:c r="H1450" s="2" t="n">
        <x:v>0</x:v>
      </x:c>
      <x:c r="I1450" s="10" t="n">
        <x:v>59.95</x:v>
      </x:c>
      <x:c r="J1450" s="10" t="n">
        <x:v>0</x:v>
      </x:c>
      <x:c r="K1450" s="10" t="n">
        <x:v>24</x:v>
      </x:c>
      <x:c r="L1450" s="10" t="n">
        <x:f>G1450*I1450</x:f>
        <x:v>59.95</x:v>
      </x:c>
      <x:c r="M1450" s="10" t="n">
        <x:f>ROUND((L1450-J1450)*H1450/G1450,2)</x:f>
        <x:v>0</x:v>
      </x:c>
      <x:c r="N1450" s="10" t="n">
        <x:f>L1450-J1450-M1450</x:f>
        <x:v>59.95</x:v>
      </x:c>
      <x:c r="O1450" s="10" t="n">
        <x:f>(G1450-H1450)*K1450</x:f>
        <x:v>24</x:v>
      </x:c>
      <x:c r="P1450" s="10" t="n">
        <x:f>N1450-O1450</x:f>
        <x:v>35.95</x:v>
      </x:c>
      <x:c r="Q1450" s="9" t="n">
        <x:f>A1450-WEEKDAY(A1450,2)+1</x:f>
        <x:v>46314</x:v>
      </x:c>
      <x:c r="R1450" s="2" t="str">
        <x:f>IF(AND(A1450&gt;='Review'!$B$4,A1450&lt;='Review'!$D$4),"Selected","Outside")</x:f>
        <x:v>Selected</x:v>
      </x:c>
    </x:row>
    <x:row r="1451" ht="20" customHeight="1">
      <x:c r="A1451" s="9" t="n">
        <x:v>46318</x:v>
      </x:c>
      <x:c r="B1451" s="2" t="str">
        <x:v>MM-2023</x:v>
      </x:c>
      <x:c r="C1451" s="2" t="str">
        <x:v>Organic Search</x:v>
      </x:c>
      <x:c r="D1451" s="2" t="str">
        <x:v>MUG-001</x:v>
      </x:c>
      <x:c r="E1451" s="2" t="str">
        <x:f>_xlfn.IFNA(VLOOKUP(D1451,'Products'!$A$7:$I$22,2,FALSE),"Unmapped")</x:f>
        <x:v>Everyday ceramic mug</x:v>
      </x:c>
      <x:c r="F1451" s="2" t="str">
        <x:f>_xlfn.IFNA(VLOOKUP(D1451,'Products'!$A$7:$I$22,3,FALSE),"Unmapped")</x:f>
        <x:v>Drinkware</x:v>
      </x:c>
      <x:c r="G1451" s="2" t="n">
        <x:v>2</x:v>
      </x:c>
      <x:c r="H1451" s="2" t="n">
        <x:v>0</x:v>
      </x:c>
      <x:c r="I1451" s="10" t="n">
        <x:v>18.95</x:v>
      </x:c>
      <x:c r="J1451" s="10" t="n">
        <x:v>0</x:v>
      </x:c>
      <x:c r="K1451" s="10" t="n">
        <x:v>6.5</x:v>
      </x:c>
      <x:c r="L1451" s="10" t="n">
        <x:f>G1451*I1451</x:f>
        <x:v>37.9</x:v>
      </x:c>
      <x:c r="M1451" s="10" t="n">
        <x:f>ROUND((L1451-J1451)*H1451/G1451,2)</x:f>
        <x:v>0</x:v>
      </x:c>
      <x:c r="N1451" s="10" t="n">
        <x:f>L1451-J1451-M1451</x:f>
        <x:v>37.9</x:v>
      </x:c>
      <x:c r="O1451" s="10" t="n">
        <x:f>(G1451-H1451)*K1451</x:f>
        <x:v>13</x:v>
      </x:c>
      <x:c r="P1451" s="10" t="n">
        <x:f>N1451-O1451</x:f>
        <x:v>24.9</x:v>
      </x:c>
      <x:c r="Q1451" s="9" t="n">
        <x:f>A1451-WEEKDAY(A1451,2)+1</x:f>
        <x:v>46314</x:v>
      </x:c>
      <x:c r="R1451" s="2" t="str">
        <x:f>IF(AND(A1451&gt;='Review'!$B$4,A1451&lt;='Review'!$D$4),"Selected","Outside")</x:f>
        <x:v>Selected</x:v>
      </x:c>
    </x:row>
    <x:row r="1452" ht="20" customHeight="1">
      <x:c r="A1452" s="9" t="n">
        <x:v>46318</x:v>
      </x:c>
      <x:c r="B1452" s="2" t="str">
        <x:v>MM-2018</x:v>
      </x:c>
      <x:c r="C1452" s="2" t="str">
        <x:v>Email</x:v>
      </x:c>
      <x:c r="D1452" s="2" t="str">
        <x:v>MUG-002</x:v>
      </x:c>
      <x:c r="E1452" s="2" t="str">
        <x:f>_xlfn.IFNA(VLOOKUP(D1452,'Products'!$A$7:$I$22,2,FALSE),"Unmapped")</x:f>
        <x:v>Campfire enamel mug</x:v>
      </x:c>
      <x:c r="F1452" s="2" t="str">
        <x:f>_xlfn.IFNA(VLOOKUP(D1452,'Products'!$A$7:$I$22,3,FALSE),"Unmapped")</x:f>
        <x:v>Drinkware</x:v>
      </x:c>
      <x:c r="G1452" s="2" t="n">
        <x:v>2</x:v>
      </x:c>
      <x:c r="H1452" s="2" t="n">
        <x:v>0</x:v>
      </x:c>
      <x:c r="I1452" s="10" t="n">
        <x:v>22.95</x:v>
      </x:c>
      <x:c r="J1452" s="10" t="n">
        <x:v>4.59</x:v>
      </x:c>
      <x:c r="K1452" s="10" t="n">
        <x:v>8.5</x:v>
      </x:c>
      <x:c r="L1452" s="10" t="n">
        <x:f>G1452*I1452</x:f>
        <x:v>45.9</x:v>
      </x:c>
      <x:c r="M1452" s="10" t="n">
        <x:f>ROUND((L1452-J1452)*H1452/G1452,2)</x:f>
        <x:v>0</x:v>
      </x:c>
      <x:c r="N1452" s="10" t="n">
        <x:f>L1452-J1452-M1452</x:f>
        <x:v>41.31</x:v>
      </x:c>
      <x:c r="O1452" s="10" t="n">
        <x:f>(G1452-H1452)*K1452</x:f>
        <x:v>17</x:v>
      </x:c>
      <x:c r="P1452" s="10" t="n">
        <x:f>N1452-O1452</x:f>
        <x:v>24.310000000000002</x:v>
      </x:c>
      <x:c r="Q1452" s="9" t="n">
        <x:f>A1452-WEEKDAY(A1452,2)+1</x:f>
        <x:v>46314</x:v>
      </x:c>
      <x:c r="R1452" s="2" t="str">
        <x:f>IF(AND(A1452&gt;='Review'!$B$4,A1452&lt;='Review'!$D$4),"Selected","Outside")</x:f>
        <x:v>Selected</x:v>
      </x:c>
    </x:row>
    <x:row r="1453" ht="20" customHeight="1">
      <x:c r="A1453" s="9" t="n">
        <x:v>46318</x:v>
      </x:c>
      <x:c r="B1453" s="2" t="str">
        <x:v>MM-2022</x:v>
      </x:c>
      <x:c r="C1453" s="2" t="str">
        <x:v>Organic Search</x:v>
      </x:c>
      <x:c r="D1453" s="2" t="str">
        <x:v>GFT-001</x:v>
      </x:c>
      <x:c r="E1453" s="2" t="str">
        <x:f>_xlfn.IFNA(VLOOKUP(D1453,'Products'!$A$7:$I$22,2,FALSE),"Unmapped")</x:f>
        <x:v>Morning ritual gift set</x:v>
      </x:c>
      <x:c r="F1453" s="2" t="str">
        <x:f>_xlfn.IFNA(VLOOKUP(D1453,'Products'!$A$7:$I$22,3,FALSE),"Unmapped")</x:f>
        <x:v>Gifts</x:v>
      </x:c>
      <x:c r="G1453" s="2" t="n">
        <x:v>1</x:v>
      </x:c>
      <x:c r="H1453" s="2" t="n">
        <x:v>0</x:v>
      </x:c>
      <x:c r="I1453" s="10" t="n">
        <x:v>59.95</x:v>
      </x:c>
      <x:c r="J1453" s="10" t="n">
        <x:v>0</x:v>
      </x:c>
      <x:c r="K1453" s="10" t="n">
        <x:v>24</x:v>
      </x:c>
      <x:c r="L1453" s="10" t="n">
        <x:f>G1453*I1453</x:f>
        <x:v>59.95</x:v>
      </x:c>
      <x:c r="M1453" s="10" t="n">
        <x:f>ROUND((L1453-J1453)*H1453/G1453,2)</x:f>
        <x:v>0</x:v>
      </x:c>
      <x:c r="N1453" s="10" t="n">
        <x:f>L1453-J1453-M1453</x:f>
        <x:v>59.95</x:v>
      </x:c>
      <x:c r="O1453" s="10" t="n">
        <x:f>(G1453-H1453)*K1453</x:f>
        <x:v>24</x:v>
      </x:c>
      <x:c r="P1453" s="10" t="n">
        <x:f>N1453-O1453</x:f>
        <x:v>35.95</x:v>
      </x:c>
      <x:c r="Q1453" s="9" t="n">
        <x:f>A1453-WEEKDAY(A1453,2)+1</x:f>
        <x:v>46314</x:v>
      </x:c>
      <x:c r="R1453" s="2" t="str">
        <x:f>IF(AND(A1453&gt;='Review'!$B$4,A1453&lt;='Review'!$D$4),"Selected","Outside")</x:f>
        <x:v>Selected</x:v>
      </x:c>
    </x:row>
    <x:row r="1454" ht="20" customHeight="1">
      <x:c r="A1454" s="9" t="n">
        <x:v>46318</x:v>
      </x:c>
      <x:c r="B1454" s="2" t="str">
        <x:v>MM-2015</x:v>
      </x:c>
      <x:c r="C1454" s="2" t="str">
        <x:v>Direct</x:v>
      </x:c>
      <x:c r="D1454" s="2" t="str">
        <x:v>GFT-002</x:v>
      </x:c>
      <x:c r="E1454" s="2" t="str">
        <x:f>_xlfn.IFNA(VLOOKUP(D1454,'Products'!$A$7:$I$22,2,FALSE),"Unmapped")</x:f>
        <x:v>Cozy weekend gift box</x:v>
      </x:c>
      <x:c r="F1454" s="2" t="str">
        <x:f>_xlfn.IFNA(VLOOKUP(D1454,'Products'!$A$7:$I$22,3,FALSE),"Unmapped")</x:f>
        <x:v>Gifts</x:v>
      </x:c>
      <x:c r="G1454" s="2" t="n">
        <x:v>2</x:v>
      </x:c>
      <x:c r="H1454" s="2" t="n">
        <x:v>0</x:v>
      </x:c>
      <x:c r="I1454" s="10" t="n">
        <x:v>79.95</x:v>
      </x:c>
      <x:c r="J1454" s="10" t="n">
        <x:v>0</x:v>
      </x:c>
      <x:c r="K1454" s="10" t="n">
        <x:v>32</x:v>
      </x:c>
      <x:c r="L1454" s="10" t="n">
        <x:f>G1454*I1454</x:f>
        <x:v>159.9</x:v>
      </x:c>
      <x:c r="M1454" s="10" t="n">
        <x:f>ROUND((L1454-J1454)*H1454/G1454,2)</x:f>
        <x:v>0</x:v>
      </x:c>
      <x:c r="N1454" s="10" t="n">
        <x:f>L1454-J1454-M1454</x:f>
        <x:v>159.9</x:v>
      </x:c>
      <x:c r="O1454" s="10" t="n">
        <x:f>(G1454-H1454)*K1454</x:f>
        <x:v>64</x:v>
      </x:c>
      <x:c r="P1454" s="10" t="n">
        <x:f>N1454-O1454</x:f>
        <x:v>95.9</x:v>
      </x:c>
      <x:c r="Q1454" s="9" t="n">
        <x:f>A1454-WEEKDAY(A1454,2)+1</x:f>
        <x:v>46314</x:v>
      </x:c>
      <x:c r="R1454" s="2" t="str">
        <x:f>IF(AND(A1454&gt;='Review'!$B$4,A1454&lt;='Review'!$D$4),"Selected","Outside")</x:f>
        <x:v>Selected</x:v>
      </x:c>
    </x:row>
    <x:row r="1455" ht="20" customHeight="1">
      <x:c r="A1455" s="9" t="n">
        <x:v>46318</x:v>
      </x:c>
      <x:c r="B1455" s="2" t="str">
        <x:v>MM-2015</x:v>
      </x:c>
      <x:c r="C1455" s="2" t="str">
        <x:v>Direct</x:v>
      </x:c>
      <x:c r="D1455" s="2" t="str">
        <x:v>MUG-001</x:v>
      </x:c>
      <x:c r="E1455" s="2" t="str">
        <x:f>_xlfn.IFNA(VLOOKUP(D1455,'Products'!$A$7:$I$22,2,FALSE),"Unmapped")</x:f>
        <x:v>Everyday ceramic mug</x:v>
      </x:c>
      <x:c r="F1455" s="2" t="str">
        <x:f>_xlfn.IFNA(VLOOKUP(D1455,'Products'!$A$7:$I$22,3,FALSE),"Unmapped")</x:f>
        <x:v>Drinkware</x:v>
      </x:c>
      <x:c r="G1455" s="2" t="n">
        <x:v>1</x:v>
      </x:c>
      <x:c r="H1455" s="2" t="n">
        <x:v>0</x:v>
      </x:c>
      <x:c r="I1455" s="10" t="n">
        <x:v>18.95</x:v>
      </x:c>
      <x:c r="J1455" s="10" t="n">
        <x:v>0</x:v>
      </x:c>
      <x:c r="K1455" s="10" t="n">
        <x:v>6.5</x:v>
      </x:c>
      <x:c r="L1455" s="10" t="n">
        <x:f>G1455*I1455</x:f>
        <x:v>18.95</x:v>
      </x:c>
      <x:c r="M1455" s="10" t="n">
        <x:f>ROUND((L1455-J1455)*H1455/G1455,2)</x:f>
        <x:v>0</x:v>
      </x:c>
      <x:c r="N1455" s="10" t="n">
        <x:f>L1455-J1455-M1455</x:f>
        <x:v>18.95</x:v>
      </x:c>
      <x:c r="O1455" s="10" t="n">
        <x:f>(G1455-H1455)*K1455</x:f>
        <x:v>6.5</x:v>
      </x:c>
      <x:c r="P1455" s="10" t="n">
        <x:f>N1455-O1455</x:f>
        <x:v>12.45</x:v>
      </x:c>
      <x:c r="Q1455" s="9" t="n">
        <x:f>A1455-WEEKDAY(A1455,2)+1</x:f>
        <x:v>46314</x:v>
      </x:c>
      <x:c r="R1455" s="2" t="str">
        <x:f>IF(AND(A1455&gt;='Review'!$B$4,A1455&lt;='Review'!$D$4),"Selected","Outside")</x:f>
        <x:v>Selected</x:v>
      </x:c>
    </x:row>
    <x:row r="1456" ht="20" customHeight="1">
      <x:c r="A1456" s="9" t="n">
        <x:v>46318</x:v>
      </x:c>
      <x:c r="B1456" s="2" t="str">
        <x:v>MM-2017</x:v>
      </x:c>
      <x:c r="C1456" s="2" t="str">
        <x:v>Email</x:v>
      </x:c>
      <x:c r="D1456" s="2" t="str">
        <x:v>KEY-001</x:v>
      </x:c>
      <x:c r="E1456" s="2" t="str">
        <x:f>_xlfn.IFNA(VLOOKUP(D1456,'Products'!$A$7:$I$22,2,FALSE),"Unmapped")</x:f>
        <x:v>Maple keyring</x:v>
      </x:c>
      <x:c r="F1456" s="2" t="str">
        <x:f>_xlfn.IFNA(VLOOKUP(D1456,'Products'!$A$7:$I$22,3,FALSE),"Unmapped")</x:f>
        <x:v>Accessories</x:v>
      </x:c>
      <x:c r="G1456" s="2" t="n">
        <x:v>1</x:v>
      </x:c>
      <x:c r="H1456" s="2" t="n">
        <x:v>0</x:v>
      </x:c>
      <x:c r="I1456" s="10" t="n">
        <x:v>12.95</x:v>
      </x:c>
      <x:c r="J1456" s="10" t="n">
        <x:v>1.29</x:v>
      </x:c>
      <x:c r="K1456" s="10" t="n">
        <x:v>3.5</x:v>
      </x:c>
      <x:c r="L1456" s="10" t="n">
        <x:f>G1456*I1456</x:f>
        <x:v>12.95</x:v>
      </x:c>
      <x:c r="M1456" s="10" t="n">
        <x:f>ROUND((L1456-J1456)*H1456/G1456,2)</x:f>
        <x:v>0</x:v>
      </x:c>
      <x:c r="N1456" s="10" t="n">
        <x:f>L1456-J1456-M1456</x:f>
        <x:v>11.66</x:v>
      </x:c>
      <x:c r="O1456" s="10" t="n">
        <x:f>(G1456-H1456)*K1456</x:f>
        <x:v>3.5</x:v>
      </x:c>
      <x:c r="P1456" s="10" t="n">
        <x:f>N1456-O1456</x:f>
        <x:v>8.16</x:v>
      </x:c>
      <x:c r="Q1456" s="9" t="n">
        <x:f>A1456-WEEKDAY(A1456,2)+1</x:f>
        <x:v>46314</x:v>
      </x:c>
      <x:c r="R1456" s="2" t="str">
        <x:f>IF(AND(A1456&gt;='Review'!$B$4,A1456&lt;='Review'!$D$4),"Selected","Outside")</x:f>
        <x:v>Selected</x:v>
      </x:c>
    </x:row>
    <x:row r="1457" ht="20" customHeight="1">
      <x:c r="A1457" s="9" t="n">
        <x:v>46318</x:v>
      </x:c>
      <x:c r="B1457" s="2" t="str">
        <x:v>MM-2020</x:v>
      </x:c>
      <x:c r="C1457" s="2" t="str">
        <x:v>Organic Search</x:v>
      </x:c>
      <x:c r="D1457" s="2" t="str">
        <x:v>GFT-002</x:v>
      </x:c>
      <x:c r="E1457" s="2" t="str">
        <x:f>_xlfn.IFNA(VLOOKUP(D1457,'Products'!$A$7:$I$22,2,FALSE),"Unmapped")</x:f>
        <x:v>Cozy weekend gift box</x:v>
      </x:c>
      <x:c r="F1457" s="2" t="str">
        <x:f>_xlfn.IFNA(VLOOKUP(D1457,'Products'!$A$7:$I$22,3,FALSE),"Unmapped")</x:f>
        <x:v>Gifts</x:v>
      </x:c>
      <x:c r="G1457" s="2" t="n">
        <x:v>1</x:v>
      </x:c>
      <x:c r="H1457" s="2" t="n">
        <x:v>0</x:v>
      </x:c>
      <x:c r="I1457" s="10" t="n">
        <x:v>79.95</x:v>
      </x:c>
      <x:c r="J1457" s="10" t="n">
        <x:v>0</x:v>
      </x:c>
      <x:c r="K1457" s="10" t="n">
        <x:v>32</x:v>
      </x:c>
      <x:c r="L1457" s="10" t="n">
        <x:f>G1457*I1457</x:f>
        <x:v>79.95</x:v>
      </x:c>
      <x:c r="M1457" s="10" t="n">
        <x:f>ROUND((L1457-J1457)*H1457/G1457,2)</x:f>
        <x:v>0</x:v>
      </x:c>
      <x:c r="N1457" s="10" t="n">
        <x:f>L1457-J1457-M1457</x:f>
        <x:v>79.95</x:v>
      </x:c>
      <x:c r="O1457" s="10" t="n">
        <x:f>(G1457-H1457)*K1457</x:f>
        <x:v>32</x:v>
      </x:c>
      <x:c r="P1457" s="10" t="n">
        <x:f>N1457-O1457</x:f>
        <x:v>47.95</x:v>
      </x:c>
      <x:c r="Q1457" s="9" t="n">
        <x:f>A1457-WEEKDAY(A1457,2)+1</x:f>
        <x:v>46314</x:v>
      </x:c>
      <x:c r="R1457" s="2" t="str">
        <x:f>IF(AND(A1457&gt;='Review'!$B$4,A1457&lt;='Review'!$D$4),"Selected","Outside")</x:f>
        <x:v>Selected</x:v>
      </x:c>
    </x:row>
    <x:row r="1458" ht="20" customHeight="1">
      <x:c r="A1458" s="9" t="n">
        <x:v>46318</x:v>
      </x:c>
      <x:c r="B1458" s="2" t="str">
        <x:v>MM-2026</x:v>
      </x:c>
      <x:c r="C1458" s="2" t="str">
        <x:v>Direct</x:v>
      </x:c>
      <x:c r="D1458" s="2" t="str">
        <x:v>MUG-001</x:v>
      </x:c>
      <x:c r="E1458" s="2" t="str">
        <x:f>_xlfn.IFNA(VLOOKUP(D1458,'Products'!$A$7:$I$22,2,FALSE),"Unmapped")</x:f>
        <x:v>Everyday ceramic mug</x:v>
      </x:c>
      <x:c r="F1458" s="2" t="str">
        <x:f>_xlfn.IFNA(VLOOKUP(D1458,'Products'!$A$7:$I$22,3,FALSE),"Unmapped")</x:f>
        <x:v>Drinkware</x:v>
      </x:c>
      <x:c r="G1458" s="2" t="n">
        <x:v>1</x:v>
      </x:c>
      <x:c r="H1458" s="2" t="n">
        <x:v>0</x:v>
      </x:c>
      <x:c r="I1458" s="10" t="n">
        <x:v>18.95</x:v>
      </x:c>
      <x:c r="J1458" s="10" t="n">
        <x:v>0</x:v>
      </x:c>
      <x:c r="K1458" s="10" t="n">
        <x:v>6.5</x:v>
      </x:c>
      <x:c r="L1458" s="10" t="n">
        <x:f>G1458*I1458</x:f>
        <x:v>18.95</x:v>
      </x:c>
      <x:c r="M1458" s="10" t="n">
        <x:f>ROUND((L1458-J1458)*H1458/G1458,2)</x:f>
        <x:v>0</x:v>
      </x:c>
      <x:c r="N1458" s="10" t="n">
        <x:f>L1458-J1458-M1458</x:f>
        <x:v>18.95</x:v>
      </x:c>
      <x:c r="O1458" s="10" t="n">
        <x:f>(G1458-H1458)*K1458</x:f>
        <x:v>6.5</x:v>
      </x:c>
      <x:c r="P1458" s="10" t="n">
        <x:f>N1458-O1458</x:f>
        <x:v>12.45</x:v>
      </x:c>
      <x:c r="Q1458" s="9" t="n">
        <x:f>A1458-WEEKDAY(A1458,2)+1</x:f>
        <x:v>46314</x:v>
      </x:c>
      <x:c r="R1458" s="2" t="str">
        <x:f>IF(AND(A1458&gt;='Review'!$B$4,A1458&lt;='Review'!$D$4),"Selected","Outside")</x:f>
        <x:v>Selected</x:v>
      </x:c>
    </x:row>
    <x:row r="1459" ht="20" customHeight="1">
      <x:c r="A1459" s="9" t="n">
        <x:v>46318</x:v>
      </x:c>
      <x:c r="B1459" s="2" t="str">
        <x:v>MM-2026</x:v>
      </x:c>
      <x:c r="C1459" s="2" t="str">
        <x:v>Direct</x:v>
      </x:c>
      <x:c r="D1459" s="2" t="str">
        <x:v>BOT-001</x:v>
      </x:c>
      <x:c r="E1459" s="2" t="str">
        <x:f>_xlfn.IFNA(VLOOKUP(D1459,'Products'!$A$7:$I$22,2,FALSE),"Unmapped")</x:f>
        <x:v>Trail water bottle</x:v>
      </x:c>
      <x:c r="F1459" s="2" t="str">
        <x:f>_xlfn.IFNA(VLOOKUP(D1459,'Products'!$A$7:$I$22,3,FALSE),"Unmapped")</x:f>
        <x:v>Drinkware</x:v>
      </x:c>
      <x:c r="G1459" s="2" t="n">
        <x:v>2</x:v>
      </x:c>
      <x:c r="H1459" s="2" t="n">
        <x:v>0</x:v>
      </x:c>
      <x:c r="I1459" s="10" t="n">
        <x:v>34.95</x:v>
      </x:c>
      <x:c r="J1459" s="10" t="n">
        <x:v>0</x:v>
      </x:c>
      <x:c r="K1459" s="10" t="n">
        <x:v>13.5</x:v>
      </x:c>
      <x:c r="L1459" s="10" t="n">
        <x:f>G1459*I1459</x:f>
        <x:v>69.9</x:v>
      </x:c>
      <x:c r="M1459" s="10" t="n">
        <x:f>ROUND((L1459-J1459)*H1459/G1459,2)</x:f>
        <x:v>0</x:v>
      </x:c>
      <x:c r="N1459" s="10" t="n">
        <x:f>L1459-J1459-M1459</x:f>
        <x:v>69.9</x:v>
      </x:c>
      <x:c r="O1459" s="10" t="n">
        <x:f>(G1459-H1459)*K1459</x:f>
        <x:v>27</x:v>
      </x:c>
      <x:c r="P1459" s="10" t="n">
        <x:f>N1459-O1459</x:f>
        <x:v>42.900000000000006</x:v>
      </x:c>
      <x:c r="Q1459" s="9" t="n">
        <x:f>A1459-WEEKDAY(A1459,2)+1</x:f>
        <x:v>46314</x:v>
      </x:c>
      <x:c r="R1459" s="2" t="str">
        <x:f>IF(AND(A1459&gt;='Review'!$B$4,A1459&lt;='Review'!$D$4),"Selected","Outside")</x:f>
        <x:v>Selected</x:v>
      </x:c>
    </x:row>
    <x:row r="1460" ht="20" customHeight="1">
      <x:c r="A1460" s="9" t="n">
        <x:v>46318</x:v>
      </x:c>
      <x:c r="B1460" s="2" t="str">
        <x:v>MM-2027</x:v>
      </x:c>
      <x:c r="C1460" s="2" t="str">
        <x:v>Organic Search</x:v>
      </x:c>
      <x:c r="D1460" s="2" t="str">
        <x:v>PIN-001</x:v>
      </x:c>
      <x:c r="E1460" s="2" t="str">
        <x:f>_xlfn.IFNA(VLOOKUP(D1460,'Products'!$A$7:$I$22,2,FALSE),"Unmapped")</x:f>
        <x:v>Coffee enamel pin</x:v>
      </x:c>
      <x:c r="F1460" s="2" t="str">
        <x:f>_xlfn.IFNA(VLOOKUP(D1460,'Products'!$A$7:$I$22,3,FALSE),"Unmapped")</x:f>
        <x:v>Accessories</x:v>
      </x:c>
      <x:c r="G1460" s="2" t="n">
        <x:v>1</x:v>
      </x:c>
      <x:c r="H1460" s="2" t="n">
        <x:v>0</x:v>
      </x:c>
      <x:c r="I1460" s="10" t="n">
        <x:v>9.95</x:v>
      </x:c>
      <x:c r="J1460" s="10" t="n">
        <x:v>0</x:v>
      </x:c>
      <x:c r="K1460" s="10" t="n">
        <x:v>2.5</x:v>
      </x:c>
      <x:c r="L1460" s="10" t="n">
        <x:f>G1460*I1460</x:f>
        <x:v>9.95</x:v>
      </x:c>
      <x:c r="M1460" s="10" t="n">
        <x:f>ROUND((L1460-J1460)*H1460/G1460,2)</x:f>
        <x:v>0</x:v>
      </x:c>
      <x:c r="N1460" s="10" t="n">
        <x:f>L1460-J1460-M1460</x:f>
        <x:v>9.95</x:v>
      </x:c>
      <x:c r="O1460" s="10" t="n">
        <x:f>(G1460-H1460)*K1460</x:f>
        <x:v>2.5</x:v>
      </x:c>
      <x:c r="P1460" s="10" t="n">
        <x:f>N1460-O1460</x:f>
        <x:v>7.449999999999999</x:v>
      </x:c>
      <x:c r="Q1460" s="9" t="n">
        <x:f>A1460-WEEKDAY(A1460,2)+1</x:f>
        <x:v>46314</x:v>
      </x:c>
      <x:c r="R1460" s="2" t="str">
        <x:f>IF(AND(A1460&gt;='Review'!$B$4,A1460&lt;='Review'!$D$4),"Selected","Outside")</x:f>
        <x:v>Selected</x:v>
      </x:c>
    </x:row>
    <x:row r="1461" ht="20" customHeight="1">
      <x:c r="A1461" s="9" t="n">
        <x:v>46318</x:v>
      </x:c>
      <x:c r="B1461" s="2" t="str">
        <x:v>MM-2027</x:v>
      </x:c>
      <x:c r="C1461" s="2" t="str">
        <x:v>Organic Search</x:v>
      </x:c>
      <x:c r="D1461" s="2" t="str">
        <x:v>TOTE-001</x:v>
      </x:c>
      <x:c r="E1461" s="2" t="str">
        <x:f>_xlfn.IFNA(VLOOKUP(D1461,'Products'!$A$7:$I$22,2,FALSE),"Unmapped")</x:f>
        <x:v>Market canvas tote</x:v>
      </x:c>
      <x:c r="F1461" s="2" t="str">
        <x:f>_xlfn.IFNA(VLOOKUP(D1461,'Products'!$A$7:$I$22,3,FALSE),"Unmapped")</x:f>
        <x:v>Accessories</x:v>
      </x:c>
      <x:c r="G1461" s="2" t="n">
        <x:v>1</x:v>
      </x:c>
      <x:c r="H1461" s="2" t="n">
        <x:v>0</x:v>
      </x:c>
      <x:c r="I1461" s="10" t="n">
        <x:v>19.95</x:v>
      </x:c>
      <x:c r="J1461" s="10" t="n">
        <x:v>0</x:v>
      </x:c>
      <x:c r="K1461" s="10" t="n">
        <x:v>6</x:v>
      </x:c>
      <x:c r="L1461" s="10" t="n">
        <x:f>G1461*I1461</x:f>
        <x:v>19.95</x:v>
      </x:c>
      <x:c r="M1461" s="10" t="n">
        <x:f>ROUND((L1461-J1461)*H1461/G1461,2)</x:f>
        <x:v>0</x:v>
      </x:c>
      <x:c r="N1461" s="10" t="n">
        <x:f>L1461-J1461-M1461</x:f>
        <x:v>19.95</x:v>
      </x:c>
      <x:c r="O1461" s="10" t="n">
        <x:f>(G1461-H1461)*K1461</x:f>
        <x:v>6</x:v>
      </x:c>
      <x:c r="P1461" s="10" t="n">
        <x:f>N1461-O1461</x:f>
        <x:v>13.95</x:v>
      </x:c>
      <x:c r="Q1461" s="9" t="n">
        <x:f>A1461-WEEKDAY(A1461,2)+1</x:f>
        <x:v>46314</x:v>
      </x:c>
      <x:c r="R1461" s="2" t="str">
        <x:f>IF(AND(A1461&gt;='Review'!$B$4,A1461&lt;='Review'!$D$4),"Selected","Outside")</x:f>
        <x:v>Selected</x:v>
      </x:c>
    </x:row>
    <x:row r="1462" ht="20" customHeight="1">
      <x:c r="A1462" s="9" t="n">
        <x:v>46318</x:v>
      </x:c>
      <x:c r="B1462" s="2" t="str">
        <x:v>MM-2030</x:v>
      </x:c>
      <x:c r="C1462" s="2" t="str">
        <x:v>Paid Social</x:v>
      </x:c>
      <x:c r="D1462" s="2" t="str">
        <x:v>PIN-001</x:v>
      </x:c>
      <x:c r="E1462" s="2" t="str">
        <x:f>_xlfn.IFNA(VLOOKUP(D1462,'Products'!$A$7:$I$22,2,FALSE),"Unmapped")</x:f>
        <x:v>Coffee enamel pin</x:v>
      </x:c>
      <x:c r="F1462" s="2" t="str">
        <x:f>_xlfn.IFNA(VLOOKUP(D1462,'Products'!$A$7:$I$22,3,FALSE),"Unmapped")</x:f>
        <x:v>Accessories</x:v>
      </x:c>
      <x:c r="G1462" s="2" t="n">
        <x:v>2</x:v>
      </x:c>
      <x:c r="H1462" s="2" t="n">
        <x:v>0</x:v>
      </x:c>
      <x:c r="I1462" s="10" t="n">
        <x:v>9.95</x:v>
      </x:c>
      <x:c r="J1462" s="10" t="n">
        <x:v>0</x:v>
      </x:c>
      <x:c r="K1462" s="10" t="n">
        <x:v>2.5</x:v>
      </x:c>
      <x:c r="L1462" s="10" t="n">
        <x:f>G1462*I1462</x:f>
        <x:v>19.9</x:v>
      </x:c>
      <x:c r="M1462" s="10" t="n">
        <x:f>ROUND((L1462-J1462)*H1462/G1462,2)</x:f>
        <x:v>0</x:v>
      </x:c>
      <x:c r="N1462" s="10" t="n">
        <x:f>L1462-J1462-M1462</x:f>
        <x:v>19.9</x:v>
      </x:c>
      <x:c r="O1462" s="10" t="n">
        <x:f>(G1462-H1462)*K1462</x:f>
        <x:v>5</x:v>
      </x:c>
      <x:c r="P1462" s="10" t="n">
        <x:f>N1462-O1462</x:f>
        <x:v>14.899999999999999</x:v>
      </x:c>
      <x:c r="Q1462" s="9" t="n">
        <x:f>A1462-WEEKDAY(A1462,2)+1</x:f>
        <x:v>46314</x:v>
      </x:c>
      <x:c r="R1462" s="2" t="str">
        <x:f>IF(AND(A1462&gt;='Review'!$B$4,A1462&lt;='Review'!$D$4),"Selected","Outside")</x:f>
        <x:v>Selected</x:v>
      </x:c>
    </x:row>
    <x:row r="1463" ht="20" customHeight="1">
      <x:c r="A1463" s="9" t="n">
        <x:v>46319</x:v>
      </x:c>
      <x:c r="B1463" s="2" t="str">
        <x:v>MM-2045</x:v>
      </x:c>
      <x:c r="C1463" s="2" t="str">
        <x:v>Paid Social</x:v>
      </x:c>
      <x:c r="D1463" s="2" t="str">
        <x:v>APP-001</x:v>
      </x:c>
      <x:c r="E1463" s="2" t="str">
        <x:f>_xlfn.IFNA(VLOOKUP(D1463,'Products'!$A$7:$I$22,2,FALSE),"Unmapped")</x:f>
        <x:v>Everyday crewneck</x:v>
      </x:c>
      <x:c r="F1463" s="2" t="str">
        <x:f>_xlfn.IFNA(VLOOKUP(D1463,'Products'!$A$7:$I$22,3,FALSE),"Unmapped")</x:f>
        <x:v>Apparel</x:v>
      </x:c>
      <x:c r="G1463" s="2" t="n">
        <x:v>1</x:v>
      </x:c>
      <x:c r="H1463" s="2" t="n">
        <x:v>0</x:v>
      </x:c>
      <x:c r="I1463" s="10" t="n">
        <x:v>54.95</x:v>
      </x:c>
      <x:c r="J1463" s="10" t="n">
        <x:v>0</x:v>
      </x:c>
      <x:c r="K1463" s="10" t="n">
        <x:v>22</x:v>
      </x:c>
      <x:c r="L1463" s="10" t="n">
        <x:f>G1463*I1463</x:f>
        <x:v>54.95</x:v>
      </x:c>
      <x:c r="M1463" s="10" t="n">
        <x:f>ROUND((L1463-J1463)*H1463/G1463,2)</x:f>
        <x:v>0</x:v>
      </x:c>
      <x:c r="N1463" s="10" t="n">
        <x:f>L1463-J1463-M1463</x:f>
        <x:v>54.95</x:v>
      </x:c>
      <x:c r="O1463" s="10" t="n">
        <x:f>(G1463-H1463)*K1463</x:f>
        <x:v>22</x:v>
      </x:c>
      <x:c r="P1463" s="10" t="n">
        <x:f>N1463-O1463</x:f>
        <x:v>32.95</x:v>
      </x:c>
      <x:c r="Q1463" s="9" t="n">
        <x:f>A1463-WEEKDAY(A1463,2)+1</x:f>
        <x:v>46314</x:v>
      </x:c>
      <x:c r="R1463" s="2" t="str">
        <x:f>IF(AND(A1463&gt;='Review'!$B$4,A1463&lt;='Review'!$D$4),"Selected","Outside")</x:f>
        <x:v>Selected</x:v>
      </x:c>
    </x:row>
    <x:row r="1464" ht="20" customHeight="1">
      <x:c r="A1464" s="9" t="n">
        <x:v>46319</x:v>
      </x:c>
      <x:c r="B1464" s="2" t="str">
        <x:v>MM-2045</x:v>
      </x:c>
      <x:c r="C1464" s="2" t="str">
        <x:v>Paid Social</x:v>
      </x:c>
      <x:c r="D1464" s="2" t="str">
        <x:v>BOT-001</x:v>
      </x:c>
      <x:c r="E1464" s="2" t="str">
        <x:f>_xlfn.IFNA(VLOOKUP(D1464,'Products'!$A$7:$I$22,2,FALSE),"Unmapped")</x:f>
        <x:v>Trail water bottle</x:v>
      </x:c>
      <x:c r="F1464" s="2" t="str">
        <x:f>_xlfn.IFNA(VLOOKUP(D1464,'Products'!$A$7:$I$22,3,FALSE),"Unmapped")</x:f>
        <x:v>Drinkware</x:v>
      </x:c>
      <x:c r="G1464" s="2" t="n">
        <x:v>1</x:v>
      </x:c>
      <x:c r="H1464" s="2" t="n">
        <x:v>0</x:v>
      </x:c>
      <x:c r="I1464" s="10" t="n">
        <x:v>34.95</x:v>
      </x:c>
      <x:c r="J1464" s="10" t="n">
        <x:v>0</x:v>
      </x:c>
      <x:c r="K1464" s="10" t="n">
        <x:v>13.5</x:v>
      </x:c>
      <x:c r="L1464" s="10" t="n">
        <x:f>G1464*I1464</x:f>
        <x:v>34.95</x:v>
      </x:c>
      <x:c r="M1464" s="10" t="n">
        <x:f>ROUND((L1464-J1464)*H1464/G1464,2)</x:f>
        <x:v>0</x:v>
      </x:c>
      <x:c r="N1464" s="10" t="n">
        <x:f>L1464-J1464-M1464</x:f>
        <x:v>34.95</x:v>
      </x:c>
      <x:c r="O1464" s="10" t="n">
        <x:f>(G1464-H1464)*K1464</x:f>
        <x:v>13.5</x:v>
      </x:c>
      <x:c r="P1464" s="10" t="n">
        <x:f>N1464-O1464</x:f>
        <x:v>21.450000000000003</x:v>
      </x:c>
      <x:c r="Q1464" s="9" t="n">
        <x:f>A1464-WEEKDAY(A1464,2)+1</x:f>
        <x:v>46314</x:v>
      </x:c>
      <x:c r="R1464" s="2" t="str">
        <x:f>IF(AND(A1464&gt;='Review'!$B$4,A1464&lt;='Review'!$D$4),"Selected","Outside")</x:f>
        <x:v>Selected</x:v>
      </x:c>
    </x:row>
    <x:row r="1465" ht="20" customHeight="1">
      <x:c r="A1465" s="9" t="n">
        <x:v>46319</x:v>
      </x:c>
      <x:c r="B1465" s="2" t="str">
        <x:v>MM-2045</x:v>
      </x:c>
      <x:c r="C1465" s="2" t="str">
        <x:v>Paid Social</x:v>
      </x:c>
      <x:c r="D1465" s="2" t="str">
        <x:v>APP-003</x:v>
      </x:c>
      <x:c r="E1465" s="2" t="str">
        <x:f>_xlfn.IFNA(VLOOKUP(D1465,'Products'!$A$7:$I$22,2,FALSE),"Unmapped")</x:f>
        <x:v>Coffee club tee</x:v>
      </x:c>
      <x:c r="F1465" s="2" t="str">
        <x:f>_xlfn.IFNA(VLOOKUP(D1465,'Products'!$A$7:$I$22,3,FALSE),"Unmapped")</x:f>
        <x:v>Apparel</x:v>
      </x:c>
      <x:c r="G1465" s="2" t="n">
        <x:v>1</x:v>
      </x:c>
      <x:c r="H1465" s="2" t="n">
        <x:v>0</x:v>
      </x:c>
      <x:c r="I1465" s="10" t="n">
        <x:v>29.95</x:v>
      </x:c>
      <x:c r="J1465" s="10" t="n">
        <x:v>0</x:v>
      </x:c>
      <x:c r="K1465" s="10" t="n">
        <x:v>10</x:v>
      </x:c>
      <x:c r="L1465" s="10" t="n">
        <x:f>G1465*I1465</x:f>
        <x:v>29.95</x:v>
      </x:c>
      <x:c r="M1465" s="10" t="n">
        <x:f>ROUND((L1465-J1465)*H1465/G1465,2)</x:f>
        <x:v>0</x:v>
      </x:c>
      <x:c r="N1465" s="10" t="n">
        <x:f>L1465-J1465-M1465</x:f>
        <x:v>29.95</x:v>
      </x:c>
      <x:c r="O1465" s="10" t="n">
        <x:f>(G1465-H1465)*K1465</x:f>
        <x:v>10</x:v>
      </x:c>
      <x:c r="P1465" s="10" t="n">
        <x:f>N1465-O1465</x:f>
        <x:v>19.95</x:v>
      </x:c>
      <x:c r="Q1465" s="9" t="n">
        <x:f>A1465-WEEKDAY(A1465,2)+1</x:f>
        <x:v>46314</x:v>
      </x:c>
      <x:c r="R1465" s="2" t="str">
        <x:f>IF(AND(A1465&gt;='Review'!$B$4,A1465&lt;='Review'!$D$4),"Selected","Outside")</x:f>
        <x:v>Selected</x:v>
      </x:c>
    </x:row>
    <x:row r="1466" ht="20" customHeight="1">
      <x:c r="A1466" s="9" t="n">
        <x:v>46319</x:v>
      </x:c>
      <x:c r="B1466" s="2" t="str">
        <x:v>MM-2035</x:v>
      </x:c>
      <x:c r="C1466" s="2" t="str">
        <x:v>Organic Search</x:v>
      </x:c>
      <x:c r="D1466" s="2" t="str">
        <x:v>BOT-001</x:v>
      </x:c>
      <x:c r="E1466" s="2" t="str">
        <x:f>_xlfn.IFNA(VLOOKUP(D1466,'Products'!$A$7:$I$22,2,FALSE),"Unmapped")</x:f>
        <x:v>Trail water bottle</x:v>
      </x:c>
      <x:c r="F1466" s="2" t="str">
        <x:f>_xlfn.IFNA(VLOOKUP(D1466,'Products'!$A$7:$I$22,3,FALSE),"Unmapped")</x:f>
        <x:v>Drinkware</x:v>
      </x:c>
      <x:c r="G1466" s="2" t="n">
        <x:v>1</x:v>
      </x:c>
      <x:c r="H1466" s="2" t="n">
        <x:v>0</x:v>
      </x:c>
      <x:c r="I1466" s="10" t="n">
        <x:v>34.95</x:v>
      </x:c>
      <x:c r="J1466" s="10" t="n">
        <x:v>0</x:v>
      </x:c>
      <x:c r="K1466" s="10" t="n">
        <x:v>13.5</x:v>
      </x:c>
      <x:c r="L1466" s="10" t="n">
        <x:f>G1466*I1466</x:f>
        <x:v>34.95</x:v>
      </x:c>
      <x:c r="M1466" s="10" t="n">
        <x:f>ROUND((L1466-J1466)*H1466/G1466,2)</x:f>
        <x:v>0</x:v>
      </x:c>
      <x:c r="N1466" s="10" t="n">
        <x:f>L1466-J1466-M1466</x:f>
        <x:v>34.95</x:v>
      </x:c>
      <x:c r="O1466" s="10" t="n">
        <x:f>(G1466-H1466)*K1466</x:f>
        <x:v>13.5</x:v>
      </x:c>
      <x:c r="P1466" s="10" t="n">
        <x:f>N1466-O1466</x:f>
        <x:v>21.450000000000003</x:v>
      </x:c>
      <x:c r="Q1466" s="9" t="n">
        <x:f>A1466-WEEKDAY(A1466,2)+1</x:f>
        <x:v>46314</x:v>
      </x:c>
      <x:c r="R1466" s="2" t="str">
        <x:f>IF(AND(A1466&gt;='Review'!$B$4,A1466&lt;='Review'!$D$4),"Selected","Outside")</x:f>
        <x:v>Selected</x:v>
      </x:c>
    </x:row>
    <x:row r="1467" ht="20" customHeight="1">
      <x:c r="A1467" s="9" t="n">
        <x:v>46319</x:v>
      </x:c>
      <x:c r="B1467" s="2" t="str">
        <x:v>MM-2035</x:v>
      </x:c>
      <x:c r="C1467" s="2" t="str">
        <x:v>Organic Search</x:v>
      </x:c>
      <x:c r="D1467" s="2" t="str">
        <x:v>APP-003</x:v>
      </x:c>
      <x:c r="E1467" s="2" t="str">
        <x:f>_xlfn.IFNA(VLOOKUP(D1467,'Products'!$A$7:$I$22,2,FALSE),"Unmapped")</x:f>
        <x:v>Coffee club tee</x:v>
      </x:c>
      <x:c r="F1467" s="2" t="str">
        <x:f>_xlfn.IFNA(VLOOKUP(D1467,'Products'!$A$7:$I$22,3,FALSE),"Unmapped")</x:f>
        <x:v>Apparel</x:v>
      </x:c>
      <x:c r="G1467" s="2" t="n">
        <x:v>2</x:v>
      </x:c>
      <x:c r="H1467" s="2" t="n">
        <x:v>0</x:v>
      </x:c>
      <x:c r="I1467" s="10" t="n">
        <x:v>29.95</x:v>
      </x:c>
      <x:c r="J1467" s="10" t="n">
        <x:v>0</x:v>
      </x:c>
      <x:c r="K1467" s="10" t="n">
        <x:v>10</x:v>
      </x:c>
      <x:c r="L1467" s="10" t="n">
        <x:f>G1467*I1467</x:f>
        <x:v>59.9</x:v>
      </x:c>
      <x:c r="M1467" s="10" t="n">
        <x:f>ROUND((L1467-J1467)*H1467/G1467,2)</x:f>
        <x:v>0</x:v>
      </x:c>
      <x:c r="N1467" s="10" t="n">
        <x:f>L1467-J1467-M1467</x:f>
        <x:v>59.9</x:v>
      </x:c>
      <x:c r="O1467" s="10" t="n">
        <x:f>(G1467-H1467)*K1467</x:f>
        <x:v>20</x:v>
      </x:c>
      <x:c r="P1467" s="10" t="n">
        <x:f>N1467-O1467</x:f>
        <x:v>39.9</x:v>
      </x:c>
      <x:c r="Q1467" s="9" t="n">
        <x:f>A1467-WEEKDAY(A1467,2)+1</x:f>
        <x:v>46314</x:v>
      </x:c>
      <x:c r="R1467" s="2" t="str">
        <x:f>IF(AND(A1467&gt;='Review'!$B$4,A1467&lt;='Review'!$D$4),"Selected","Outside")</x:f>
        <x:v>Selected</x:v>
      </x:c>
    </x:row>
    <x:row r="1468" ht="20" customHeight="1">
      <x:c r="A1468" s="9" t="n">
        <x:v>46319</x:v>
      </x:c>
      <x:c r="B1468" s="2" t="str">
        <x:v>MM-2043</x:v>
      </x:c>
      <x:c r="C1468" s="2" t="str">
        <x:v>Organic Search</x:v>
      </x:c>
      <x:c r="D1468" s="2" t="str">
        <x:v>MUG-002</x:v>
      </x:c>
      <x:c r="E1468" s="2" t="str">
        <x:f>_xlfn.IFNA(VLOOKUP(D1468,'Products'!$A$7:$I$22,2,FALSE),"Unmapped")</x:f>
        <x:v>Campfire enamel mug</x:v>
      </x:c>
      <x:c r="F1468" s="2" t="str">
        <x:f>_xlfn.IFNA(VLOOKUP(D1468,'Products'!$A$7:$I$22,3,FALSE),"Unmapped")</x:f>
        <x:v>Drinkware</x:v>
      </x:c>
      <x:c r="G1468" s="2" t="n">
        <x:v>2</x:v>
      </x:c>
      <x:c r="H1468" s="2" t="n">
        <x:v>0</x:v>
      </x:c>
      <x:c r="I1468" s="10" t="n">
        <x:v>22.95</x:v>
      </x:c>
      <x:c r="J1468" s="10" t="n">
        <x:v>0</x:v>
      </x:c>
      <x:c r="K1468" s="10" t="n">
        <x:v>8.5</x:v>
      </x:c>
      <x:c r="L1468" s="10" t="n">
        <x:f>G1468*I1468</x:f>
        <x:v>45.9</x:v>
      </x:c>
      <x:c r="M1468" s="10" t="n">
        <x:f>ROUND((L1468-J1468)*H1468/G1468,2)</x:f>
        <x:v>0</x:v>
      </x:c>
      <x:c r="N1468" s="10" t="n">
        <x:f>L1468-J1468-M1468</x:f>
        <x:v>45.9</x:v>
      </x:c>
      <x:c r="O1468" s="10" t="n">
        <x:f>(G1468-H1468)*K1468</x:f>
        <x:v>17</x:v>
      </x:c>
      <x:c r="P1468" s="10" t="n">
        <x:f>N1468-O1468</x:f>
        <x:v>28.9</x:v>
      </x:c>
      <x:c r="Q1468" s="9" t="n">
        <x:f>A1468-WEEKDAY(A1468,2)+1</x:f>
        <x:v>46314</x:v>
      </x:c>
      <x:c r="R1468" s="2" t="str">
        <x:f>IF(AND(A1468&gt;='Review'!$B$4,A1468&lt;='Review'!$D$4),"Selected","Outside")</x:f>
        <x:v>Selected</x:v>
      </x:c>
    </x:row>
    <x:row r="1469" ht="20" customHeight="1">
      <x:c r="A1469" s="9" t="n">
        <x:v>46319</x:v>
      </x:c>
      <x:c r="B1469" s="2" t="str">
        <x:v>MM-2044</x:v>
      </x:c>
      <x:c r="C1469" s="2" t="str">
        <x:v>Organic Search</x:v>
      </x:c>
      <x:c r="D1469" s="2" t="str">
        <x:v>APP-002</x:v>
      </x:c>
      <x:c r="E1469" s="2" t="str">
        <x:f>_xlfn.IFNA(VLOOKUP(D1469,'Products'!$A$7:$I$22,2,FALSE),"Unmapped")</x:f>
        <x:v>Weekend hoodie</x:v>
      </x:c>
      <x:c r="F1469" s="2" t="str">
        <x:f>_xlfn.IFNA(VLOOKUP(D1469,'Products'!$A$7:$I$22,3,FALSE),"Unmapped")</x:f>
        <x:v>Apparel</x:v>
      </x:c>
      <x:c r="G1469" s="2" t="n">
        <x:v>1</x:v>
      </x:c>
      <x:c r="H1469" s="2" t="n">
        <x:v>0</x:v>
      </x:c>
      <x:c r="I1469" s="10" t="n">
        <x:v>69.95</x:v>
      </x:c>
      <x:c r="J1469" s="10" t="n">
        <x:v>0</x:v>
      </x:c>
      <x:c r="K1469" s="10" t="n">
        <x:v>28</x:v>
      </x:c>
      <x:c r="L1469" s="10" t="n">
        <x:f>G1469*I1469</x:f>
        <x:v>69.95</x:v>
      </x:c>
      <x:c r="M1469" s="10" t="n">
        <x:f>ROUND((L1469-J1469)*H1469/G1469,2)</x:f>
        <x:v>0</x:v>
      </x:c>
      <x:c r="N1469" s="10" t="n">
        <x:f>L1469-J1469-M1469</x:f>
        <x:v>69.95</x:v>
      </x:c>
      <x:c r="O1469" s="10" t="n">
        <x:f>(G1469-H1469)*K1469</x:f>
        <x:v>28</x:v>
      </x:c>
      <x:c r="P1469" s="10" t="n">
        <x:f>N1469-O1469</x:f>
        <x:v>41.95</x:v>
      </x:c>
      <x:c r="Q1469" s="9" t="n">
        <x:f>A1469-WEEKDAY(A1469,2)+1</x:f>
        <x:v>46314</x:v>
      </x:c>
      <x:c r="R1469" s="2" t="str">
        <x:f>IF(AND(A1469&gt;='Review'!$B$4,A1469&lt;='Review'!$D$4),"Selected","Outside")</x:f>
        <x:v>Selected</x:v>
      </x:c>
    </x:row>
    <x:row r="1470" ht="20" customHeight="1">
      <x:c r="A1470" s="9" t="n">
        <x:v>46319</x:v>
      </x:c>
      <x:c r="B1470" s="2" t="str">
        <x:v>MM-2034</x:v>
      </x:c>
      <x:c r="C1470" s="2" t="str">
        <x:v>Email</x:v>
      </x:c>
      <x:c r="D1470" s="2" t="str">
        <x:v>TUM-002</x:v>
      </x:c>
      <x:c r="E1470" s="2" t="str">
        <x:f>_xlfn.IFNA(VLOOKUP(D1470,'Products'!$A$7:$I$22,2,FALSE),"Unmapped")</x:f>
        <x:v>Cold brew glass cup</x:v>
      </x:c>
      <x:c r="F1470" s="2" t="str">
        <x:f>_xlfn.IFNA(VLOOKUP(D1470,'Products'!$A$7:$I$22,3,FALSE),"Unmapped")</x:f>
        <x:v>Drinkware</x:v>
      </x:c>
      <x:c r="G1470" s="2" t="n">
        <x:v>1</x:v>
      </x:c>
      <x:c r="H1470" s="2" t="n">
        <x:v>0</x:v>
      </x:c>
      <x:c r="I1470" s="10" t="n">
        <x:v>24.95</x:v>
      </x:c>
      <x:c r="J1470" s="10" t="n">
        <x:v>2.49</x:v>
      </x:c>
      <x:c r="K1470" s="10" t="n">
        <x:v>9</x:v>
      </x:c>
      <x:c r="L1470" s="10" t="n">
        <x:f>G1470*I1470</x:f>
        <x:v>24.95</x:v>
      </x:c>
      <x:c r="M1470" s="10" t="n">
        <x:f>ROUND((L1470-J1470)*H1470/G1470,2)</x:f>
        <x:v>0</x:v>
      </x:c>
      <x:c r="N1470" s="10" t="n">
        <x:f>L1470-J1470-M1470</x:f>
        <x:v>22.46</x:v>
      </x:c>
      <x:c r="O1470" s="10" t="n">
        <x:f>(G1470-H1470)*K1470</x:f>
        <x:v>9</x:v>
      </x:c>
      <x:c r="P1470" s="10" t="n">
        <x:f>N1470-O1470</x:f>
        <x:v>13.46</x:v>
      </x:c>
      <x:c r="Q1470" s="9" t="n">
        <x:f>A1470-WEEKDAY(A1470,2)+1</x:f>
        <x:v>46314</x:v>
      </x:c>
      <x:c r="R1470" s="2" t="str">
        <x:f>IF(AND(A1470&gt;='Review'!$B$4,A1470&lt;='Review'!$D$4),"Selected","Outside")</x:f>
        <x:v>Selected</x:v>
      </x:c>
    </x:row>
    <x:row r="1471" ht="20" customHeight="1">
      <x:c r="A1471" s="9" t="n">
        <x:v>46319</x:v>
      </x:c>
      <x:c r="B1471" s="2" t="str">
        <x:v>MM-2038</x:v>
      </x:c>
      <x:c r="C1471" s="2" t="str">
        <x:v>Organic Search</x:v>
      </x:c>
      <x:c r="D1471" s="2" t="str">
        <x:v>HAT-001</x:v>
      </x:c>
      <x:c r="E1471" s="2" t="str">
        <x:f>_xlfn.IFNA(VLOOKUP(D1471,'Products'!$A$7:$I$22,2,FALSE),"Unmapped")</x:f>
        <x:v>Classic canvas cap</x:v>
      </x:c>
      <x:c r="F1471" s="2" t="str">
        <x:f>_xlfn.IFNA(VLOOKUP(D1471,'Products'!$A$7:$I$22,3,FALSE),"Unmapped")</x:f>
        <x:v>Accessories</x:v>
      </x:c>
      <x:c r="G1471" s="2" t="n">
        <x:v>2</x:v>
      </x:c>
      <x:c r="H1471" s="2" t="n">
        <x:v>0</x:v>
      </x:c>
      <x:c r="I1471" s="10" t="n">
        <x:v>24.95</x:v>
      </x:c>
      <x:c r="J1471" s="10" t="n">
        <x:v>0</x:v>
      </x:c>
      <x:c r="K1471" s="10" t="n">
        <x:v>8.5</x:v>
      </x:c>
      <x:c r="L1471" s="10" t="n">
        <x:f>G1471*I1471</x:f>
        <x:v>49.9</x:v>
      </x:c>
      <x:c r="M1471" s="10" t="n">
        <x:f>ROUND((L1471-J1471)*H1471/G1471,2)</x:f>
        <x:v>0</x:v>
      </x:c>
      <x:c r="N1471" s="10" t="n">
        <x:f>L1471-J1471-M1471</x:f>
        <x:v>49.9</x:v>
      </x:c>
      <x:c r="O1471" s="10" t="n">
        <x:f>(G1471-H1471)*K1471</x:f>
        <x:v>17</x:v>
      </x:c>
      <x:c r="P1471" s="10" t="n">
        <x:f>N1471-O1471</x:f>
        <x:v>32.9</x:v>
      </x:c>
      <x:c r="Q1471" s="9" t="n">
        <x:f>A1471-WEEKDAY(A1471,2)+1</x:f>
        <x:v>46314</x:v>
      </x:c>
      <x:c r="R1471" s="2" t="str">
        <x:f>IF(AND(A1471&gt;='Review'!$B$4,A1471&lt;='Review'!$D$4),"Selected","Outside")</x:f>
        <x:v>Selected</x:v>
      </x:c>
    </x:row>
    <x:row r="1472" ht="20" customHeight="1">
      <x:c r="A1472" s="9" t="n">
        <x:v>46319</x:v>
      </x:c>
      <x:c r="B1472" s="2" t="str">
        <x:v>MM-2039</x:v>
      </x:c>
      <x:c r="C1472" s="2" t="str">
        <x:v>Organic Search</x:v>
      </x:c>
      <x:c r="D1472" s="2" t="str">
        <x:v>GFT-001</x:v>
      </x:c>
      <x:c r="E1472" s="2" t="str">
        <x:f>_xlfn.IFNA(VLOOKUP(D1472,'Products'!$A$7:$I$22,2,FALSE),"Unmapped")</x:f>
        <x:v>Morning ritual gift set</x:v>
      </x:c>
      <x:c r="F1472" s="2" t="str">
        <x:f>_xlfn.IFNA(VLOOKUP(D1472,'Products'!$A$7:$I$22,3,FALSE),"Unmapped")</x:f>
        <x:v>Gifts</x:v>
      </x:c>
      <x:c r="G1472" s="2" t="n">
        <x:v>2</x:v>
      </x:c>
      <x:c r="H1472" s="2" t="n">
        <x:v>0</x:v>
      </x:c>
      <x:c r="I1472" s="10" t="n">
        <x:v>59.95</x:v>
      </x:c>
      <x:c r="J1472" s="10" t="n">
        <x:v>0</x:v>
      </x:c>
      <x:c r="K1472" s="10" t="n">
        <x:v>24</x:v>
      </x:c>
      <x:c r="L1472" s="10" t="n">
        <x:f>G1472*I1472</x:f>
        <x:v>119.9</x:v>
      </x:c>
      <x:c r="M1472" s="10" t="n">
        <x:f>ROUND((L1472-J1472)*H1472/G1472,2)</x:f>
        <x:v>0</x:v>
      </x:c>
      <x:c r="N1472" s="10" t="n">
        <x:f>L1472-J1472-M1472</x:f>
        <x:v>119.9</x:v>
      </x:c>
      <x:c r="O1472" s="10" t="n">
        <x:f>(G1472-H1472)*K1472</x:f>
        <x:v>48</x:v>
      </x:c>
      <x:c r="P1472" s="10" t="n">
        <x:f>N1472-O1472</x:f>
        <x:v>71.9</x:v>
      </x:c>
      <x:c r="Q1472" s="9" t="n">
        <x:f>A1472-WEEKDAY(A1472,2)+1</x:f>
        <x:v>46314</x:v>
      </x:c>
      <x:c r="R1472" s="2" t="str">
        <x:f>IF(AND(A1472&gt;='Review'!$B$4,A1472&lt;='Review'!$D$4),"Selected","Outside")</x:f>
        <x:v>Selected</x:v>
      </x:c>
    </x:row>
    <x:row r="1473" ht="20" customHeight="1">
      <x:c r="A1473" s="9" t="n">
        <x:v>46319</x:v>
      </x:c>
      <x:c r="B1473" s="2" t="str">
        <x:v>MM-2047</x:v>
      </x:c>
      <x:c r="C1473" s="2" t="str">
        <x:v>Email</x:v>
      </x:c>
      <x:c r="D1473" s="2" t="str">
        <x:v>GFT-002</x:v>
      </x:c>
      <x:c r="E1473" s="2" t="str">
        <x:f>_xlfn.IFNA(VLOOKUP(D1473,'Products'!$A$7:$I$22,2,FALSE),"Unmapped")</x:f>
        <x:v>Cozy weekend gift box</x:v>
      </x:c>
      <x:c r="F1473" s="2" t="str">
        <x:f>_xlfn.IFNA(VLOOKUP(D1473,'Products'!$A$7:$I$22,3,FALSE),"Unmapped")</x:f>
        <x:v>Gifts</x:v>
      </x:c>
      <x:c r="G1473" s="2" t="n">
        <x:v>1</x:v>
      </x:c>
      <x:c r="H1473" s="2" t="n">
        <x:v>0</x:v>
      </x:c>
      <x:c r="I1473" s="10" t="n">
        <x:v>79.95</x:v>
      </x:c>
      <x:c r="J1473" s="10" t="n">
        <x:v>7.99</x:v>
      </x:c>
      <x:c r="K1473" s="10" t="n">
        <x:v>32</x:v>
      </x:c>
      <x:c r="L1473" s="10" t="n">
        <x:f>G1473*I1473</x:f>
        <x:v>79.95</x:v>
      </x:c>
      <x:c r="M1473" s="10" t="n">
        <x:f>ROUND((L1473-J1473)*H1473/G1473,2)</x:f>
        <x:v>0</x:v>
      </x:c>
      <x:c r="N1473" s="10" t="n">
        <x:f>L1473-J1473-M1473</x:f>
        <x:v>71.96000000000001</x:v>
      </x:c>
      <x:c r="O1473" s="10" t="n">
        <x:f>(G1473-H1473)*K1473</x:f>
        <x:v>32</x:v>
      </x:c>
      <x:c r="P1473" s="10" t="n">
        <x:f>N1473-O1473</x:f>
        <x:v>39.96000000000001</x:v>
      </x:c>
      <x:c r="Q1473" s="9" t="n">
        <x:f>A1473-WEEKDAY(A1473,2)+1</x:f>
        <x:v>46314</x:v>
      </x:c>
      <x:c r="R1473" s="2" t="str">
        <x:f>IF(AND(A1473&gt;='Review'!$B$4,A1473&lt;='Review'!$D$4),"Selected","Outside")</x:f>
        <x:v>Selected</x:v>
      </x:c>
    </x:row>
    <x:row r="1474" ht="20" customHeight="1">
      <x:c r="A1474" s="9" t="n">
        <x:v>46319</x:v>
      </x:c>
      <x:c r="B1474" s="2" t="str">
        <x:v>MM-2046</x:v>
      </x:c>
      <x:c r="C1474" s="2" t="str">
        <x:v>Organic Search</x:v>
      </x:c>
      <x:c r="D1474" s="2" t="str">
        <x:v>APP-002</x:v>
      </x:c>
      <x:c r="E1474" s="2" t="str">
        <x:f>_xlfn.IFNA(VLOOKUP(D1474,'Products'!$A$7:$I$22,2,FALSE),"Unmapped")</x:f>
        <x:v>Weekend hoodie</x:v>
      </x:c>
      <x:c r="F1474" s="2" t="str">
        <x:f>_xlfn.IFNA(VLOOKUP(D1474,'Products'!$A$7:$I$22,3,FALSE),"Unmapped")</x:f>
        <x:v>Apparel</x:v>
      </x:c>
      <x:c r="G1474" s="2" t="n">
        <x:v>1</x:v>
      </x:c>
      <x:c r="H1474" s="2" t="n">
        <x:v>0</x:v>
      </x:c>
      <x:c r="I1474" s="10" t="n">
        <x:v>69.95</x:v>
      </x:c>
      <x:c r="J1474" s="10" t="n">
        <x:v>0</x:v>
      </x:c>
      <x:c r="K1474" s="10" t="n">
        <x:v>28</x:v>
      </x:c>
      <x:c r="L1474" s="10" t="n">
        <x:f>G1474*I1474</x:f>
        <x:v>69.95</x:v>
      </x:c>
      <x:c r="M1474" s="10" t="n">
        <x:f>ROUND((L1474-J1474)*H1474/G1474,2)</x:f>
        <x:v>0</x:v>
      </x:c>
      <x:c r="N1474" s="10" t="n">
        <x:f>L1474-J1474-M1474</x:f>
        <x:v>69.95</x:v>
      </x:c>
      <x:c r="O1474" s="10" t="n">
        <x:f>(G1474-H1474)*K1474</x:f>
        <x:v>28</x:v>
      </x:c>
      <x:c r="P1474" s="10" t="n">
        <x:f>N1474-O1474</x:f>
        <x:v>41.95</x:v>
      </x:c>
      <x:c r="Q1474" s="9" t="n">
        <x:f>A1474-WEEKDAY(A1474,2)+1</x:f>
        <x:v>46314</x:v>
      </x:c>
      <x:c r="R1474" s="2" t="str">
        <x:f>IF(AND(A1474&gt;='Review'!$B$4,A1474&lt;='Review'!$D$4),"Selected","Outside")</x:f>
        <x:v>Selected</x:v>
      </x:c>
    </x:row>
    <x:row r="1475" ht="20" customHeight="1">
      <x:c r="A1475" s="9" t="n">
        <x:v>46319</x:v>
      </x:c>
      <x:c r="B1475" s="2" t="str">
        <x:v>MM-2033</x:v>
      </x:c>
      <x:c r="C1475" s="2" t="str">
        <x:v>Organic Search</x:v>
      </x:c>
      <x:c r="D1475" s="2" t="str">
        <x:v>PIN-001</x:v>
      </x:c>
      <x:c r="E1475" s="2" t="str">
        <x:f>_xlfn.IFNA(VLOOKUP(D1475,'Products'!$A$7:$I$22,2,FALSE),"Unmapped")</x:f>
        <x:v>Coffee enamel pin</x:v>
      </x:c>
      <x:c r="F1475" s="2" t="str">
        <x:f>_xlfn.IFNA(VLOOKUP(D1475,'Products'!$A$7:$I$22,3,FALSE),"Unmapped")</x:f>
        <x:v>Accessories</x:v>
      </x:c>
      <x:c r="G1475" s="2" t="n">
        <x:v>1</x:v>
      </x:c>
      <x:c r="H1475" s="2" t="n">
        <x:v>0</x:v>
      </x:c>
      <x:c r="I1475" s="10" t="n">
        <x:v>9.95</x:v>
      </x:c>
      <x:c r="J1475" s="10" t="n">
        <x:v>0</x:v>
      </x:c>
      <x:c r="K1475" s="10" t="n">
        <x:v>2.5</x:v>
      </x:c>
      <x:c r="L1475" s="10" t="n">
        <x:f>G1475*I1475</x:f>
        <x:v>9.95</x:v>
      </x:c>
      <x:c r="M1475" s="10" t="n">
        <x:f>ROUND((L1475-J1475)*H1475/G1475,2)</x:f>
        <x:v>0</x:v>
      </x:c>
      <x:c r="N1475" s="10" t="n">
        <x:f>L1475-J1475-M1475</x:f>
        <x:v>9.95</x:v>
      </x:c>
      <x:c r="O1475" s="10" t="n">
        <x:f>(G1475-H1475)*K1475</x:f>
        <x:v>2.5</x:v>
      </x:c>
      <x:c r="P1475" s="10" t="n">
        <x:f>N1475-O1475</x:f>
        <x:v>7.449999999999999</x:v>
      </x:c>
      <x:c r="Q1475" s="9" t="n">
        <x:f>A1475-WEEKDAY(A1475,2)+1</x:f>
        <x:v>46314</x:v>
      </x:c>
      <x:c r="R1475" s="2" t="str">
        <x:f>IF(AND(A1475&gt;='Review'!$B$4,A1475&lt;='Review'!$D$4),"Selected","Outside")</x:f>
        <x:v>Selected</x:v>
      </x:c>
    </x:row>
    <x:row r="1476" ht="20" customHeight="1">
      <x:c r="A1476" s="9" t="n">
        <x:v>46319</x:v>
      </x:c>
      <x:c r="B1476" s="2" t="str">
        <x:v>MM-2037</x:v>
      </x:c>
      <x:c r="C1476" s="2" t="str">
        <x:v>Email</x:v>
      </x:c>
      <x:c r="D1476" s="2" t="str">
        <x:v>KEY-001</x:v>
      </x:c>
      <x:c r="E1476" s="2" t="str">
        <x:f>_xlfn.IFNA(VLOOKUP(D1476,'Products'!$A$7:$I$22,2,FALSE),"Unmapped")</x:f>
        <x:v>Maple keyring</x:v>
      </x:c>
      <x:c r="F1476" s="2" t="str">
        <x:f>_xlfn.IFNA(VLOOKUP(D1476,'Products'!$A$7:$I$22,3,FALSE),"Unmapped")</x:f>
        <x:v>Accessories</x:v>
      </x:c>
      <x:c r="G1476" s="2" t="n">
        <x:v>1</x:v>
      </x:c>
      <x:c r="H1476" s="2" t="n">
        <x:v>0</x:v>
      </x:c>
      <x:c r="I1476" s="10" t="n">
        <x:v>12.95</x:v>
      </x:c>
      <x:c r="J1476" s="10" t="n">
        <x:v>1.29</x:v>
      </x:c>
      <x:c r="K1476" s="10" t="n">
        <x:v>3.5</x:v>
      </x:c>
      <x:c r="L1476" s="10" t="n">
        <x:f>G1476*I1476</x:f>
        <x:v>12.95</x:v>
      </x:c>
      <x:c r="M1476" s="10" t="n">
        <x:f>ROUND((L1476-J1476)*H1476/G1476,2)</x:f>
        <x:v>0</x:v>
      </x:c>
      <x:c r="N1476" s="10" t="n">
        <x:f>L1476-J1476-M1476</x:f>
        <x:v>11.66</x:v>
      </x:c>
      <x:c r="O1476" s="10" t="n">
        <x:f>(G1476-H1476)*K1476</x:f>
        <x:v>3.5</x:v>
      </x:c>
      <x:c r="P1476" s="10" t="n">
        <x:f>N1476-O1476</x:f>
        <x:v>8.16</x:v>
      </x:c>
      <x:c r="Q1476" s="9" t="n">
        <x:f>A1476-WEEKDAY(A1476,2)+1</x:f>
        <x:v>46314</x:v>
      </x:c>
      <x:c r="R1476" s="2" t="str">
        <x:f>IF(AND(A1476&gt;='Review'!$B$4,A1476&lt;='Review'!$D$4),"Selected","Outside")</x:f>
        <x:v>Selected</x:v>
      </x:c>
    </x:row>
    <x:row r="1477" ht="20" customHeight="1">
      <x:c r="A1477" s="9" t="n">
        <x:v>46319</x:v>
      </x:c>
      <x:c r="B1477" s="2" t="str">
        <x:v>MM-2040</x:v>
      </x:c>
      <x:c r="C1477" s="2" t="str">
        <x:v>Organic Search</x:v>
      </x:c>
      <x:c r="D1477" s="2" t="str">
        <x:v>PIN-001</x:v>
      </x:c>
      <x:c r="E1477" s="2" t="str">
        <x:f>_xlfn.IFNA(VLOOKUP(D1477,'Products'!$A$7:$I$22,2,FALSE),"Unmapped")</x:f>
        <x:v>Coffee enamel pin</x:v>
      </x:c>
      <x:c r="F1477" s="2" t="str">
        <x:f>_xlfn.IFNA(VLOOKUP(D1477,'Products'!$A$7:$I$22,3,FALSE),"Unmapped")</x:f>
        <x:v>Accessories</x:v>
      </x:c>
      <x:c r="G1477" s="2" t="n">
        <x:v>1</x:v>
      </x:c>
      <x:c r="H1477" s="2" t="n">
        <x:v>0</x:v>
      </x:c>
      <x:c r="I1477" s="10" t="n">
        <x:v>9.95</x:v>
      </x:c>
      <x:c r="J1477" s="10" t="n">
        <x:v>0</x:v>
      </x:c>
      <x:c r="K1477" s="10" t="n">
        <x:v>2.5</x:v>
      </x:c>
      <x:c r="L1477" s="10" t="n">
        <x:f>G1477*I1477</x:f>
        <x:v>9.95</x:v>
      </x:c>
      <x:c r="M1477" s="10" t="n">
        <x:f>ROUND((L1477-J1477)*H1477/G1477,2)</x:f>
        <x:v>0</x:v>
      </x:c>
      <x:c r="N1477" s="10" t="n">
        <x:f>L1477-J1477-M1477</x:f>
        <x:v>9.95</x:v>
      </x:c>
      <x:c r="O1477" s="10" t="n">
        <x:f>(G1477-H1477)*K1477</x:f>
        <x:v>2.5</x:v>
      </x:c>
      <x:c r="P1477" s="10" t="n">
        <x:f>N1477-O1477</x:f>
        <x:v>7.449999999999999</x:v>
      </x:c>
      <x:c r="Q1477" s="9" t="n">
        <x:f>A1477-WEEKDAY(A1477,2)+1</x:f>
        <x:v>46314</x:v>
      </x:c>
      <x:c r="R1477" s="2" t="str">
        <x:f>IF(AND(A1477&gt;='Review'!$B$4,A1477&lt;='Review'!$D$4),"Selected","Outside")</x:f>
        <x:v>Selected</x:v>
      </x:c>
    </x:row>
    <x:row r="1478" ht="20" customHeight="1">
      <x:c r="A1478" s="9" t="n">
        <x:v>46319</x:v>
      </x:c>
      <x:c r="B1478" s="2" t="str">
        <x:v>MM-2040</x:v>
      </x:c>
      <x:c r="C1478" s="2" t="str">
        <x:v>Organic Search</x:v>
      </x:c>
      <x:c r="D1478" s="2" t="str">
        <x:v>APP-002</x:v>
      </x:c>
      <x:c r="E1478" s="2" t="str">
        <x:f>_xlfn.IFNA(VLOOKUP(D1478,'Products'!$A$7:$I$22,2,FALSE),"Unmapped")</x:f>
        <x:v>Weekend hoodie</x:v>
      </x:c>
      <x:c r="F1478" s="2" t="str">
        <x:f>_xlfn.IFNA(VLOOKUP(D1478,'Products'!$A$7:$I$22,3,FALSE),"Unmapped")</x:f>
        <x:v>Apparel</x:v>
      </x:c>
      <x:c r="G1478" s="2" t="n">
        <x:v>2</x:v>
      </x:c>
      <x:c r="H1478" s="2" t="n">
        <x:v>0</x:v>
      </x:c>
      <x:c r="I1478" s="10" t="n">
        <x:v>69.95</x:v>
      </x:c>
      <x:c r="J1478" s="10" t="n">
        <x:v>0</x:v>
      </x:c>
      <x:c r="K1478" s="10" t="n">
        <x:v>28</x:v>
      </x:c>
      <x:c r="L1478" s="10" t="n">
        <x:f>G1478*I1478</x:f>
        <x:v>139.9</x:v>
      </x:c>
      <x:c r="M1478" s="10" t="n">
        <x:f>ROUND((L1478-J1478)*H1478/G1478,2)</x:f>
        <x:v>0</x:v>
      </x:c>
      <x:c r="N1478" s="10" t="n">
        <x:f>L1478-J1478-M1478</x:f>
        <x:v>139.9</x:v>
      </x:c>
      <x:c r="O1478" s="10" t="n">
        <x:f>(G1478-H1478)*K1478</x:f>
        <x:v>56</x:v>
      </x:c>
      <x:c r="P1478" s="10" t="n">
        <x:f>N1478-O1478</x:f>
        <x:v>83.9</x:v>
      </x:c>
      <x:c r="Q1478" s="9" t="n">
        <x:f>A1478-WEEKDAY(A1478,2)+1</x:f>
        <x:v>46314</x:v>
      </x:c>
      <x:c r="R1478" s="2" t="str">
        <x:f>IF(AND(A1478&gt;='Review'!$B$4,A1478&lt;='Review'!$D$4),"Selected","Outside")</x:f>
        <x:v>Selected</x:v>
      </x:c>
    </x:row>
    <x:row r="1479" ht="20" customHeight="1">
      <x:c r="A1479" s="9" t="n">
        <x:v>46319</x:v>
      </x:c>
      <x:c r="B1479" s="2" t="str">
        <x:v>MM-2040</x:v>
      </x:c>
      <x:c r="C1479" s="2" t="str">
        <x:v>Organic Search</x:v>
      </x:c>
      <x:c r="D1479" s="2" t="str">
        <x:v>GFT-001</x:v>
      </x:c>
      <x:c r="E1479" s="2" t="str">
        <x:f>_xlfn.IFNA(VLOOKUP(D1479,'Products'!$A$7:$I$22,2,FALSE),"Unmapped")</x:f>
        <x:v>Morning ritual gift set</x:v>
      </x:c>
      <x:c r="F1479" s="2" t="str">
        <x:f>_xlfn.IFNA(VLOOKUP(D1479,'Products'!$A$7:$I$22,3,FALSE),"Unmapped")</x:f>
        <x:v>Gifts</x:v>
      </x:c>
      <x:c r="G1479" s="2" t="n">
        <x:v>1</x:v>
      </x:c>
      <x:c r="H1479" s="2" t="n">
        <x:v>0</x:v>
      </x:c>
      <x:c r="I1479" s="10" t="n">
        <x:v>59.95</x:v>
      </x:c>
      <x:c r="J1479" s="10" t="n">
        <x:v>0</x:v>
      </x:c>
      <x:c r="K1479" s="10" t="n">
        <x:v>24</x:v>
      </x:c>
      <x:c r="L1479" s="10" t="n">
        <x:f>G1479*I1479</x:f>
        <x:v>59.95</x:v>
      </x:c>
      <x:c r="M1479" s="10" t="n">
        <x:f>ROUND((L1479-J1479)*H1479/G1479,2)</x:f>
        <x:v>0</x:v>
      </x:c>
      <x:c r="N1479" s="10" t="n">
        <x:f>L1479-J1479-M1479</x:f>
        <x:v>59.95</x:v>
      </x:c>
      <x:c r="O1479" s="10" t="n">
        <x:f>(G1479-H1479)*K1479</x:f>
        <x:v>24</x:v>
      </x:c>
      <x:c r="P1479" s="10" t="n">
        <x:f>N1479-O1479</x:f>
        <x:v>35.95</x:v>
      </x:c>
      <x:c r="Q1479" s="9" t="n">
        <x:f>A1479-WEEKDAY(A1479,2)+1</x:f>
        <x:v>46314</x:v>
      </x:c>
      <x:c r="R1479" s="2" t="str">
        <x:f>IF(AND(A1479&gt;='Review'!$B$4,A1479&lt;='Review'!$D$4),"Selected","Outside")</x:f>
        <x:v>Selected</x:v>
      </x:c>
    </x:row>
    <x:row r="1480" ht="20" customHeight="1">
      <x:c r="A1480" s="9" t="n">
        <x:v>46319</x:v>
      </x:c>
      <x:c r="B1480" s="2" t="str">
        <x:v>MM-2049</x:v>
      </x:c>
      <x:c r="C1480" s="2" t="str">
        <x:v>Direct</x:v>
      </x:c>
      <x:c r="D1480" s="2" t="str">
        <x:v>TUM-001</x:v>
      </x:c>
      <x:c r="E1480" s="2" t="str">
        <x:f>_xlfn.IFNA(VLOOKUP(D1480,'Products'!$A$7:$I$22,2,FALSE),"Unmapped")</x:f>
        <x:v>Maple travel tumbler</x:v>
      </x:c>
      <x:c r="F1480" s="2" t="str">
        <x:f>_xlfn.IFNA(VLOOKUP(D1480,'Products'!$A$7:$I$22,3,FALSE),"Unmapped")</x:f>
        <x:v>Drinkware</x:v>
      </x:c>
      <x:c r="G1480" s="2" t="n">
        <x:v>1</x:v>
      </x:c>
      <x:c r="H1480" s="2" t="n">
        <x:v>0</x:v>
      </x:c>
      <x:c r="I1480" s="10" t="n">
        <x:v>32.95</x:v>
      </x:c>
      <x:c r="J1480" s="10" t="n">
        <x:v>0</x:v>
      </x:c>
      <x:c r="K1480" s="10" t="n">
        <x:v>12</x:v>
      </x:c>
      <x:c r="L1480" s="10" t="n">
        <x:f>G1480*I1480</x:f>
        <x:v>32.95</x:v>
      </x:c>
      <x:c r="M1480" s="10" t="n">
        <x:f>ROUND((L1480-J1480)*H1480/G1480,2)</x:f>
        <x:v>0</x:v>
      </x:c>
      <x:c r="N1480" s="10" t="n">
        <x:f>L1480-J1480-M1480</x:f>
        <x:v>32.95</x:v>
      </x:c>
      <x:c r="O1480" s="10" t="n">
        <x:f>(G1480-H1480)*K1480</x:f>
        <x:v>12</x:v>
      </x:c>
      <x:c r="P1480" s="10" t="n">
        <x:f>N1480-O1480</x:f>
        <x:v>20.950000000000003</x:v>
      </x:c>
      <x:c r="Q1480" s="9" t="n">
        <x:f>A1480-WEEKDAY(A1480,2)+1</x:f>
        <x:v>46314</x:v>
      </x:c>
      <x:c r="R1480" s="2" t="str">
        <x:f>IF(AND(A1480&gt;='Review'!$B$4,A1480&lt;='Review'!$D$4),"Selected","Outside")</x:f>
        <x:v>Selected</x:v>
      </x:c>
    </x:row>
    <x:row r="1481" ht="20" customHeight="1">
      <x:c r="A1481" s="9" t="n">
        <x:v>46319</x:v>
      </x:c>
      <x:c r="B1481" s="2" t="str">
        <x:v>MM-2048</x:v>
      </x:c>
      <x:c r="C1481" s="2" t="str">
        <x:v>Email</x:v>
      </x:c>
      <x:c r="D1481" s="2" t="str">
        <x:v>TUM-002</x:v>
      </x:c>
      <x:c r="E1481" s="2" t="str">
        <x:f>_xlfn.IFNA(VLOOKUP(D1481,'Products'!$A$7:$I$22,2,FALSE),"Unmapped")</x:f>
        <x:v>Cold brew glass cup</x:v>
      </x:c>
      <x:c r="F1481" s="2" t="str">
        <x:f>_xlfn.IFNA(VLOOKUP(D1481,'Products'!$A$7:$I$22,3,FALSE),"Unmapped")</x:f>
        <x:v>Drinkware</x:v>
      </x:c>
      <x:c r="G1481" s="2" t="n">
        <x:v>3</x:v>
      </x:c>
      <x:c r="H1481" s="2" t="n">
        <x:v>0</x:v>
      </x:c>
      <x:c r="I1481" s="10" t="n">
        <x:v>24.95</x:v>
      </x:c>
      <x:c r="J1481" s="10" t="n">
        <x:v>7.48</x:v>
      </x:c>
      <x:c r="K1481" s="10" t="n">
        <x:v>9</x:v>
      </x:c>
      <x:c r="L1481" s="10" t="n">
        <x:f>G1481*I1481</x:f>
        <x:v>74.85</x:v>
      </x:c>
      <x:c r="M1481" s="10" t="n">
        <x:f>ROUND((L1481-J1481)*H1481/G1481,2)</x:f>
        <x:v>0</x:v>
      </x:c>
      <x:c r="N1481" s="10" t="n">
        <x:f>L1481-J1481-M1481</x:f>
        <x:v>67.36999999999999</x:v>
      </x:c>
      <x:c r="O1481" s="10" t="n">
        <x:f>(G1481-H1481)*K1481</x:f>
        <x:v>27</x:v>
      </x:c>
      <x:c r="P1481" s="10" t="n">
        <x:f>N1481-O1481</x:f>
        <x:v>40.36999999999999</x:v>
      </x:c>
      <x:c r="Q1481" s="9" t="n">
        <x:f>A1481-WEEKDAY(A1481,2)+1</x:f>
        <x:v>46314</x:v>
      </x:c>
      <x:c r="R1481" s="2" t="str">
        <x:f>IF(AND(A1481&gt;='Review'!$B$4,A1481&lt;='Review'!$D$4),"Selected","Outside")</x:f>
        <x:v>Selected</x:v>
      </x:c>
    </x:row>
    <x:row r="1482" ht="20" customHeight="1">
      <x:c r="A1482" s="9" t="n">
        <x:v>46319</x:v>
      </x:c>
      <x:c r="B1482" s="2" t="str">
        <x:v>MM-2042</x:v>
      </x:c>
      <x:c r="C1482" s="2" t="str">
        <x:v>Organic Search</x:v>
      </x:c>
      <x:c r="D1482" s="2" t="str">
        <x:v>PIN-001</x:v>
      </x:c>
      <x:c r="E1482" s="2" t="str">
        <x:f>_xlfn.IFNA(VLOOKUP(D1482,'Products'!$A$7:$I$22,2,FALSE),"Unmapped")</x:f>
        <x:v>Coffee enamel pin</x:v>
      </x:c>
      <x:c r="F1482" s="2" t="str">
        <x:f>_xlfn.IFNA(VLOOKUP(D1482,'Products'!$A$7:$I$22,3,FALSE),"Unmapped")</x:f>
        <x:v>Accessories</x:v>
      </x:c>
      <x:c r="G1482" s="2" t="n">
        <x:v>1</x:v>
      </x:c>
      <x:c r="H1482" s="2" t="n">
        <x:v>0</x:v>
      </x:c>
      <x:c r="I1482" s="10" t="n">
        <x:v>9.95</x:v>
      </x:c>
      <x:c r="J1482" s="10" t="n">
        <x:v>0</x:v>
      </x:c>
      <x:c r="K1482" s="10" t="n">
        <x:v>2.5</x:v>
      </x:c>
      <x:c r="L1482" s="10" t="n">
        <x:f>G1482*I1482</x:f>
        <x:v>9.95</x:v>
      </x:c>
      <x:c r="M1482" s="10" t="n">
        <x:f>ROUND((L1482-J1482)*H1482/G1482,2)</x:f>
        <x:v>0</x:v>
      </x:c>
      <x:c r="N1482" s="10" t="n">
        <x:f>L1482-J1482-M1482</x:f>
        <x:v>9.95</x:v>
      </x:c>
      <x:c r="O1482" s="10" t="n">
        <x:f>(G1482-H1482)*K1482</x:f>
        <x:v>2.5</x:v>
      </x:c>
      <x:c r="P1482" s="10" t="n">
        <x:f>N1482-O1482</x:f>
        <x:v>7.449999999999999</x:v>
      </x:c>
      <x:c r="Q1482" s="9" t="n">
        <x:f>A1482-WEEKDAY(A1482,2)+1</x:f>
        <x:v>46314</x:v>
      </x:c>
      <x:c r="R1482" s="2" t="str">
        <x:f>IF(AND(A1482&gt;='Review'!$B$4,A1482&lt;='Review'!$D$4),"Selected","Outside")</x:f>
        <x:v>Selected</x:v>
      </x:c>
    </x:row>
    <x:row r="1483" ht="20" customHeight="1">
      <x:c r="A1483" s="9" t="n">
        <x:v>46319</x:v>
      </x:c>
      <x:c r="B1483" s="2" t="str">
        <x:v>MM-2042</x:v>
      </x:c>
      <x:c r="C1483" s="2" t="str">
        <x:v>Organic Search</x:v>
      </x:c>
      <x:c r="D1483" s="2" t="str">
        <x:v>APP-001</x:v>
      </x:c>
      <x:c r="E1483" s="2" t="str">
        <x:f>_xlfn.IFNA(VLOOKUP(D1483,'Products'!$A$7:$I$22,2,FALSE),"Unmapped")</x:f>
        <x:v>Everyday crewneck</x:v>
      </x:c>
      <x:c r="F1483" s="2" t="str">
        <x:f>_xlfn.IFNA(VLOOKUP(D1483,'Products'!$A$7:$I$22,3,FALSE),"Unmapped")</x:f>
        <x:v>Apparel</x:v>
      </x:c>
      <x:c r="G1483" s="2" t="n">
        <x:v>1</x:v>
      </x:c>
      <x:c r="H1483" s="2" t="n">
        <x:v>0</x:v>
      </x:c>
      <x:c r="I1483" s="10" t="n">
        <x:v>54.95</x:v>
      </x:c>
      <x:c r="J1483" s="10" t="n">
        <x:v>0</x:v>
      </x:c>
      <x:c r="K1483" s="10" t="n">
        <x:v>22</x:v>
      </x:c>
      <x:c r="L1483" s="10" t="n">
        <x:f>G1483*I1483</x:f>
        <x:v>54.95</x:v>
      </x:c>
      <x:c r="M1483" s="10" t="n">
        <x:f>ROUND((L1483-J1483)*H1483/G1483,2)</x:f>
        <x:v>0</x:v>
      </x:c>
      <x:c r="N1483" s="10" t="n">
        <x:f>L1483-J1483-M1483</x:f>
        <x:v>54.95</x:v>
      </x:c>
      <x:c r="O1483" s="10" t="n">
        <x:f>(G1483-H1483)*K1483</x:f>
        <x:v>22</x:v>
      </x:c>
      <x:c r="P1483" s="10" t="n">
        <x:f>N1483-O1483</x:f>
        <x:v>32.95</x:v>
      </x:c>
      <x:c r="Q1483" s="9" t="n">
        <x:f>A1483-WEEKDAY(A1483,2)+1</x:f>
        <x:v>46314</x:v>
      </x:c>
      <x:c r="R1483" s="2" t="str">
        <x:f>IF(AND(A1483&gt;='Review'!$B$4,A1483&lt;='Review'!$D$4),"Selected","Outside")</x:f>
        <x:v>Selected</x:v>
      </x:c>
    </x:row>
    <x:row r="1484" ht="20" customHeight="1">
      <x:c r="A1484" s="9" t="n">
        <x:v>46319</x:v>
      </x:c>
      <x:c r="B1484" s="2" t="str">
        <x:v>MM-2042</x:v>
      </x:c>
      <x:c r="C1484" s="2" t="str">
        <x:v>Organic Search</x:v>
      </x:c>
      <x:c r="D1484" s="2" t="str">
        <x:v>GFT-002</x:v>
      </x:c>
      <x:c r="E1484" s="2" t="str">
        <x:f>_xlfn.IFNA(VLOOKUP(D1484,'Products'!$A$7:$I$22,2,FALSE),"Unmapped")</x:f>
        <x:v>Cozy weekend gift box</x:v>
      </x:c>
      <x:c r="F1484" s="2" t="str">
        <x:f>_xlfn.IFNA(VLOOKUP(D1484,'Products'!$A$7:$I$22,3,FALSE),"Unmapped")</x:f>
        <x:v>Gifts</x:v>
      </x:c>
      <x:c r="G1484" s="2" t="n">
        <x:v>2</x:v>
      </x:c>
      <x:c r="H1484" s="2" t="n">
        <x:v>0</x:v>
      </x:c>
      <x:c r="I1484" s="10" t="n">
        <x:v>79.95</x:v>
      </x:c>
      <x:c r="J1484" s="10" t="n">
        <x:v>0</x:v>
      </x:c>
      <x:c r="K1484" s="10" t="n">
        <x:v>32</x:v>
      </x:c>
      <x:c r="L1484" s="10" t="n">
        <x:f>G1484*I1484</x:f>
        <x:v>159.9</x:v>
      </x:c>
      <x:c r="M1484" s="10" t="n">
        <x:f>ROUND((L1484-J1484)*H1484/G1484,2)</x:f>
        <x:v>0</x:v>
      </x:c>
      <x:c r="N1484" s="10" t="n">
        <x:f>L1484-J1484-M1484</x:f>
        <x:v>159.9</x:v>
      </x:c>
      <x:c r="O1484" s="10" t="n">
        <x:f>(G1484-H1484)*K1484</x:f>
        <x:v>64</x:v>
      </x:c>
      <x:c r="P1484" s="10" t="n">
        <x:f>N1484-O1484</x:f>
        <x:v>95.9</x:v>
      </x:c>
      <x:c r="Q1484" s="9" t="n">
        <x:f>A1484-WEEKDAY(A1484,2)+1</x:f>
        <x:v>46314</x:v>
      </x:c>
      <x:c r="R1484" s="2" t="str">
        <x:f>IF(AND(A1484&gt;='Review'!$B$4,A1484&lt;='Review'!$D$4),"Selected","Outside")</x:f>
        <x:v>Selected</x:v>
      </x:c>
    </x:row>
    <x:row r="1485" ht="20" customHeight="1">
      <x:c r="A1485" s="9" t="n">
        <x:v>46319</x:v>
      </x:c>
      <x:c r="B1485" s="2" t="str">
        <x:v>MM-2036</x:v>
      </x:c>
      <x:c r="C1485" s="2" t="str">
        <x:v>Email</x:v>
      </x:c>
      <x:c r="D1485" s="2" t="str">
        <x:v>MUG-001</x:v>
      </x:c>
      <x:c r="E1485" s="2" t="str">
        <x:f>_xlfn.IFNA(VLOOKUP(D1485,'Products'!$A$7:$I$22,2,FALSE),"Unmapped")</x:f>
        <x:v>Everyday ceramic mug</x:v>
      </x:c>
      <x:c r="F1485" s="2" t="str">
        <x:f>_xlfn.IFNA(VLOOKUP(D1485,'Products'!$A$7:$I$22,3,FALSE),"Unmapped")</x:f>
        <x:v>Drinkware</x:v>
      </x:c>
      <x:c r="G1485" s="2" t="n">
        <x:v>1</x:v>
      </x:c>
      <x:c r="H1485" s="2" t="n">
        <x:v>0</x:v>
      </x:c>
      <x:c r="I1485" s="10" t="n">
        <x:v>18.95</x:v>
      </x:c>
      <x:c r="J1485" s="10" t="n">
        <x:v>1.89</x:v>
      </x:c>
      <x:c r="K1485" s="10" t="n">
        <x:v>6.5</x:v>
      </x:c>
      <x:c r="L1485" s="10" t="n">
        <x:f>G1485*I1485</x:f>
        <x:v>18.95</x:v>
      </x:c>
      <x:c r="M1485" s="10" t="n">
        <x:f>ROUND((L1485-J1485)*H1485/G1485,2)</x:f>
        <x:v>0</x:v>
      </x:c>
      <x:c r="N1485" s="10" t="n">
        <x:f>L1485-J1485-M1485</x:f>
        <x:v>17.06</x:v>
      </x:c>
      <x:c r="O1485" s="10" t="n">
        <x:f>(G1485-H1485)*K1485</x:f>
        <x:v>6.5</x:v>
      </x:c>
      <x:c r="P1485" s="10" t="n">
        <x:f>N1485-O1485</x:f>
        <x:v>10.559999999999999</x:v>
      </x:c>
      <x:c r="Q1485" s="9" t="n">
        <x:f>A1485-WEEKDAY(A1485,2)+1</x:f>
        <x:v>46314</x:v>
      </x:c>
      <x:c r="R1485" s="2" t="str">
        <x:f>IF(AND(A1485&gt;='Review'!$B$4,A1485&lt;='Review'!$D$4),"Selected","Outside")</x:f>
        <x:v>Selected</x:v>
      </x:c>
    </x:row>
    <x:row r="1486" ht="20" customHeight="1">
      <x:c r="A1486" s="9" t="n">
        <x:v>46319</x:v>
      </x:c>
      <x:c r="B1486" s="2" t="str">
        <x:v>MM-2036</x:v>
      </x:c>
      <x:c r="C1486" s="2" t="str">
        <x:v>Email</x:v>
      </x:c>
      <x:c r="D1486" s="2" t="str">
        <x:v>TUM-001</x:v>
      </x:c>
      <x:c r="E1486" s="2" t="str">
        <x:f>_xlfn.IFNA(VLOOKUP(D1486,'Products'!$A$7:$I$22,2,FALSE),"Unmapped")</x:f>
        <x:v>Maple travel tumbler</x:v>
      </x:c>
      <x:c r="F1486" s="2" t="str">
        <x:f>_xlfn.IFNA(VLOOKUP(D1486,'Products'!$A$7:$I$22,3,FALSE),"Unmapped")</x:f>
        <x:v>Drinkware</x:v>
      </x:c>
      <x:c r="G1486" s="2" t="n">
        <x:v>1</x:v>
      </x:c>
      <x:c r="H1486" s="2" t="n">
        <x:v>0</x:v>
      </x:c>
      <x:c r="I1486" s="10" t="n">
        <x:v>32.95</x:v>
      </x:c>
      <x:c r="J1486" s="10" t="n">
        <x:v>3.29</x:v>
      </x:c>
      <x:c r="K1486" s="10" t="n">
        <x:v>12</x:v>
      </x:c>
      <x:c r="L1486" s="10" t="n">
        <x:f>G1486*I1486</x:f>
        <x:v>32.95</x:v>
      </x:c>
      <x:c r="M1486" s="10" t="n">
        <x:f>ROUND((L1486-J1486)*H1486/G1486,2)</x:f>
        <x:v>0</x:v>
      </x:c>
      <x:c r="N1486" s="10" t="n">
        <x:f>L1486-J1486-M1486</x:f>
        <x:v>29.660000000000004</x:v>
      </x:c>
      <x:c r="O1486" s="10" t="n">
        <x:f>(G1486-H1486)*K1486</x:f>
        <x:v>12</x:v>
      </x:c>
      <x:c r="P1486" s="10" t="n">
        <x:f>N1486-O1486</x:f>
        <x:v>17.660000000000004</x:v>
      </x:c>
      <x:c r="Q1486" s="9" t="n">
        <x:f>A1486-WEEKDAY(A1486,2)+1</x:f>
        <x:v>46314</x:v>
      </x:c>
      <x:c r="R1486" s="2" t="str">
        <x:f>IF(AND(A1486&gt;='Review'!$B$4,A1486&lt;='Review'!$D$4),"Selected","Outside")</x:f>
        <x:v>Selected</x:v>
      </x:c>
    </x:row>
    <x:row r="1487" ht="20" customHeight="1">
      <x:c r="A1487" s="9" t="n">
        <x:v>46319</x:v>
      </x:c>
      <x:c r="B1487" s="2" t="str">
        <x:v>MM-2041</x:v>
      </x:c>
      <x:c r="C1487" s="2" t="str">
        <x:v>Direct</x:v>
      </x:c>
      <x:c r="D1487" s="2" t="str">
        <x:v>APP-002</x:v>
      </x:c>
      <x:c r="E1487" s="2" t="str">
        <x:f>_xlfn.IFNA(VLOOKUP(D1487,'Products'!$A$7:$I$22,2,FALSE),"Unmapped")</x:f>
        <x:v>Weekend hoodie</x:v>
      </x:c>
      <x:c r="F1487" s="2" t="str">
        <x:f>_xlfn.IFNA(VLOOKUP(D1487,'Products'!$A$7:$I$22,3,FALSE),"Unmapped")</x:f>
        <x:v>Apparel</x:v>
      </x:c>
      <x:c r="G1487" s="2" t="n">
        <x:v>1</x:v>
      </x:c>
      <x:c r="H1487" s="2" t="n">
        <x:v>0</x:v>
      </x:c>
      <x:c r="I1487" s="10" t="n">
        <x:v>69.95</x:v>
      </x:c>
      <x:c r="J1487" s="10" t="n">
        <x:v>0</x:v>
      </x:c>
      <x:c r="K1487" s="10" t="n">
        <x:v>28</x:v>
      </x:c>
      <x:c r="L1487" s="10" t="n">
        <x:f>G1487*I1487</x:f>
        <x:v>69.95</x:v>
      </x:c>
      <x:c r="M1487" s="10" t="n">
        <x:f>ROUND((L1487-J1487)*H1487/G1487,2)</x:f>
        <x:v>0</x:v>
      </x:c>
      <x:c r="N1487" s="10" t="n">
        <x:f>L1487-J1487-M1487</x:f>
        <x:v>69.95</x:v>
      </x:c>
      <x:c r="O1487" s="10" t="n">
        <x:f>(G1487-H1487)*K1487</x:f>
        <x:v>28</x:v>
      </x:c>
      <x:c r="P1487" s="10" t="n">
        <x:f>N1487-O1487</x:f>
        <x:v>41.95</x:v>
      </x:c>
      <x:c r="Q1487" s="9" t="n">
        <x:f>A1487-WEEKDAY(A1487,2)+1</x:f>
        <x:v>46314</x:v>
      </x:c>
      <x:c r="R1487" s="2" t="str">
        <x:f>IF(AND(A1487&gt;='Review'!$B$4,A1487&lt;='Review'!$D$4),"Selected","Outside")</x:f>
        <x:v>Selected</x:v>
      </x:c>
    </x:row>
    <x:row r="1488" ht="20" customHeight="1">
      <x:c r="A1488" s="9" t="n">
        <x:v>46319</x:v>
      </x:c>
      <x:c r="B1488" s="2" t="str">
        <x:v>MM-2041</x:v>
      </x:c>
      <x:c r="C1488" s="2" t="str">
        <x:v>Direct</x:v>
      </x:c>
      <x:c r="D1488" s="2" t="str">
        <x:v>APP-001</x:v>
      </x:c>
      <x:c r="E1488" s="2" t="str">
        <x:f>_xlfn.IFNA(VLOOKUP(D1488,'Products'!$A$7:$I$22,2,FALSE),"Unmapped")</x:f>
        <x:v>Everyday crewneck</x:v>
      </x:c>
      <x:c r="F1488" s="2" t="str">
        <x:f>_xlfn.IFNA(VLOOKUP(D1488,'Products'!$A$7:$I$22,3,FALSE),"Unmapped")</x:f>
        <x:v>Apparel</x:v>
      </x:c>
      <x:c r="G1488" s="2" t="n">
        <x:v>1</x:v>
      </x:c>
      <x:c r="H1488" s="2" t="n">
        <x:v>0</x:v>
      </x:c>
      <x:c r="I1488" s="10" t="n">
        <x:v>54.95</x:v>
      </x:c>
      <x:c r="J1488" s="10" t="n">
        <x:v>0</x:v>
      </x:c>
      <x:c r="K1488" s="10" t="n">
        <x:v>22</x:v>
      </x:c>
      <x:c r="L1488" s="10" t="n">
        <x:f>G1488*I1488</x:f>
        <x:v>54.95</x:v>
      </x:c>
      <x:c r="M1488" s="10" t="n">
        <x:f>ROUND((L1488-J1488)*H1488/G1488,2)</x:f>
        <x:v>0</x:v>
      </x:c>
      <x:c r="N1488" s="10" t="n">
        <x:f>L1488-J1488-M1488</x:f>
        <x:v>54.95</x:v>
      </x:c>
      <x:c r="O1488" s="10" t="n">
        <x:f>(G1488-H1488)*K1488</x:f>
        <x:v>22</x:v>
      </x:c>
      <x:c r="P1488" s="10" t="n">
        <x:f>N1488-O1488</x:f>
        <x:v>32.95</x:v>
      </x:c>
      <x:c r="Q1488" s="9" t="n">
        <x:f>A1488-WEEKDAY(A1488,2)+1</x:f>
        <x:v>46314</x:v>
      </x:c>
      <x:c r="R1488" s="2" t="str">
        <x:f>IF(AND(A1488&gt;='Review'!$B$4,A1488&lt;='Review'!$D$4),"Selected","Outside")</x:f>
        <x:v>Selected</x:v>
      </x:c>
    </x:row>
    <x:row r="1489" ht="20" customHeight="1">
      <x:c r="A1489" s="9" t="n">
        <x:v>46320</x:v>
      </x:c>
      <x:c r="B1489" s="2" t="str">
        <x:v>MM-2055</x:v>
      </x:c>
      <x:c r="C1489" s="2" t="str">
        <x:v>Direct</x:v>
      </x:c>
      <x:c r="D1489" s="2" t="str">
        <x:v>APP-002</x:v>
      </x:c>
      <x:c r="E1489" s="2" t="str">
        <x:f>_xlfn.IFNA(VLOOKUP(D1489,'Products'!$A$7:$I$22,2,FALSE),"Unmapped")</x:f>
        <x:v>Weekend hoodie</x:v>
      </x:c>
      <x:c r="F1489" s="2" t="str">
        <x:f>_xlfn.IFNA(VLOOKUP(D1489,'Products'!$A$7:$I$22,3,FALSE),"Unmapped")</x:f>
        <x:v>Apparel</x:v>
      </x:c>
      <x:c r="G1489" s="2" t="n">
        <x:v>1</x:v>
      </x:c>
      <x:c r="H1489" s="2" t="n">
        <x:v>0</x:v>
      </x:c>
      <x:c r="I1489" s="10" t="n">
        <x:v>69.95</x:v>
      </x:c>
      <x:c r="J1489" s="10" t="n">
        <x:v>6.99</x:v>
      </x:c>
      <x:c r="K1489" s="10" t="n">
        <x:v>28</x:v>
      </x:c>
      <x:c r="L1489" s="10" t="n">
        <x:f>G1489*I1489</x:f>
        <x:v>69.95</x:v>
      </x:c>
      <x:c r="M1489" s="10" t="n">
        <x:f>ROUND((L1489-J1489)*H1489/G1489,2)</x:f>
        <x:v>0</x:v>
      </x:c>
      <x:c r="N1489" s="10" t="n">
        <x:f>L1489-J1489-M1489</x:f>
        <x:v>62.96</x:v>
      </x:c>
      <x:c r="O1489" s="10" t="n">
        <x:f>(G1489-H1489)*K1489</x:f>
        <x:v>28</x:v>
      </x:c>
      <x:c r="P1489" s="10" t="n">
        <x:f>N1489-O1489</x:f>
        <x:v>34.96</x:v>
      </x:c>
      <x:c r="Q1489" s="9" t="n">
        <x:f>A1489-WEEKDAY(A1489,2)+1</x:f>
        <x:v>46314</x:v>
      </x:c>
      <x:c r="R1489" s="2" t="str">
        <x:f>IF(AND(A1489&gt;='Review'!$B$4,A1489&lt;='Review'!$D$4),"Selected","Outside")</x:f>
        <x:v>Selected</x:v>
      </x:c>
    </x:row>
    <x:row r="1490" ht="20" customHeight="1">
      <x:c r="A1490" s="9" t="n">
        <x:v>46320</x:v>
      </x:c>
      <x:c r="B1490" s="2" t="str">
        <x:v>MM-2055</x:v>
      </x:c>
      <x:c r="C1490" s="2" t="str">
        <x:v>Direct</x:v>
      </x:c>
      <x:c r="D1490" s="2" t="str">
        <x:v>TOTE-001</x:v>
      </x:c>
      <x:c r="E1490" s="2" t="str">
        <x:f>_xlfn.IFNA(VLOOKUP(D1490,'Products'!$A$7:$I$22,2,FALSE),"Unmapped")</x:f>
        <x:v>Market canvas tote</x:v>
      </x:c>
      <x:c r="F1490" s="2" t="str">
        <x:f>_xlfn.IFNA(VLOOKUP(D1490,'Products'!$A$7:$I$22,3,FALSE),"Unmapped")</x:f>
        <x:v>Accessories</x:v>
      </x:c>
      <x:c r="G1490" s="2" t="n">
        <x:v>1</x:v>
      </x:c>
      <x:c r="H1490" s="2" t="n">
        <x:v>0</x:v>
      </x:c>
      <x:c r="I1490" s="10" t="n">
        <x:v>19.95</x:v>
      </x:c>
      <x:c r="J1490" s="10" t="n">
        <x:v>0</x:v>
      </x:c>
      <x:c r="K1490" s="10" t="n">
        <x:v>6</x:v>
      </x:c>
      <x:c r="L1490" s="10" t="n">
        <x:f>G1490*I1490</x:f>
        <x:v>19.95</x:v>
      </x:c>
      <x:c r="M1490" s="10" t="n">
        <x:f>ROUND((L1490-J1490)*H1490/G1490,2)</x:f>
        <x:v>0</x:v>
      </x:c>
      <x:c r="N1490" s="10" t="n">
        <x:f>L1490-J1490-M1490</x:f>
        <x:v>19.95</x:v>
      </x:c>
      <x:c r="O1490" s="10" t="n">
        <x:f>(G1490-H1490)*K1490</x:f>
        <x:v>6</x:v>
      </x:c>
      <x:c r="P1490" s="10" t="n">
        <x:f>N1490-O1490</x:f>
        <x:v>13.95</x:v>
      </x:c>
      <x:c r="Q1490" s="9" t="n">
        <x:f>A1490-WEEKDAY(A1490,2)+1</x:f>
        <x:v>46314</x:v>
      </x:c>
      <x:c r="R1490" s="2" t="str">
        <x:f>IF(AND(A1490&gt;='Review'!$B$4,A1490&lt;='Review'!$D$4),"Selected","Outside")</x:f>
        <x:v>Selected</x:v>
      </x:c>
    </x:row>
    <x:row r="1491" ht="20" customHeight="1">
      <x:c r="A1491" s="9" t="n">
        <x:v>46320</x:v>
      </x:c>
      <x:c r="B1491" s="2" t="str">
        <x:v>MM-2062</x:v>
      </x:c>
      <x:c r="C1491" s="2" t="str">
        <x:v>Organic Search</x:v>
      </x:c>
      <x:c r="D1491" s="2" t="str">
        <x:v>PIN-001</x:v>
      </x:c>
      <x:c r="E1491" s="2" t="str">
        <x:f>_xlfn.IFNA(VLOOKUP(D1491,'Products'!$A$7:$I$22,2,FALSE),"Unmapped")</x:f>
        <x:v>Coffee enamel pin</x:v>
      </x:c>
      <x:c r="F1491" s="2" t="str">
        <x:f>_xlfn.IFNA(VLOOKUP(D1491,'Products'!$A$7:$I$22,3,FALSE),"Unmapped")</x:f>
        <x:v>Accessories</x:v>
      </x:c>
      <x:c r="G1491" s="2" t="n">
        <x:v>3</x:v>
      </x:c>
      <x:c r="H1491" s="2" t="n">
        <x:v>0</x:v>
      </x:c>
      <x:c r="I1491" s="10" t="n">
        <x:v>9.95</x:v>
      </x:c>
      <x:c r="J1491" s="10" t="n">
        <x:v>0</x:v>
      </x:c>
      <x:c r="K1491" s="10" t="n">
        <x:v>2.5</x:v>
      </x:c>
      <x:c r="L1491" s="10" t="n">
        <x:f>G1491*I1491</x:f>
        <x:v>29.849999999999998</x:v>
      </x:c>
      <x:c r="M1491" s="10" t="n">
        <x:f>ROUND((L1491-J1491)*H1491/G1491,2)</x:f>
        <x:v>0</x:v>
      </x:c>
      <x:c r="N1491" s="10" t="n">
        <x:f>L1491-J1491-M1491</x:f>
        <x:v>29.849999999999998</x:v>
      </x:c>
      <x:c r="O1491" s="10" t="n">
        <x:f>(G1491-H1491)*K1491</x:f>
        <x:v>7.5</x:v>
      </x:c>
      <x:c r="P1491" s="10" t="n">
        <x:f>N1491-O1491</x:f>
        <x:v>22.349999999999998</x:v>
      </x:c>
      <x:c r="Q1491" s="9" t="n">
        <x:f>A1491-WEEKDAY(A1491,2)+1</x:f>
        <x:v>46314</x:v>
      </x:c>
      <x:c r="R1491" s="2" t="str">
        <x:f>IF(AND(A1491&gt;='Review'!$B$4,A1491&lt;='Review'!$D$4),"Selected","Outside")</x:f>
        <x:v>Selected</x:v>
      </x:c>
    </x:row>
    <x:row r="1492" ht="20" customHeight="1">
      <x:c r="A1492" s="9" t="n">
        <x:v>46320</x:v>
      </x:c>
      <x:c r="B1492" s="2" t="str">
        <x:v>MM-2062</x:v>
      </x:c>
      <x:c r="C1492" s="2" t="str">
        <x:v>Organic Search</x:v>
      </x:c>
      <x:c r="D1492" s="2" t="str">
        <x:v>APP-001</x:v>
      </x:c>
      <x:c r="E1492" s="2" t="str">
        <x:f>_xlfn.IFNA(VLOOKUP(D1492,'Products'!$A$7:$I$22,2,FALSE),"Unmapped")</x:f>
        <x:v>Everyday crewneck</x:v>
      </x:c>
      <x:c r="F1492" s="2" t="str">
        <x:f>_xlfn.IFNA(VLOOKUP(D1492,'Products'!$A$7:$I$22,3,FALSE),"Unmapped")</x:f>
        <x:v>Apparel</x:v>
      </x:c>
      <x:c r="G1492" s="2" t="n">
        <x:v>1</x:v>
      </x:c>
      <x:c r="H1492" s="2" t="n">
        <x:v>0</x:v>
      </x:c>
      <x:c r="I1492" s="10" t="n">
        <x:v>54.95</x:v>
      </x:c>
      <x:c r="J1492" s="10" t="n">
        <x:v>0</x:v>
      </x:c>
      <x:c r="K1492" s="10" t="n">
        <x:v>22</x:v>
      </x:c>
      <x:c r="L1492" s="10" t="n">
        <x:f>G1492*I1492</x:f>
        <x:v>54.95</x:v>
      </x:c>
      <x:c r="M1492" s="10" t="n">
        <x:f>ROUND((L1492-J1492)*H1492/G1492,2)</x:f>
        <x:v>0</x:v>
      </x:c>
      <x:c r="N1492" s="10" t="n">
        <x:f>L1492-J1492-M1492</x:f>
        <x:v>54.95</x:v>
      </x:c>
      <x:c r="O1492" s="10" t="n">
        <x:f>(G1492-H1492)*K1492</x:f>
        <x:v>22</x:v>
      </x:c>
      <x:c r="P1492" s="10" t="n">
        <x:f>N1492-O1492</x:f>
        <x:v>32.95</x:v>
      </x:c>
      <x:c r="Q1492" s="9" t="n">
        <x:f>A1492-WEEKDAY(A1492,2)+1</x:f>
        <x:v>46314</x:v>
      </x:c>
      <x:c r="R1492" s="2" t="str">
        <x:f>IF(AND(A1492&gt;='Review'!$B$4,A1492&lt;='Review'!$D$4),"Selected","Outside")</x:f>
        <x:v>Selected</x:v>
      </x:c>
    </x:row>
    <x:row r="1493" ht="20" customHeight="1">
      <x:c r="A1493" s="9" t="n">
        <x:v>46320</x:v>
      </x:c>
      <x:c r="B1493" s="2" t="str">
        <x:v>MM-2062</x:v>
      </x:c>
      <x:c r="C1493" s="2" t="str">
        <x:v>Organic Search</x:v>
      </x:c>
      <x:c r="D1493" s="2" t="str">
        <x:v>TOTE-001</x:v>
      </x:c>
      <x:c r="E1493" s="2" t="str">
        <x:f>_xlfn.IFNA(VLOOKUP(D1493,'Products'!$A$7:$I$22,2,FALSE),"Unmapped")</x:f>
        <x:v>Market canvas tote</x:v>
      </x:c>
      <x:c r="F1493" s="2" t="str">
        <x:f>_xlfn.IFNA(VLOOKUP(D1493,'Products'!$A$7:$I$22,3,FALSE),"Unmapped")</x:f>
        <x:v>Accessories</x:v>
      </x:c>
      <x:c r="G1493" s="2" t="n">
        <x:v>1</x:v>
      </x:c>
      <x:c r="H1493" s="2" t="n">
        <x:v>0</x:v>
      </x:c>
      <x:c r="I1493" s="10" t="n">
        <x:v>19.95</x:v>
      </x:c>
      <x:c r="J1493" s="10" t="n">
        <x:v>0</x:v>
      </x:c>
      <x:c r="K1493" s="10" t="n">
        <x:v>6</x:v>
      </x:c>
      <x:c r="L1493" s="10" t="n">
        <x:f>G1493*I1493</x:f>
        <x:v>19.95</x:v>
      </x:c>
      <x:c r="M1493" s="10" t="n">
        <x:f>ROUND((L1493-J1493)*H1493/G1493,2)</x:f>
        <x:v>0</x:v>
      </x:c>
      <x:c r="N1493" s="10" t="n">
        <x:f>L1493-J1493-M1493</x:f>
        <x:v>19.95</x:v>
      </x:c>
      <x:c r="O1493" s="10" t="n">
        <x:f>(G1493-H1493)*K1493</x:f>
        <x:v>6</x:v>
      </x:c>
      <x:c r="P1493" s="10" t="n">
        <x:f>N1493-O1493</x:f>
        <x:v>13.95</x:v>
      </x:c>
      <x:c r="Q1493" s="9" t="n">
        <x:f>A1493-WEEKDAY(A1493,2)+1</x:f>
        <x:v>46314</x:v>
      </x:c>
      <x:c r="R1493" s="2" t="str">
        <x:f>IF(AND(A1493&gt;='Review'!$B$4,A1493&lt;='Review'!$D$4),"Selected","Outside")</x:f>
        <x:v>Selected</x:v>
      </x:c>
    </x:row>
    <x:row r="1494" ht="20" customHeight="1">
      <x:c r="A1494" s="9" t="n">
        <x:v>46320</x:v>
      </x:c>
      <x:c r="B1494" s="2" t="str">
        <x:v>MM-2052</x:v>
      </x:c>
      <x:c r="C1494" s="2" t="str">
        <x:v>Organic Search</x:v>
      </x:c>
      <x:c r="D1494" s="2" t="str">
        <x:v>APP-002</x:v>
      </x:c>
      <x:c r="E1494" s="2" t="str">
        <x:f>_xlfn.IFNA(VLOOKUP(D1494,'Products'!$A$7:$I$22,2,FALSE),"Unmapped")</x:f>
        <x:v>Weekend hoodie</x:v>
      </x:c>
      <x:c r="F1494" s="2" t="str">
        <x:f>_xlfn.IFNA(VLOOKUP(D1494,'Products'!$A$7:$I$22,3,FALSE),"Unmapped")</x:f>
        <x:v>Apparel</x:v>
      </x:c>
      <x:c r="G1494" s="2" t="n">
        <x:v>1</x:v>
      </x:c>
      <x:c r="H1494" s="2" t="n">
        <x:v>0</x:v>
      </x:c>
      <x:c r="I1494" s="10" t="n">
        <x:v>69.95</x:v>
      </x:c>
      <x:c r="J1494" s="10" t="n">
        <x:v>0</x:v>
      </x:c>
      <x:c r="K1494" s="10" t="n">
        <x:v>28</x:v>
      </x:c>
      <x:c r="L1494" s="10" t="n">
        <x:f>G1494*I1494</x:f>
        <x:v>69.95</x:v>
      </x:c>
      <x:c r="M1494" s="10" t="n">
        <x:f>ROUND((L1494-J1494)*H1494/G1494,2)</x:f>
        <x:v>0</x:v>
      </x:c>
      <x:c r="N1494" s="10" t="n">
        <x:f>L1494-J1494-M1494</x:f>
        <x:v>69.95</x:v>
      </x:c>
      <x:c r="O1494" s="10" t="n">
        <x:f>(G1494-H1494)*K1494</x:f>
        <x:v>28</x:v>
      </x:c>
      <x:c r="P1494" s="10" t="n">
        <x:f>N1494-O1494</x:f>
        <x:v>41.95</x:v>
      </x:c>
      <x:c r="Q1494" s="9" t="n">
        <x:f>A1494-WEEKDAY(A1494,2)+1</x:f>
        <x:v>46314</x:v>
      </x:c>
      <x:c r="R1494" s="2" t="str">
        <x:f>IF(AND(A1494&gt;='Review'!$B$4,A1494&lt;='Review'!$D$4),"Selected","Outside")</x:f>
        <x:v>Selected</x:v>
      </x:c>
    </x:row>
    <x:row r="1495" ht="20" customHeight="1">
      <x:c r="A1495" s="9" t="n">
        <x:v>46320</x:v>
      </x:c>
      <x:c r="B1495" s="2" t="str">
        <x:v>MM-2052</x:v>
      </x:c>
      <x:c r="C1495" s="2" t="str">
        <x:v>Organic Search</x:v>
      </x:c>
      <x:c r="D1495" s="2" t="str">
        <x:v>TOTE-001</x:v>
      </x:c>
      <x:c r="E1495" s="2" t="str">
        <x:f>_xlfn.IFNA(VLOOKUP(D1495,'Products'!$A$7:$I$22,2,FALSE),"Unmapped")</x:f>
        <x:v>Market canvas tote</x:v>
      </x:c>
      <x:c r="F1495" s="2" t="str">
        <x:f>_xlfn.IFNA(VLOOKUP(D1495,'Products'!$A$7:$I$22,3,FALSE),"Unmapped")</x:f>
        <x:v>Accessories</x:v>
      </x:c>
      <x:c r="G1495" s="2" t="n">
        <x:v>1</x:v>
      </x:c>
      <x:c r="H1495" s="2" t="n">
        <x:v>0</x:v>
      </x:c>
      <x:c r="I1495" s="10" t="n">
        <x:v>19.95</x:v>
      </x:c>
      <x:c r="J1495" s="10" t="n">
        <x:v>0</x:v>
      </x:c>
      <x:c r="K1495" s="10" t="n">
        <x:v>6</x:v>
      </x:c>
      <x:c r="L1495" s="10" t="n">
        <x:f>G1495*I1495</x:f>
        <x:v>19.95</x:v>
      </x:c>
      <x:c r="M1495" s="10" t="n">
        <x:f>ROUND((L1495-J1495)*H1495/G1495,2)</x:f>
        <x:v>0</x:v>
      </x:c>
      <x:c r="N1495" s="10" t="n">
        <x:f>L1495-J1495-M1495</x:f>
        <x:v>19.95</x:v>
      </x:c>
      <x:c r="O1495" s="10" t="n">
        <x:f>(G1495-H1495)*K1495</x:f>
        <x:v>6</x:v>
      </x:c>
      <x:c r="P1495" s="10" t="n">
        <x:f>N1495-O1495</x:f>
        <x:v>13.95</x:v>
      </x:c>
      <x:c r="Q1495" s="9" t="n">
        <x:f>A1495-WEEKDAY(A1495,2)+1</x:f>
        <x:v>46314</x:v>
      </x:c>
      <x:c r="R1495" s="2" t="str">
        <x:f>IF(AND(A1495&gt;='Review'!$B$4,A1495&lt;='Review'!$D$4),"Selected","Outside")</x:f>
        <x:v>Selected</x:v>
      </x:c>
    </x:row>
    <x:row r="1496" ht="20" customHeight="1">
      <x:c r="A1496" s="9" t="n">
        <x:v>46320</x:v>
      </x:c>
      <x:c r="B1496" s="2" t="str">
        <x:v>MM-2053</x:v>
      </x:c>
      <x:c r="C1496" s="2" t="str">
        <x:v>Organic Search</x:v>
      </x:c>
      <x:c r="D1496" s="2" t="str">
        <x:v>PIN-001</x:v>
      </x:c>
      <x:c r="E1496" s="2" t="str">
        <x:f>_xlfn.IFNA(VLOOKUP(D1496,'Products'!$A$7:$I$22,2,FALSE),"Unmapped")</x:f>
        <x:v>Coffee enamel pin</x:v>
      </x:c>
      <x:c r="F1496" s="2" t="str">
        <x:f>_xlfn.IFNA(VLOOKUP(D1496,'Products'!$A$7:$I$22,3,FALSE),"Unmapped")</x:f>
        <x:v>Accessories</x:v>
      </x:c>
      <x:c r="G1496" s="2" t="n">
        <x:v>1</x:v>
      </x:c>
      <x:c r="H1496" s="2" t="n">
        <x:v>0</x:v>
      </x:c>
      <x:c r="I1496" s="10" t="n">
        <x:v>9.95</x:v>
      </x:c>
      <x:c r="J1496" s="10" t="n">
        <x:v>0</x:v>
      </x:c>
      <x:c r="K1496" s="10" t="n">
        <x:v>2.5</x:v>
      </x:c>
      <x:c r="L1496" s="10" t="n">
        <x:f>G1496*I1496</x:f>
        <x:v>9.95</x:v>
      </x:c>
      <x:c r="M1496" s="10" t="n">
        <x:f>ROUND((L1496-J1496)*H1496/G1496,2)</x:f>
        <x:v>0</x:v>
      </x:c>
      <x:c r="N1496" s="10" t="n">
        <x:f>L1496-J1496-M1496</x:f>
        <x:v>9.95</x:v>
      </x:c>
      <x:c r="O1496" s="10" t="n">
        <x:f>(G1496-H1496)*K1496</x:f>
        <x:v>2.5</x:v>
      </x:c>
      <x:c r="P1496" s="10" t="n">
        <x:f>N1496-O1496</x:f>
        <x:v>7.449999999999999</x:v>
      </x:c>
      <x:c r="Q1496" s="9" t="n">
        <x:f>A1496-WEEKDAY(A1496,2)+1</x:f>
        <x:v>46314</x:v>
      </x:c>
      <x:c r="R1496" s="2" t="str">
        <x:f>IF(AND(A1496&gt;='Review'!$B$4,A1496&lt;='Review'!$D$4),"Selected","Outside")</x:f>
        <x:v>Selected</x:v>
      </x:c>
    </x:row>
    <x:row r="1497" ht="20" customHeight="1">
      <x:c r="A1497" s="9" t="n">
        <x:v>46320</x:v>
      </x:c>
      <x:c r="B1497" s="2" t="str">
        <x:v>MM-2054</x:v>
      </x:c>
      <x:c r="C1497" s="2" t="str">
        <x:v>Organic Search</x:v>
      </x:c>
      <x:c r="D1497" s="2" t="str">
        <x:v>APP-002</x:v>
      </x:c>
      <x:c r="E1497" s="2" t="str">
        <x:f>_xlfn.IFNA(VLOOKUP(D1497,'Products'!$A$7:$I$22,2,FALSE),"Unmapped")</x:f>
        <x:v>Weekend hoodie</x:v>
      </x:c>
      <x:c r="F1497" s="2" t="str">
        <x:f>_xlfn.IFNA(VLOOKUP(D1497,'Products'!$A$7:$I$22,3,FALSE),"Unmapped")</x:f>
        <x:v>Apparel</x:v>
      </x:c>
      <x:c r="G1497" s="2" t="n">
        <x:v>1</x:v>
      </x:c>
      <x:c r="H1497" s="2" t="n">
        <x:v>0</x:v>
      </x:c>
      <x:c r="I1497" s="10" t="n">
        <x:v>69.95</x:v>
      </x:c>
      <x:c r="J1497" s="10" t="n">
        <x:v>0</x:v>
      </x:c>
      <x:c r="K1497" s="10" t="n">
        <x:v>28</x:v>
      </x:c>
      <x:c r="L1497" s="10" t="n">
        <x:f>G1497*I1497</x:f>
        <x:v>69.95</x:v>
      </x:c>
      <x:c r="M1497" s="10" t="n">
        <x:f>ROUND((L1497-J1497)*H1497/G1497,2)</x:f>
        <x:v>0</x:v>
      </x:c>
      <x:c r="N1497" s="10" t="n">
        <x:f>L1497-J1497-M1497</x:f>
        <x:v>69.95</x:v>
      </x:c>
      <x:c r="O1497" s="10" t="n">
        <x:f>(G1497-H1497)*K1497</x:f>
        <x:v>28</x:v>
      </x:c>
      <x:c r="P1497" s="10" t="n">
        <x:f>N1497-O1497</x:f>
        <x:v>41.95</x:v>
      </x:c>
      <x:c r="Q1497" s="9" t="n">
        <x:f>A1497-WEEKDAY(A1497,2)+1</x:f>
        <x:v>46314</x:v>
      </x:c>
      <x:c r="R1497" s="2" t="str">
        <x:f>IF(AND(A1497&gt;='Review'!$B$4,A1497&lt;='Review'!$D$4),"Selected","Outside")</x:f>
        <x:v>Selected</x:v>
      </x:c>
    </x:row>
    <x:row r="1498" ht="20" customHeight="1">
      <x:c r="A1498" s="9" t="n">
        <x:v>46320</x:v>
      </x:c>
      <x:c r="B1498" s="2" t="str">
        <x:v>MM-2054</x:v>
      </x:c>
      <x:c r="C1498" s="2" t="str">
        <x:v>Organic Search</x:v>
      </x:c>
      <x:c r="D1498" s="2" t="str">
        <x:v>BOT-001</x:v>
      </x:c>
      <x:c r="E1498" s="2" t="str">
        <x:f>_xlfn.IFNA(VLOOKUP(D1498,'Products'!$A$7:$I$22,2,FALSE),"Unmapped")</x:f>
        <x:v>Trail water bottle</x:v>
      </x:c>
      <x:c r="F1498" s="2" t="str">
        <x:f>_xlfn.IFNA(VLOOKUP(D1498,'Products'!$A$7:$I$22,3,FALSE),"Unmapped")</x:f>
        <x:v>Drinkware</x:v>
      </x:c>
      <x:c r="G1498" s="2" t="n">
        <x:v>1</x:v>
      </x:c>
      <x:c r="H1498" s="2" t="n">
        <x:v>0</x:v>
      </x:c>
      <x:c r="I1498" s="10" t="n">
        <x:v>34.95</x:v>
      </x:c>
      <x:c r="J1498" s="10" t="n">
        <x:v>3.49</x:v>
      </x:c>
      <x:c r="K1498" s="10" t="n">
        <x:v>13.5</x:v>
      </x:c>
      <x:c r="L1498" s="10" t="n">
        <x:f>G1498*I1498</x:f>
        <x:v>34.95</x:v>
      </x:c>
      <x:c r="M1498" s="10" t="n">
        <x:f>ROUND((L1498-J1498)*H1498/G1498,2)</x:f>
        <x:v>0</x:v>
      </x:c>
      <x:c r="N1498" s="10" t="n">
        <x:f>L1498-J1498-M1498</x:f>
        <x:v>31.46</x:v>
      </x:c>
      <x:c r="O1498" s="10" t="n">
        <x:f>(G1498-H1498)*K1498</x:f>
        <x:v>13.5</x:v>
      </x:c>
      <x:c r="P1498" s="10" t="n">
        <x:f>N1498-O1498</x:f>
        <x:v>17.96</x:v>
      </x:c>
      <x:c r="Q1498" s="9" t="n">
        <x:f>A1498-WEEKDAY(A1498,2)+1</x:f>
        <x:v>46314</x:v>
      </x:c>
      <x:c r="R1498" s="2" t="str">
        <x:f>IF(AND(A1498&gt;='Review'!$B$4,A1498&lt;='Review'!$D$4),"Selected","Outside")</x:f>
        <x:v>Selected</x:v>
      </x:c>
    </x:row>
    <x:row r="1499" ht="20" customHeight="1">
      <x:c r="A1499" s="9" t="n">
        <x:v>46320</x:v>
      </x:c>
      <x:c r="B1499" s="2" t="str">
        <x:v>MM-2064</x:v>
      </x:c>
      <x:c r="C1499" s="2" t="str">
        <x:v>Organic Search</x:v>
      </x:c>
      <x:c r="D1499" s="2" t="str">
        <x:v>APP-001</x:v>
      </x:c>
      <x:c r="E1499" s="2" t="str">
        <x:f>_xlfn.IFNA(VLOOKUP(D1499,'Products'!$A$7:$I$22,2,FALSE),"Unmapped")</x:f>
        <x:v>Everyday crewneck</x:v>
      </x:c>
      <x:c r="F1499" s="2" t="str">
        <x:f>_xlfn.IFNA(VLOOKUP(D1499,'Products'!$A$7:$I$22,3,FALSE),"Unmapped")</x:f>
        <x:v>Apparel</x:v>
      </x:c>
      <x:c r="G1499" s="2" t="n">
        <x:v>1</x:v>
      </x:c>
      <x:c r="H1499" s="2" t="n">
        <x:v>0</x:v>
      </x:c>
      <x:c r="I1499" s="10" t="n">
        <x:v>54.95</x:v>
      </x:c>
      <x:c r="J1499" s="10" t="n">
        <x:v>0</x:v>
      </x:c>
      <x:c r="K1499" s="10" t="n">
        <x:v>22</x:v>
      </x:c>
      <x:c r="L1499" s="10" t="n">
        <x:f>G1499*I1499</x:f>
        <x:v>54.95</x:v>
      </x:c>
      <x:c r="M1499" s="10" t="n">
        <x:f>ROUND((L1499-J1499)*H1499/G1499,2)</x:f>
        <x:v>0</x:v>
      </x:c>
      <x:c r="N1499" s="10" t="n">
        <x:f>L1499-J1499-M1499</x:f>
        <x:v>54.95</x:v>
      </x:c>
      <x:c r="O1499" s="10" t="n">
        <x:f>(G1499-H1499)*K1499</x:f>
        <x:v>22</x:v>
      </x:c>
      <x:c r="P1499" s="10" t="n">
        <x:f>N1499-O1499</x:f>
        <x:v>32.95</x:v>
      </x:c>
      <x:c r="Q1499" s="9" t="n">
        <x:f>A1499-WEEKDAY(A1499,2)+1</x:f>
        <x:v>46314</x:v>
      </x:c>
      <x:c r="R1499" s="2" t="str">
        <x:f>IF(AND(A1499&gt;='Review'!$B$4,A1499&lt;='Review'!$D$4),"Selected","Outside")</x:f>
        <x:v>Selected</x:v>
      </x:c>
    </x:row>
    <x:row r="1500" ht="20" customHeight="1">
      <x:c r="A1500" s="9" t="n">
        <x:v>46320</x:v>
      </x:c>
      <x:c r="B1500" s="2" t="str">
        <x:v>MM-2050</x:v>
      </x:c>
      <x:c r="C1500" s="2" t="str">
        <x:v>Email</x:v>
      </x:c>
      <x:c r="D1500" s="2" t="str">
        <x:v>GFT-001</x:v>
      </x:c>
      <x:c r="E1500" s="2" t="str">
        <x:f>_xlfn.IFNA(VLOOKUP(D1500,'Products'!$A$7:$I$22,2,FALSE),"Unmapped")</x:f>
        <x:v>Morning ritual gift set</x:v>
      </x:c>
      <x:c r="F1500" s="2" t="str">
        <x:f>_xlfn.IFNA(VLOOKUP(D1500,'Products'!$A$7:$I$22,3,FALSE),"Unmapped")</x:f>
        <x:v>Gifts</x:v>
      </x:c>
      <x:c r="G1500" s="2" t="n">
        <x:v>2</x:v>
      </x:c>
      <x:c r="H1500" s="2" t="n">
        <x:v>0</x:v>
      </x:c>
      <x:c r="I1500" s="10" t="n">
        <x:v>59.95</x:v>
      </x:c>
      <x:c r="J1500" s="10" t="n">
        <x:v>11.99</x:v>
      </x:c>
      <x:c r="K1500" s="10" t="n">
        <x:v>24</x:v>
      </x:c>
      <x:c r="L1500" s="10" t="n">
        <x:f>G1500*I1500</x:f>
        <x:v>119.9</x:v>
      </x:c>
      <x:c r="M1500" s="10" t="n">
        <x:f>ROUND((L1500-J1500)*H1500/G1500,2)</x:f>
        <x:v>0</x:v>
      </x:c>
      <x:c r="N1500" s="10" t="n">
        <x:f>L1500-J1500-M1500</x:f>
        <x:v>107.91000000000001</x:v>
      </x:c>
      <x:c r="O1500" s="10" t="n">
        <x:f>(G1500-H1500)*K1500</x:f>
        <x:v>48</x:v>
      </x:c>
      <x:c r="P1500" s="10" t="n">
        <x:f>N1500-O1500</x:f>
        <x:v>59.91000000000001</x:v>
      </x:c>
      <x:c r="Q1500" s="9" t="n">
        <x:f>A1500-WEEKDAY(A1500,2)+1</x:f>
        <x:v>46314</x:v>
      </x:c>
      <x:c r="R1500" s="2" t="str">
        <x:f>IF(AND(A1500&gt;='Review'!$B$4,A1500&lt;='Review'!$D$4),"Selected","Outside")</x:f>
        <x:v>Selected</x:v>
      </x:c>
    </x:row>
    <x:row r="1501" ht="20" customHeight="1">
      <x:c r="A1501" s="9" t="n">
        <x:v>46320</x:v>
      </x:c>
      <x:c r="B1501" s="2" t="str">
        <x:v>MM-2058</x:v>
      </x:c>
      <x:c r="C1501" s="2" t="str">
        <x:v>Email</x:v>
      </x:c>
      <x:c r="D1501" s="2" t="str">
        <x:v>GFT-001</x:v>
      </x:c>
      <x:c r="E1501" s="2" t="str">
        <x:f>_xlfn.IFNA(VLOOKUP(D1501,'Products'!$A$7:$I$22,2,FALSE),"Unmapped")</x:f>
        <x:v>Morning ritual gift set</x:v>
      </x:c>
      <x:c r="F1501" s="2" t="str">
        <x:f>_xlfn.IFNA(VLOOKUP(D1501,'Products'!$A$7:$I$22,3,FALSE),"Unmapped")</x:f>
        <x:v>Gifts</x:v>
      </x:c>
      <x:c r="G1501" s="2" t="n">
        <x:v>1</x:v>
      </x:c>
      <x:c r="H1501" s="2" t="n">
        <x:v>0</x:v>
      </x:c>
      <x:c r="I1501" s="10" t="n">
        <x:v>59.95</x:v>
      </x:c>
      <x:c r="J1501" s="10" t="n">
        <x:v>5.99</x:v>
      </x:c>
      <x:c r="K1501" s="10" t="n">
        <x:v>24</x:v>
      </x:c>
      <x:c r="L1501" s="10" t="n">
        <x:f>G1501*I1501</x:f>
        <x:v>59.95</x:v>
      </x:c>
      <x:c r="M1501" s="10" t="n">
        <x:f>ROUND((L1501-J1501)*H1501/G1501,2)</x:f>
        <x:v>0</x:v>
      </x:c>
      <x:c r="N1501" s="10" t="n">
        <x:f>L1501-J1501-M1501</x:f>
        <x:v>53.96</x:v>
      </x:c>
      <x:c r="O1501" s="10" t="n">
        <x:f>(G1501-H1501)*K1501</x:f>
        <x:v>24</x:v>
      </x:c>
      <x:c r="P1501" s="10" t="n">
        <x:f>N1501-O1501</x:f>
        <x:v>29.96</x:v>
      </x:c>
      <x:c r="Q1501" s="9" t="n">
        <x:f>A1501-WEEKDAY(A1501,2)+1</x:f>
        <x:v>46314</x:v>
      </x:c>
      <x:c r="R1501" s="2" t="str">
        <x:f>IF(AND(A1501&gt;='Review'!$B$4,A1501&lt;='Review'!$D$4),"Selected","Outside")</x:f>
        <x:v>Selected</x:v>
      </x:c>
    </x:row>
    <x:row r="1502" ht="20" customHeight="1">
      <x:c r="A1502" s="9" t="n">
        <x:v>46320</x:v>
      </x:c>
      <x:c r="B1502" s="2" t="str">
        <x:v>MM-2067</x:v>
      </x:c>
      <x:c r="C1502" s="2" t="str">
        <x:v>Organic Search</x:v>
      </x:c>
      <x:c r="D1502" s="2" t="str">
        <x:v>TOTE-001</x:v>
      </x:c>
      <x:c r="E1502" s="2" t="str">
        <x:f>_xlfn.IFNA(VLOOKUP(D1502,'Products'!$A$7:$I$22,2,FALSE),"Unmapped")</x:f>
        <x:v>Market canvas tote</x:v>
      </x:c>
      <x:c r="F1502" s="2" t="str">
        <x:f>_xlfn.IFNA(VLOOKUP(D1502,'Products'!$A$7:$I$22,3,FALSE),"Unmapped")</x:f>
        <x:v>Accessories</x:v>
      </x:c>
      <x:c r="G1502" s="2" t="n">
        <x:v>1</x:v>
      </x:c>
      <x:c r="H1502" s="2" t="n">
        <x:v>0</x:v>
      </x:c>
      <x:c r="I1502" s="10" t="n">
        <x:v>19.95</x:v>
      </x:c>
      <x:c r="J1502" s="10" t="n">
        <x:v>0</x:v>
      </x:c>
      <x:c r="K1502" s="10" t="n">
        <x:v>6</x:v>
      </x:c>
      <x:c r="L1502" s="10" t="n">
        <x:f>G1502*I1502</x:f>
        <x:v>19.95</x:v>
      </x:c>
      <x:c r="M1502" s="10" t="n">
        <x:f>ROUND((L1502-J1502)*H1502/G1502,2)</x:f>
        <x:v>0</x:v>
      </x:c>
      <x:c r="N1502" s="10" t="n">
        <x:f>L1502-J1502-M1502</x:f>
        <x:v>19.95</x:v>
      </x:c>
      <x:c r="O1502" s="10" t="n">
        <x:f>(G1502-H1502)*K1502</x:f>
        <x:v>6</x:v>
      </x:c>
      <x:c r="P1502" s="10" t="n">
        <x:f>N1502-O1502</x:f>
        <x:v>13.95</x:v>
      </x:c>
      <x:c r="Q1502" s="9" t="n">
        <x:f>A1502-WEEKDAY(A1502,2)+1</x:f>
        <x:v>46314</x:v>
      </x:c>
      <x:c r="R1502" s="2" t="str">
        <x:f>IF(AND(A1502&gt;='Review'!$B$4,A1502&lt;='Review'!$D$4),"Selected","Outside")</x:f>
        <x:v>Selected</x:v>
      </x:c>
    </x:row>
    <x:row r="1503" ht="20" customHeight="1">
      <x:c r="A1503" s="9" t="n">
        <x:v>46320</x:v>
      </x:c>
      <x:c r="B1503" s="2" t="str">
        <x:v>MM-2067</x:v>
      </x:c>
      <x:c r="C1503" s="2" t="str">
        <x:v>Organic Search</x:v>
      </x:c>
      <x:c r="D1503" s="2" t="str">
        <x:v>HAT-001</x:v>
      </x:c>
      <x:c r="E1503" s="2" t="str">
        <x:f>_xlfn.IFNA(VLOOKUP(D1503,'Products'!$A$7:$I$22,2,FALSE),"Unmapped")</x:f>
        <x:v>Classic canvas cap</x:v>
      </x:c>
      <x:c r="F1503" s="2" t="str">
        <x:f>_xlfn.IFNA(VLOOKUP(D1503,'Products'!$A$7:$I$22,3,FALSE),"Unmapped")</x:f>
        <x:v>Accessories</x:v>
      </x:c>
      <x:c r="G1503" s="2" t="n">
        <x:v>1</x:v>
      </x:c>
      <x:c r="H1503" s="2" t="n">
        <x:v>0</x:v>
      </x:c>
      <x:c r="I1503" s="10" t="n">
        <x:v>24.95</x:v>
      </x:c>
      <x:c r="J1503" s="10" t="n">
        <x:v>0</x:v>
      </x:c>
      <x:c r="K1503" s="10" t="n">
        <x:v>8.5</x:v>
      </x:c>
      <x:c r="L1503" s="10" t="n">
        <x:f>G1503*I1503</x:f>
        <x:v>24.95</x:v>
      </x:c>
      <x:c r="M1503" s="10" t="n">
        <x:f>ROUND((L1503-J1503)*H1503/G1503,2)</x:f>
        <x:v>0</x:v>
      </x:c>
      <x:c r="N1503" s="10" t="n">
        <x:f>L1503-J1503-M1503</x:f>
        <x:v>24.95</x:v>
      </x:c>
      <x:c r="O1503" s="10" t="n">
        <x:f>(G1503-H1503)*K1503</x:f>
        <x:v>8.5</x:v>
      </x:c>
      <x:c r="P1503" s="10" t="n">
        <x:f>N1503-O1503</x:f>
        <x:v>16.45</x:v>
      </x:c>
      <x:c r="Q1503" s="9" t="n">
        <x:f>A1503-WEEKDAY(A1503,2)+1</x:f>
        <x:v>46314</x:v>
      </x:c>
      <x:c r="R1503" s="2" t="str">
        <x:f>IF(AND(A1503&gt;='Review'!$B$4,A1503&lt;='Review'!$D$4),"Selected","Outside")</x:f>
        <x:v>Selected</x:v>
      </x:c>
    </x:row>
    <x:row r="1504" ht="20" customHeight="1">
      <x:c r="A1504" s="9" t="n">
        <x:v>46320</x:v>
      </x:c>
      <x:c r="B1504" s="2" t="str">
        <x:v>MM-2051</x:v>
      </x:c>
      <x:c r="C1504" s="2" t="str">
        <x:v>Paid Social</x:v>
      </x:c>
      <x:c r="D1504" s="2" t="str">
        <x:v>GFT-002</x:v>
      </x:c>
      <x:c r="E1504" s="2" t="str">
        <x:f>_xlfn.IFNA(VLOOKUP(D1504,'Products'!$A$7:$I$22,2,FALSE),"Unmapped")</x:f>
        <x:v>Cozy weekend gift box</x:v>
      </x:c>
      <x:c r="F1504" s="2" t="str">
        <x:f>_xlfn.IFNA(VLOOKUP(D1504,'Products'!$A$7:$I$22,3,FALSE),"Unmapped")</x:f>
        <x:v>Gifts</x:v>
      </x:c>
      <x:c r="G1504" s="2" t="n">
        <x:v>1</x:v>
      </x:c>
      <x:c r="H1504" s="2" t="n">
        <x:v>0</x:v>
      </x:c>
      <x:c r="I1504" s="10" t="n">
        <x:v>79.95</x:v>
      </x:c>
      <x:c r="J1504" s="10" t="n">
        <x:v>0</x:v>
      </x:c>
      <x:c r="K1504" s="10" t="n">
        <x:v>32</x:v>
      </x:c>
      <x:c r="L1504" s="10" t="n">
        <x:f>G1504*I1504</x:f>
        <x:v>79.95</x:v>
      </x:c>
      <x:c r="M1504" s="10" t="n">
        <x:f>ROUND((L1504-J1504)*H1504/G1504,2)</x:f>
        <x:v>0</x:v>
      </x:c>
      <x:c r="N1504" s="10" t="n">
        <x:f>L1504-J1504-M1504</x:f>
        <x:v>79.95</x:v>
      </x:c>
      <x:c r="O1504" s="10" t="n">
        <x:f>(G1504-H1504)*K1504</x:f>
        <x:v>32</x:v>
      </x:c>
      <x:c r="P1504" s="10" t="n">
        <x:f>N1504-O1504</x:f>
        <x:v>47.95</x:v>
      </x:c>
      <x:c r="Q1504" s="9" t="n">
        <x:f>A1504-WEEKDAY(A1504,2)+1</x:f>
        <x:v>46314</x:v>
      </x:c>
      <x:c r="R1504" s="2" t="str">
        <x:f>IF(AND(A1504&gt;='Review'!$B$4,A1504&lt;='Review'!$D$4),"Selected","Outside")</x:f>
        <x:v>Selected</x:v>
      </x:c>
    </x:row>
    <x:row r="1505" ht="20" customHeight="1">
      <x:c r="A1505" s="9" t="n">
        <x:v>46320</x:v>
      </x:c>
      <x:c r="B1505" s="2" t="str">
        <x:v>MM-2051</x:v>
      </x:c>
      <x:c r="C1505" s="2" t="str">
        <x:v>Paid Social</x:v>
      </x:c>
      <x:c r="D1505" s="2" t="str">
        <x:v>MUG-002</x:v>
      </x:c>
      <x:c r="E1505" s="2" t="str">
        <x:f>_xlfn.IFNA(VLOOKUP(D1505,'Products'!$A$7:$I$22,2,FALSE),"Unmapped")</x:f>
        <x:v>Campfire enamel mug</x:v>
      </x:c>
      <x:c r="F1505" s="2" t="str">
        <x:f>_xlfn.IFNA(VLOOKUP(D1505,'Products'!$A$7:$I$22,3,FALSE),"Unmapped")</x:f>
        <x:v>Drinkware</x:v>
      </x:c>
      <x:c r="G1505" s="2" t="n">
        <x:v>1</x:v>
      </x:c>
      <x:c r="H1505" s="2" t="n">
        <x:v>0</x:v>
      </x:c>
      <x:c r="I1505" s="10" t="n">
        <x:v>22.95</x:v>
      </x:c>
      <x:c r="J1505" s="10" t="n">
        <x:v>0</x:v>
      </x:c>
      <x:c r="K1505" s="10" t="n">
        <x:v>8.5</x:v>
      </x:c>
      <x:c r="L1505" s="10" t="n">
        <x:f>G1505*I1505</x:f>
        <x:v>22.95</x:v>
      </x:c>
      <x:c r="M1505" s="10" t="n">
        <x:f>ROUND((L1505-J1505)*H1505/G1505,2)</x:f>
        <x:v>0</x:v>
      </x:c>
      <x:c r="N1505" s="10" t="n">
        <x:f>L1505-J1505-M1505</x:f>
        <x:v>22.95</x:v>
      </x:c>
      <x:c r="O1505" s="10" t="n">
        <x:f>(G1505-H1505)*K1505</x:f>
        <x:v>8.5</x:v>
      </x:c>
      <x:c r="P1505" s="10" t="n">
        <x:f>N1505-O1505</x:f>
        <x:v>14.45</x:v>
      </x:c>
      <x:c r="Q1505" s="9" t="n">
        <x:f>A1505-WEEKDAY(A1505,2)+1</x:f>
        <x:v>46314</x:v>
      </x:c>
      <x:c r="R1505" s="2" t="str">
        <x:f>IF(AND(A1505&gt;='Review'!$B$4,A1505&lt;='Review'!$D$4),"Selected","Outside")</x:f>
        <x:v>Selected</x:v>
      </x:c>
    </x:row>
    <x:row r="1506" ht="20" customHeight="1">
      <x:c r="A1506" s="9" t="n">
        <x:v>46320</x:v>
      </x:c>
      <x:c r="B1506" s="2" t="str">
        <x:v>MM-2060</x:v>
      </x:c>
      <x:c r="C1506" s="2" t="str">
        <x:v>Paid Social</x:v>
      </x:c>
      <x:c r="D1506" s="2" t="str">
        <x:v>PIN-001</x:v>
      </x:c>
      <x:c r="E1506" s="2" t="str">
        <x:f>_xlfn.IFNA(VLOOKUP(D1506,'Products'!$A$7:$I$22,2,FALSE),"Unmapped")</x:f>
        <x:v>Coffee enamel pin</x:v>
      </x:c>
      <x:c r="F1506" s="2" t="str">
        <x:f>_xlfn.IFNA(VLOOKUP(D1506,'Products'!$A$7:$I$22,3,FALSE),"Unmapped")</x:f>
        <x:v>Accessories</x:v>
      </x:c>
      <x:c r="G1506" s="2" t="n">
        <x:v>2</x:v>
      </x:c>
      <x:c r="H1506" s="2" t="n">
        <x:v>0</x:v>
      </x:c>
      <x:c r="I1506" s="10" t="n">
        <x:v>9.95</x:v>
      </x:c>
      <x:c r="J1506" s="10" t="n">
        <x:v>0</x:v>
      </x:c>
      <x:c r="K1506" s="10" t="n">
        <x:v>2.5</x:v>
      </x:c>
      <x:c r="L1506" s="10" t="n">
        <x:f>G1506*I1506</x:f>
        <x:v>19.9</x:v>
      </x:c>
      <x:c r="M1506" s="10" t="n">
        <x:f>ROUND((L1506-J1506)*H1506/G1506,2)</x:f>
        <x:v>0</x:v>
      </x:c>
      <x:c r="N1506" s="10" t="n">
        <x:f>L1506-J1506-M1506</x:f>
        <x:v>19.9</x:v>
      </x:c>
      <x:c r="O1506" s="10" t="n">
        <x:f>(G1506-H1506)*K1506</x:f>
        <x:v>5</x:v>
      </x:c>
      <x:c r="P1506" s="10" t="n">
        <x:f>N1506-O1506</x:f>
        <x:v>14.899999999999999</x:v>
      </x:c>
      <x:c r="Q1506" s="9" t="n">
        <x:f>A1506-WEEKDAY(A1506,2)+1</x:f>
        <x:v>46314</x:v>
      </x:c>
      <x:c r="R1506" s="2" t="str">
        <x:f>IF(AND(A1506&gt;='Review'!$B$4,A1506&lt;='Review'!$D$4),"Selected","Outside")</x:f>
        <x:v>Selected</x:v>
      </x:c>
    </x:row>
    <x:row r="1507" ht="20" customHeight="1">
      <x:c r="A1507" s="9" t="n">
        <x:v>46320</x:v>
      </x:c>
      <x:c r="B1507" s="2" t="str">
        <x:v>MM-2060</x:v>
      </x:c>
      <x:c r="C1507" s="2" t="str">
        <x:v>Paid Social</x:v>
      </x:c>
      <x:c r="D1507" s="2" t="str">
        <x:v>GFT-001</x:v>
      </x:c>
      <x:c r="E1507" s="2" t="str">
        <x:f>_xlfn.IFNA(VLOOKUP(D1507,'Products'!$A$7:$I$22,2,FALSE),"Unmapped")</x:f>
        <x:v>Morning ritual gift set</x:v>
      </x:c>
      <x:c r="F1507" s="2" t="str">
        <x:f>_xlfn.IFNA(VLOOKUP(D1507,'Products'!$A$7:$I$22,3,FALSE),"Unmapped")</x:f>
        <x:v>Gifts</x:v>
      </x:c>
      <x:c r="G1507" s="2" t="n">
        <x:v>1</x:v>
      </x:c>
      <x:c r="H1507" s="2" t="n">
        <x:v>0</x:v>
      </x:c>
      <x:c r="I1507" s="10" t="n">
        <x:v>59.95</x:v>
      </x:c>
      <x:c r="J1507" s="10" t="n">
        <x:v>0</x:v>
      </x:c>
      <x:c r="K1507" s="10" t="n">
        <x:v>24</x:v>
      </x:c>
      <x:c r="L1507" s="10" t="n">
        <x:f>G1507*I1507</x:f>
        <x:v>59.95</x:v>
      </x:c>
      <x:c r="M1507" s="10" t="n">
        <x:f>ROUND((L1507-J1507)*H1507/G1507,2)</x:f>
        <x:v>0</x:v>
      </x:c>
      <x:c r="N1507" s="10" t="n">
        <x:f>L1507-J1507-M1507</x:f>
        <x:v>59.95</x:v>
      </x:c>
      <x:c r="O1507" s="10" t="n">
        <x:f>(G1507-H1507)*K1507</x:f>
        <x:v>24</x:v>
      </x:c>
      <x:c r="P1507" s="10" t="n">
        <x:f>N1507-O1507</x:f>
        <x:v>35.95</x:v>
      </x:c>
      <x:c r="Q1507" s="9" t="n">
        <x:f>A1507-WEEKDAY(A1507,2)+1</x:f>
        <x:v>46314</x:v>
      </x:c>
      <x:c r="R1507" s="2" t="str">
        <x:f>IF(AND(A1507&gt;='Review'!$B$4,A1507&lt;='Review'!$D$4),"Selected","Outside")</x:f>
        <x:v>Selected</x:v>
      </x:c>
    </x:row>
    <x:row r="1508" ht="20" customHeight="1">
      <x:c r="A1508" s="9" t="n">
        <x:v>46320</x:v>
      </x:c>
      <x:c r="B1508" s="2" t="str">
        <x:v>MM-2063</x:v>
      </x:c>
      <x:c r="C1508" s="2" t="str">
        <x:v>Email</x:v>
      </x:c>
      <x:c r="D1508" s="2" t="str">
        <x:v>PIN-001</x:v>
      </x:c>
      <x:c r="E1508" s="2" t="str">
        <x:f>_xlfn.IFNA(VLOOKUP(D1508,'Products'!$A$7:$I$22,2,FALSE),"Unmapped")</x:f>
        <x:v>Coffee enamel pin</x:v>
      </x:c>
      <x:c r="F1508" s="2" t="str">
        <x:f>_xlfn.IFNA(VLOOKUP(D1508,'Products'!$A$7:$I$22,3,FALSE),"Unmapped")</x:f>
        <x:v>Accessories</x:v>
      </x:c>
      <x:c r="G1508" s="2" t="n">
        <x:v>1</x:v>
      </x:c>
      <x:c r="H1508" s="2" t="n">
        <x:v>0</x:v>
      </x:c>
      <x:c r="I1508" s="10" t="n">
        <x:v>9.95</x:v>
      </x:c>
      <x:c r="J1508" s="10" t="n">
        <x:v>0.99</x:v>
      </x:c>
      <x:c r="K1508" s="10" t="n">
        <x:v>2.5</x:v>
      </x:c>
      <x:c r="L1508" s="10" t="n">
        <x:f>G1508*I1508</x:f>
        <x:v>9.95</x:v>
      </x:c>
      <x:c r="M1508" s="10" t="n">
        <x:f>ROUND((L1508-J1508)*H1508/G1508,2)</x:f>
        <x:v>0</x:v>
      </x:c>
      <x:c r="N1508" s="10" t="n">
        <x:f>L1508-J1508-M1508</x:f>
        <x:v>8.959999999999999</x:v>
      </x:c>
      <x:c r="O1508" s="10" t="n">
        <x:f>(G1508-H1508)*K1508</x:f>
        <x:v>2.5</x:v>
      </x:c>
      <x:c r="P1508" s="10" t="n">
        <x:f>N1508-O1508</x:f>
        <x:v>6.459999999999999</x:v>
      </x:c>
      <x:c r="Q1508" s="9" t="n">
        <x:f>A1508-WEEKDAY(A1508,2)+1</x:f>
        <x:v>46314</x:v>
      </x:c>
      <x:c r="R1508" s="2" t="str">
        <x:f>IF(AND(A1508&gt;='Review'!$B$4,A1508&lt;='Review'!$D$4),"Selected","Outside")</x:f>
        <x:v>Selected</x:v>
      </x:c>
    </x:row>
    <x:row r="1509" ht="20" customHeight="1">
      <x:c r="A1509" s="9" t="n">
        <x:v>46320</x:v>
      </x:c>
      <x:c r="B1509" s="2" t="str">
        <x:v>MM-2059</x:v>
      </x:c>
      <x:c r="C1509" s="2" t="str">
        <x:v>Email</x:v>
      </x:c>
      <x:c r="D1509" s="2" t="str">
        <x:v>GFT-001</x:v>
      </x:c>
      <x:c r="E1509" s="2" t="str">
        <x:f>_xlfn.IFNA(VLOOKUP(D1509,'Products'!$A$7:$I$22,2,FALSE),"Unmapped")</x:f>
        <x:v>Morning ritual gift set</x:v>
      </x:c>
      <x:c r="F1509" s="2" t="str">
        <x:f>_xlfn.IFNA(VLOOKUP(D1509,'Products'!$A$7:$I$22,3,FALSE),"Unmapped")</x:f>
        <x:v>Gifts</x:v>
      </x:c>
      <x:c r="G1509" s="2" t="n">
        <x:v>3</x:v>
      </x:c>
      <x:c r="H1509" s="2" t="n">
        <x:v>0</x:v>
      </x:c>
      <x:c r="I1509" s="10" t="n">
        <x:v>59.95</x:v>
      </x:c>
      <x:c r="J1509" s="10" t="n">
        <x:v>17.98</x:v>
      </x:c>
      <x:c r="K1509" s="10" t="n">
        <x:v>24</x:v>
      </x:c>
      <x:c r="L1509" s="10" t="n">
        <x:f>G1509*I1509</x:f>
        <x:v>179.85000000000002</x:v>
      </x:c>
      <x:c r="M1509" s="10" t="n">
        <x:f>ROUND((L1509-J1509)*H1509/G1509,2)</x:f>
        <x:v>0</x:v>
      </x:c>
      <x:c r="N1509" s="10" t="n">
        <x:f>L1509-J1509-M1509</x:f>
        <x:v>161.87000000000003</x:v>
      </x:c>
      <x:c r="O1509" s="10" t="n">
        <x:f>(G1509-H1509)*K1509</x:f>
        <x:v>72</x:v>
      </x:c>
      <x:c r="P1509" s="10" t="n">
        <x:f>N1509-O1509</x:f>
        <x:v>89.87000000000003</x:v>
      </x:c>
      <x:c r="Q1509" s="9" t="n">
        <x:f>A1509-WEEKDAY(A1509,2)+1</x:f>
        <x:v>46314</x:v>
      </x:c>
      <x:c r="R1509" s="2" t="str">
        <x:f>IF(AND(A1509&gt;='Review'!$B$4,A1509&lt;='Review'!$D$4),"Selected","Outside")</x:f>
        <x:v>Selected</x:v>
      </x:c>
    </x:row>
    <x:row r="1510" ht="20" customHeight="1">
      <x:c r="A1510" s="9" t="n">
        <x:v>46320</x:v>
      </x:c>
      <x:c r="B1510" s="2" t="str">
        <x:v>MM-2059</x:v>
      </x:c>
      <x:c r="C1510" s="2" t="str">
        <x:v>Email</x:v>
      </x:c>
      <x:c r="D1510" s="2" t="str">
        <x:v>KEY-001</x:v>
      </x:c>
      <x:c r="E1510" s="2" t="str">
        <x:f>_xlfn.IFNA(VLOOKUP(D1510,'Products'!$A$7:$I$22,2,FALSE),"Unmapped")</x:f>
        <x:v>Maple keyring</x:v>
      </x:c>
      <x:c r="F1510" s="2" t="str">
        <x:f>_xlfn.IFNA(VLOOKUP(D1510,'Products'!$A$7:$I$22,3,FALSE),"Unmapped")</x:f>
        <x:v>Accessories</x:v>
      </x:c>
      <x:c r="G1510" s="2" t="n">
        <x:v>2</x:v>
      </x:c>
      <x:c r="H1510" s="2" t="n">
        <x:v>0</x:v>
      </x:c>
      <x:c r="I1510" s="10" t="n">
        <x:v>12.95</x:v>
      </x:c>
      <x:c r="J1510" s="10" t="n">
        <x:v>2.59</x:v>
      </x:c>
      <x:c r="K1510" s="10" t="n">
        <x:v>3.5</x:v>
      </x:c>
      <x:c r="L1510" s="10" t="n">
        <x:f>G1510*I1510</x:f>
        <x:v>25.9</x:v>
      </x:c>
      <x:c r="M1510" s="10" t="n">
        <x:f>ROUND((L1510-J1510)*H1510/G1510,2)</x:f>
        <x:v>0</x:v>
      </x:c>
      <x:c r="N1510" s="10" t="n">
        <x:f>L1510-J1510-M1510</x:f>
        <x:v>23.31</x:v>
      </x:c>
      <x:c r="O1510" s="10" t="n">
        <x:f>(G1510-H1510)*K1510</x:f>
        <x:v>7</x:v>
      </x:c>
      <x:c r="P1510" s="10" t="n">
        <x:f>N1510-O1510</x:f>
        <x:v>16.31</x:v>
      </x:c>
      <x:c r="Q1510" s="9" t="n">
        <x:f>A1510-WEEKDAY(A1510,2)+1</x:f>
        <x:v>46314</x:v>
      </x:c>
      <x:c r="R1510" s="2" t="str">
        <x:f>IF(AND(A1510&gt;='Review'!$B$4,A1510&lt;='Review'!$D$4),"Selected","Outside")</x:f>
        <x:v>Selected</x:v>
      </x:c>
    </x:row>
    <x:row r="1511" ht="20" customHeight="1">
      <x:c r="A1511" s="9" t="n">
        <x:v>46320</x:v>
      </x:c>
      <x:c r="B1511" s="2" t="str">
        <x:v>MM-2061</x:v>
      </x:c>
      <x:c r="C1511" s="2" t="str">
        <x:v>Paid Social</x:v>
      </x:c>
      <x:c r="D1511" s="2" t="str">
        <x:v>APP-003</x:v>
      </x:c>
      <x:c r="E1511" s="2" t="str">
        <x:f>_xlfn.IFNA(VLOOKUP(D1511,'Products'!$A$7:$I$22,2,FALSE),"Unmapped")</x:f>
        <x:v>Coffee club tee</x:v>
      </x:c>
      <x:c r="F1511" s="2" t="str">
        <x:f>_xlfn.IFNA(VLOOKUP(D1511,'Products'!$A$7:$I$22,3,FALSE),"Unmapped")</x:f>
        <x:v>Apparel</x:v>
      </x:c>
      <x:c r="G1511" s="2" t="n">
        <x:v>1</x:v>
      </x:c>
      <x:c r="H1511" s="2" t="n">
        <x:v>0</x:v>
      </x:c>
      <x:c r="I1511" s="10" t="n">
        <x:v>29.95</x:v>
      </x:c>
      <x:c r="J1511" s="10" t="n">
        <x:v>0</x:v>
      </x:c>
      <x:c r="K1511" s="10" t="n">
        <x:v>10</x:v>
      </x:c>
      <x:c r="L1511" s="10" t="n">
        <x:f>G1511*I1511</x:f>
        <x:v>29.95</x:v>
      </x:c>
      <x:c r="M1511" s="10" t="n">
        <x:f>ROUND((L1511-J1511)*H1511/G1511,2)</x:f>
        <x:v>0</x:v>
      </x:c>
      <x:c r="N1511" s="10" t="n">
        <x:f>L1511-J1511-M1511</x:f>
        <x:v>29.95</x:v>
      </x:c>
      <x:c r="O1511" s="10" t="n">
        <x:f>(G1511-H1511)*K1511</x:f>
        <x:v>10</x:v>
      </x:c>
      <x:c r="P1511" s="10" t="n">
        <x:f>N1511-O1511</x:f>
        <x:v>19.95</x:v>
      </x:c>
      <x:c r="Q1511" s="9" t="n">
        <x:f>A1511-WEEKDAY(A1511,2)+1</x:f>
        <x:v>46314</x:v>
      </x:c>
      <x:c r="R1511" s="2" t="str">
        <x:f>IF(AND(A1511&gt;='Review'!$B$4,A1511&lt;='Review'!$D$4),"Selected","Outside")</x:f>
        <x:v>Selected</x:v>
      </x:c>
    </x:row>
    <x:row r="1512" ht="20" customHeight="1">
      <x:c r="A1512" s="9" t="n">
        <x:v>46320</x:v>
      </x:c>
      <x:c r="B1512" s="2" t="str">
        <x:v>MM-2061</x:v>
      </x:c>
      <x:c r="C1512" s="2" t="str">
        <x:v>Paid Social</x:v>
      </x:c>
      <x:c r="D1512" s="2" t="str">
        <x:v>HAT-001</x:v>
      </x:c>
      <x:c r="E1512" s="2" t="str">
        <x:f>_xlfn.IFNA(VLOOKUP(D1512,'Products'!$A$7:$I$22,2,FALSE),"Unmapped")</x:f>
        <x:v>Classic canvas cap</x:v>
      </x:c>
      <x:c r="F1512" s="2" t="str">
        <x:f>_xlfn.IFNA(VLOOKUP(D1512,'Products'!$A$7:$I$22,3,FALSE),"Unmapped")</x:f>
        <x:v>Accessories</x:v>
      </x:c>
      <x:c r="G1512" s="2" t="n">
        <x:v>1</x:v>
      </x:c>
      <x:c r="H1512" s="2" t="n">
        <x:v>0</x:v>
      </x:c>
      <x:c r="I1512" s="10" t="n">
        <x:v>24.95</x:v>
      </x:c>
      <x:c r="J1512" s="10" t="n">
        <x:v>0</x:v>
      </x:c>
      <x:c r="K1512" s="10" t="n">
        <x:v>8.5</x:v>
      </x:c>
      <x:c r="L1512" s="10" t="n">
        <x:f>G1512*I1512</x:f>
        <x:v>24.95</x:v>
      </x:c>
      <x:c r="M1512" s="10" t="n">
        <x:f>ROUND((L1512-J1512)*H1512/G1512,2)</x:f>
        <x:v>0</x:v>
      </x:c>
      <x:c r="N1512" s="10" t="n">
        <x:f>L1512-J1512-M1512</x:f>
        <x:v>24.95</x:v>
      </x:c>
      <x:c r="O1512" s="10" t="n">
        <x:f>(G1512-H1512)*K1512</x:f>
        <x:v>8.5</x:v>
      </x:c>
      <x:c r="P1512" s="10" t="n">
        <x:f>N1512-O1512</x:f>
        <x:v>16.45</x:v>
      </x:c>
      <x:c r="Q1512" s="9" t="n">
        <x:f>A1512-WEEKDAY(A1512,2)+1</x:f>
        <x:v>46314</x:v>
      </x:c>
      <x:c r="R1512" s="2" t="str">
        <x:f>IF(AND(A1512&gt;='Review'!$B$4,A1512&lt;='Review'!$D$4),"Selected","Outside")</x:f>
        <x:v>Selected</x:v>
      </x:c>
    </x:row>
    <x:row r="1513" ht="20" customHeight="1">
      <x:c r="A1513" s="9" t="n">
        <x:v>46320</x:v>
      </x:c>
      <x:c r="B1513" s="2" t="str">
        <x:v>MM-2057</x:v>
      </x:c>
      <x:c r="C1513" s="2" t="str">
        <x:v>Paid Social</x:v>
      </x:c>
      <x:c r="D1513" s="2" t="str">
        <x:v>MUG-002</x:v>
      </x:c>
      <x:c r="E1513" s="2" t="str">
        <x:f>_xlfn.IFNA(VLOOKUP(D1513,'Products'!$A$7:$I$22,2,FALSE),"Unmapped")</x:f>
        <x:v>Campfire enamel mug</x:v>
      </x:c>
      <x:c r="F1513" s="2" t="str">
        <x:f>_xlfn.IFNA(VLOOKUP(D1513,'Products'!$A$7:$I$22,3,FALSE),"Unmapped")</x:f>
        <x:v>Drinkware</x:v>
      </x:c>
      <x:c r="G1513" s="2" t="n">
        <x:v>2</x:v>
      </x:c>
      <x:c r="H1513" s="2" t="n">
        <x:v>0</x:v>
      </x:c>
      <x:c r="I1513" s="10" t="n">
        <x:v>22.95</x:v>
      </x:c>
      <x:c r="J1513" s="10" t="n">
        <x:v>0</x:v>
      </x:c>
      <x:c r="K1513" s="10" t="n">
        <x:v>8.5</x:v>
      </x:c>
      <x:c r="L1513" s="10" t="n">
        <x:f>G1513*I1513</x:f>
        <x:v>45.9</x:v>
      </x:c>
      <x:c r="M1513" s="10" t="n">
        <x:f>ROUND((L1513-J1513)*H1513/G1513,2)</x:f>
        <x:v>0</x:v>
      </x:c>
      <x:c r="N1513" s="10" t="n">
        <x:f>L1513-J1513-M1513</x:f>
        <x:v>45.9</x:v>
      </x:c>
      <x:c r="O1513" s="10" t="n">
        <x:f>(G1513-H1513)*K1513</x:f>
        <x:v>17</x:v>
      </x:c>
      <x:c r="P1513" s="10" t="n">
        <x:f>N1513-O1513</x:f>
        <x:v>28.9</x:v>
      </x:c>
      <x:c r="Q1513" s="9" t="n">
        <x:f>A1513-WEEKDAY(A1513,2)+1</x:f>
        <x:v>46314</x:v>
      </x:c>
      <x:c r="R1513" s="2" t="str">
        <x:f>IF(AND(A1513&gt;='Review'!$B$4,A1513&lt;='Review'!$D$4),"Selected","Outside")</x:f>
        <x:v>Selected</x:v>
      </x:c>
    </x:row>
    <x:row r="1514" ht="20" customHeight="1">
      <x:c r="A1514" s="9" t="n">
        <x:v>46320</x:v>
      </x:c>
      <x:c r="B1514" s="2" t="str">
        <x:v>MM-2066</x:v>
      </x:c>
      <x:c r="C1514" s="2" t="str">
        <x:v>Direct</x:v>
      </x:c>
      <x:c r="D1514" s="2" t="str">
        <x:v>PIN-001</x:v>
      </x:c>
      <x:c r="E1514" s="2" t="str">
        <x:f>_xlfn.IFNA(VLOOKUP(D1514,'Products'!$A$7:$I$22,2,FALSE),"Unmapped")</x:f>
        <x:v>Coffee enamel pin</x:v>
      </x:c>
      <x:c r="F1514" s="2" t="str">
        <x:f>_xlfn.IFNA(VLOOKUP(D1514,'Products'!$A$7:$I$22,3,FALSE),"Unmapped")</x:f>
        <x:v>Accessories</x:v>
      </x:c>
      <x:c r="G1514" s="2" t="n">
        <x:v>1</x:v>
      </x:c>
      <x:c r="H1514" s="2" t="n">
        <x:v>0</x:v>
      </x:c>
      <x:c r="I1514" s="10" t="n">
        <x:v>9.95</x:v>
      </x:c>
      <x:c r="J1514" s="10" t="n">
        <x:v>0</x:v>
      </x:c>
      <x:c r="K1514" s="10" t="n">
        <x:v>2.5</x:v>
      </x:c>
      <x:c r="L1514" s="10" t="n">
        <x:f>G1514*I1514</x:f>
        <x:v>9.95</x:v>
      </x:c>
      <x:c r="M1514" s="10" t="n">
        <x:f>ROUND((L1514-J1514)*H1514/G1514,2)</x:f>
        <x:v>0</x:v>
      </x:c>
      <x:c r="N1514" s="10" t="n">
        <x:f>L1514-J1514-M1514</x:f>
        <x:v>9.95</x:v>
      </x:c>
      <x:c r="O1514" s="10" t="n">
        <x:f>(G1514-H1514)*K1514</x:f>
        <x:v>2.5</x:v>
      </x:c>
      <x:c r="P1514" s="10" t="n">
        <x:f>N1514-O1514</x:f>
        <x:v>7.449999999999999</x:v>
      </x:c>
      <x:c r="Q1514" s="9" t="n">
        <x:f>A1514-WEEKDAY(A1514,2)+1</x:f>
        <x:v>46314</x:v>
      </x:c>
      <x:c r="R1514" s="2" t="str">
        <x:f>IF(AND(A1514&gt;='Review'!$B$4,A1514&lt;='Review'!$D$4),"Selected","Outside")</x:f>
        <x:v>Selected</x:v>
      </x:c>
    </x:row>
    <x:row r="1515" ht="20" customHeight="1">
      <x:c r="A1515" s="9" t="n">
        <x:v>46320</x:v>
      </x:c>
      <x:c r="B1515" s="2" t="str">
        <x:v>MM-2056</x:v>
      </x:c>
      <x:c r="C1515" s="2" t="str">
        <x:v>Organic Search</x:v>
      </x:c>
      <x:c r="D1515" s="2" t="str">
        <x:v>TUM-002</x:v>
      </x:c>
      <x:c r="E1515" s="2" t="str">
        <x:f>_xlfn.IFNA(VLOOKUP(D1515,'Products'!$A$7:$I$22,2,FALSE),"Unmapped")</x:f>
        <x:v>Cold brew glass cup</x:v>
      </x:c>
      <x:c r="F1515" s="2" t="str">
        <x:f>_xlfn.IFNA(VLOOKUP(D1515,'Products'!$A$7:$I$22,3,FALSE),"Unmapped")</x:f>
        <x:v>Drinkware</x:v>
      </x:c>
      <x:c r="G1515" s="2" t="n">
        <x:v>1</x:v>
      </x:c>
      <x:c r="H1515" s="2" t="n">
        <x:v>0</x:v>
      </x:c>
      <x:c r="I1515" s="10" t="n">
        <x:v>24.95</x:v>
      </x:c>
      <x:c r="J1515" s="10" t="n">
        <x:v>0</x:v>
      </x:c>
      <x:c r="K1515" s="10" t="n">
        <x:v>9</x:v>
      </x:c>
      <x:c r="L1515" s="10" t="n">
        <x:f>G1515*I1515</x:f>
        <x:v>24.95</x:v>
      </x:c>
      <x:c r="M1515" s="10" t="n">
        <x:f>ROUND((L1515-J1515)*H1515/G1515,2)</x:f>
        <x:v>0</x:v>
      </x:c>
      <x:c r="N1515" s="10" t="n">
        <x:f>L1515-J1515-M1515</x:f>
        <x:v>24.95</x:v>
      </x:c>
      <x:c r="O1515" s="10" t="n">
        <x:f>(G1515-H1515)*K1515</x:f>
        <x:v>9</x:v>
      </x:c>
      <x:c r="P1515" s="10" t="n">
        <x:f>N1515-O1515</x:f>
        <x:v>15.95</x:v>
      </x:c>
      <x:c r="Q1515" s="9" t="n">
        <x:f>A1515-WEEKDAY(A1515,2)+1</x:f>
        <x:v>46314</x:v>
      </x:c>
      <x:c r="R1515" s="2" t="str">
        <x:f>IF(AND(A1515&gt;='Review'!$B$4,A1515&lt;='Review'!$D$4),"Selected","Outside")</x:f>
        <x:v>Selected</x:v>
      </x:c>
    </x:row>
    <x:row r="1516" ht="20" customHeight="1">
      <x:c r="A1516" s="9" t="n">
        <x:v>46320</x:v>
      </x:c>
      <x:c r="B1516" s="2" t="str">
        <x:v>MM-2065</x:v>
      </x:c>
      <x:c r="C1516" s="2" t="str">
        <x:v>Paid Social</x:v>
      </x:c>
      <x:c r="D1516" s="2" t="str">
        <x:v>TUM-002</x:v>
      </x:c>
      <x:c r="E1516" s="2" t="str">
        <x:f>_xlfn.IFNA(VLOOKUP(D1516,'Products'!$A$7:$I$22,2,FALSE),"Unmapped")</x:f>
        <x:v>Cold brew glass cup</x:v>
      </x:c>
      <x:c r="F1516" s="2" t="str">
        <x:f>_xlfn.IFNA(VLOOKUP(D1516,'Products'!$A$7:$I$22,3,FALSE),"Unmapped")</x:f>
        <x:v>Drinkware</x:v>
      </x:c>
      <x:c r="G1516" s="2" t="n">
        <x:v>1</x:v>
      </x:c>
      <x:c r="H1516" s="2" t="n">
        <x:v>0</x:v>
      </x:c>
      <x:c r="I1516" s="10" t="n">
        <x:v>24.95</x:v>
      </x:c>
      <x:c r="J1516" s="10" t="n">
        <x:v>0</x:v>
      </x:c>
      <x:c r="K1516" s="10" t="n">
        <x:v>9</x:v>
      </x:c>
      <x:c r="L1516" s="10" t="n">
        <x:f>G1516*I1516</x:f>
        <x:v>24.95</x:v>
      </x:c>
      <x:c r="M1516" s="10" t="n">
        <x:f>ROUND((L1516-J1516)*H1516/G1516,2)</x:f>
        <x:v>0</x:v>
      </x:c>
      <x:c r="N1516" s="10" t="n">
        <x:f>L1516-J1516-M1516</x:f>
        <x:v>24.95</x:v>
      </x:c>
      <x:c r="O1516" s="10" t="n">
        <x:f>(G1516-H1516)*K1516</x:f>
        <x:v>9</x:v>
      </x:c>
      <x:c r="P1516" s="10" t="n">
        <x:f>N1516-O1516</x:f>
        <x:v>15.95</x:v>
      </x:c>
      <x:c r="Q1516" s="9" t="n">
        <x:f>A1516-WEEKDAY(A1516,2)+1</x:f>
        <x:v>46314</x:v>
      </x:c>
      <x:c r="R1516" s="2" t="str">
        <x:f>IF(AND(A1516&gt;='Review'!$B$4,A1516&lt;='Review'!$D$4),"Selected","Outside")</x:f>
        <x:v>Selected</x:v>
      </x:c>
    </x:row>
    <x:row r="1517" ht="20" customHeight="1">
      <x:c r="A1517" s="9" t="n">
        <x:v>46320</x:v>
      </x:c>
      <x:c r="B1517" s="2" t="str">
        <x:v>MM-2065</x:v>
      </x:c>
      <x:c r="C1517" s="2" t="str">
        <x:v>Paid Social</x:v>
      </x:c>
      <x:c r="D1517" s="2" t="str">
        <x:v>PIN-001</x:v>
      </x:c>
      <x:c r="E1517" s="2" t="str">
        <x:f>_xlfn.IFNA(VLOOKUP(D1517,'Products'!$A$7:$I$22,2,FALSE),"Unmapped")</x:f>
        <x:v>Coffee enamel pin</x:v>
      </x:c>
      <x:c r="F1517" s="2" t="str">
        <x:f>_xlfn.IFNA(VLOOKUP(D1517,'Products'!$A$7:$I$22,3,FALSE),"Unmapped")</x:f>
        <x:v>Accessories</x:v>
      </x:c>
      <x:c r="G1517" s="2" t="n">
        <x:v>1</x:v>
      </x:c>
      <x:c r="H1517" s="2" t="n">
        <x:v>0</x:v>
      </x:c>
      <x:c r="I1517" s="10" t="n">
        <x:v>9.95</x:v>
      </x:c>
      <x:c r="J1517" s="10" t="n">
        <x:v>0</x:v>
      </x:c>
      <x:c r="K1517" s="10" t="n">
        <x:v>2.5</x:v>
      </x:c>
      <x:c r="L1517" s="10" t="n">
        <x:f>G1517*I1517</x:f>
        <x:v>9.95</x:v>
      </x:c>
      <x:c r="M1517" s="10" t="n">
        <x:f>ROUND((L1517-J1517)*H1517/G1517,2)</x:f>
        <x:v>0</x:v>
      </x:c>
      <x:c r="N1517" s="10" t="n">
        <x:f>L1517-J1517-M1517</x:f>
        <x:v>9.95</x:v>
      </x:c>
      <x:c r="O1517" s="10" t="n">
        <x:f>(G1517-H1517)*K1517</x:f>
        <x:v>2.5</x:v>
      </x:c>
      <x:c r="P1517" s="10" t="n">
        <x:f>N1517-O1517</x:f>
        <x:v>7.449999999999999</x:v>
      </x:c>
      <x:c r="Q1517" s="9" t="n">
        <x:f>A1517-WEEKDAY(A1517,2)+1</x:f>
        <x:v>46314</x:v>
      </x:c>
      <x:c r="R1517" s="2" t="str">
        <x:f>IF(AND(A1517&gt;='Review'!$B$4,A1517&lt;='Review'!$D$4),"Selected","Outside")</x:f>
        <x:v>Selected</x:v>
      </x:c>
    </x:row>
    <x:row r="1518" ht="20" customHeight="1">
      <x:c r="A1518" s="9" t="n">
        <x:v>46321</x:v>
      </x:c>
      <x:c r="B1518" s="2" t="str">
        <x:v>MM-2076</x:v>
      </x:c>
      <x:c r="C1518" s="2" t="str">
        <x:v>Organic Search</x:v>
      </x:c>
      <x:c r="D1518" s="2" t="str">
        <x:v>GFT-002</x:v>
      </x:c>
      <x:c r="E1518" s="2" t="str">
        <x:f>_xlfn.IFNA(VLOOKUP(D1518,'Products'!$A$7:$I$22,2,FALSE),"Unmapped")</x:f>
        <x:v>Cozy weekend gift box</x:v>
      </x:c>
      <x:c r="F1518" s="2" t="str">
        <x:f>_xlfn.IFNA(VLOOKUP(D1518,'Products'!$A$7:$I$22,3,FALSE),"Unmapped")</x:f>
        <x:v>Gifts</x:v>
      </x:c>
      <x:c r="G1518" s="2" t="n">
        <x:v>2</x:v>
      </x:c>
      <x:c r="H1518" s="2" t="n">
        <x:v>0</x:v>
      </x:c>
      <x:c r="I1518" s="10" t="n">
        <x:v>79.95</x:v>
      </x:c>
      <x:c r="J1518" s="10" t="n">
        <x:v>0</x:v>
      </x:c>
      <x:c r="K1518" s="10" t="n">
        <x:v>32</x:v>
      </x:c>
      <x:c r="L1518" s="10" t="n">
        <x:f>G1518*I1518</x:f>
        <x:v>159.9</x:v>
      </x:c>
      <x:c r="M1518" s="10" t="n">
        <x:f>ROUND((L1518-J1518)*H1518/G1518,2)</x:f>
        <x:v>0</x:v>
      </x:c>
      <x:c r="N1518" s="10" t="n">
        <x:f>L1518-J1518-M1518</x:f>
        <x:v>159.9</x:v>
      </x:c>
      <x:c r="O1518" s="10" t="n">
        <x:f>(G1518-H1518)*K1518</x:f>
        <x:v>64</x:v>
      </x:c>
      <x:c r="P1518" s="10" t="n">
        <x:f>N1518-O1518</x:f>
        <x:v>95.9</x:v>
      </x:c>
      <x:c r="Q1518" s="9" t="n">
        <x:f>A1518-WEEKDAY(A1518,2)+1</x:f>
        <x:v>46321</x:v>
      </x:c>
      <x:c r="R1518" s="2" t="str">
        <x:f>IF(AND(A1518&gt;='Review'!$B$4,A1518&lt;='Review'!$D$4),"Selected","Outside")</x:f>
        <x:v>Selected</x:v>
      </x:c>
    </x:row>
    <x:row r="1519" ht="20" customHeight="1">
      <x:c r="A1519" s="9" t="n">
        <x:v>46321</x:v>
      </x:c>
      <x:c r="B1519" s="2" t="str">
        <x:v>MM-2076</x:v>
      </x:c>
      <x:c r="C1519" s="2" t="str">
        <x:v>Organic Search</x:v>
      </x:c>
      <x:c r="D1519" s="2" t="str">
        <x:v>APP-003</x:v>
      </x:c>
      <x:c r="E1519" s="2" t="str">
        <x:f>_xlfn.IFNA(VLOOKUP(D1519,'Products'!$A$7:$I$22,2,FALSE),"Unmapped")</x:f>
        <x:v>Coffee club tee</x:v>
      </x:c>
      <x:c r="F1519" s="2" t="str">
        <x:f>_xlfn.IFNA(VLOOKUP(D1519,'Products'!$A$7:$I$22,3,FALSE),"Unmapped")</x:f>
        <x:v>Apparel</x:v>
      </x:c>
      <x:c r="G1519" s="2" t="n">
        <x:v>2</x:v>
      </x:c>
      <x:c r="H1519" s="2" t="n">
        <x:v>0</x:v>
      </x:c>
      <x:c r="I1519" s="10" t="n">
        <x:v>29.95</x:v>
      </x:c>
      <x:c r="J1519" s="10" t="n">
        <x:v>0</x:v>
      </x:c>
      <x:c r="K1519" s="10" t="n">
        <x:v>10</x:v>
      </x:c>
      <x:c r="L1519" s="10" t="n">
        <x:f>G1519*I1519</x:f>
        <x:v>59.9</x:v>
      </x:c>
      <x:c r="M1519" s="10" t="n">
        <x:f>ROUND((L1519-J1519)*H1519/G1519,2)</x:f>
        <x:v>0</x:v>
      </x:c>
      <x:c r="N1519" s="10" t="n">
        <x:f>L1519-J1519-M1519</x:f>
        <x:v>59.9</x:v>
      </x:c>
      <x:c r="O1519" s="10" t="n">
        <x:f>(G1519-H1519)*K1519</x:f>
        <x:v>20</x:v>
      </x:c>
      <x:c r="P1519" s="10" t="n">
        <x:f>N1519-O1519</x:f>
        <x:v>39.9</x:v>
      </x:c>
      <x:c r="Q1519" s="9" t="n">
        <x:f>A1519-WEEKDAY(A1519,2)+1</x:f>
        <x:v>46321</x:v>
      </x:c>
      <x:c r="R1519" s="2" t="str">
        <x:f>IF(AND(A1519&gt;='Review'!$B$4,A1519&lt;='Review'!$D$4),"Selected","Outside")</x:f>
        <x:v>Selected</x:v>
      </x:c>
    </x:row>
    <x:row r="1520" ht="20" customHeight="1">
      <x:c r="A1520" s="9" t="n">
        <x:v>46321</x:v>
      </x:c>
      <x:c r="B1520" s="2" t="str">
        <x:v>MM-2071</x:v>
      </x:c>
      <x:c r="C1520" s="2" t="str">
        <x:v>Email</x:v>
      </x:c>
      <x:c r="D1520" s="2" t="str">
        <x:v>HAT-001</x:v>
      </x:c>
      <x:c r="E1520" s="2" t="str">
        <x:f>_xlfn.IFNA(VLOOKUP(D1520,'Products'!$A$7:$I$22,2,FALSE),"Unmapped")</x:f>
        <x:v>Classic canvas cap</x:v>
      </x:c>
      <x:c r="F1520" s="2" t="str">
        <x:f>_xlfn.IFNA(VLOOKUP(D1520,'Products'!$A$7:$I$22,3,FALSE),"Unmapped")</x:f>
        <x:v>Accessories</x:v>
      </x:c>
      <x:c r="G1520" s="2" t="n">
        <x:v>1</x:v>
      </x:c>
      <x:c r="H1520" s="2" t="n">
        <x:v>0</x:v>
      </x:c>
      <x:c r="I1520" s="10" t="n">
        <x:v>24.95</x:v>
      </x:c>
      <x:c r="J1520" s="10" t="n">
        <x:v>2.49</x:v>
      </x:c>
      <x:c r="K1520" s="10" t="n">
        <x:v>8.5</x:v>
      </x:c>
      <x:c r="L1520" s="10" t="n">
        <x:f>G1520*I1520</x:f>
        <x:v>24.95</x:v>
      </x:c>
      <x:c r="M1520" s="10" t="n">
        <x:f>ROUND((L1520-J1520)*H1520/G1520,2)</x:f>
        <x:v>0</x:v>
      </x:c>
      <x:c r="N1520" s="10" t="n">
        <x:f>L1520-J1520-M1520</x:f>
        <x:v>22.46</x:v>
      </x:c>
      <x:c r="O1520" s="10" t="n">
        <x:f>(G1520-H1520)*K1520</x:f>
        <x:v>8.5</x:v>
      </x:c>
      <x:c r="P1520" s="10" t="n">
        <x:f>N1520-O1520</x:f>
        <x:v>13.96</x:v>
      </x:c>
      <x:c r="Q1520" s="9" t="n">
        <x:f>A1520-WEEKDAY(A1520,2)+1</x:f>
        <x:v>46321</x:v>
      </x:c>
      <x:c r="R1520" s="2" t="str">
        <x:f>IF(AND(A1520&gt;='Review'!$B$4,A1520&lt;='Review'!$D$4),"Selected","Outside")</x:f>
        <x:v>Selected</x:v>
      </x:c>
    </x:row>
    <x:row r="1521" ht="20" customHeight="1">
      <x:c r="A1521" s="9" t="n">
        <x:v>46321</x:v>
      </x:c>
      <x:c r="B1521" s="2" t="str">
        <x:v>MM-2078</x:v>
      </x:c>
      <x:c r="C1521" s="2" t="str">
        <x:v>Organic Search</x:v>
      </x:c>
      <x:c r="D1521" s="2" t="str">
        <x:v>GFT-001</x:v>
      </x:c>
      <x:c r="E1521" s="2" t="str">
        <x:f>_xlfn.IFNA(VLOOKUP(D1521,'Products'!$A$7:$I$22,2,FALSE),"Unmapped")</x:f>
        <x:v>Morning ritual gift set</x:v>
      </x:c>
      <x:c r="F1521" s="2" t="str">
        <x:f>_xlfn.IFNA(VLOOKUP(D1521,'Products'!$A$7:$I$22,3,FALSE),"Unmapped")</x:f>
        <x:v>Gifts</x:v>
      </x:c>
      <x:c r="G1521" s="2" t="n">
        <x:v>1</x:v>
      </x:c>
      <x:c r="H1521" s="2" t="n">
        <x:v>0</x:v>
      </x:c>
      <x:c r="I1521" s="10" t="n">
        <x:v>59.95</x:v>
      </x:c>
      <x:c r="J1521" s="10" t="n">
        <x:v>0</x:v>
      </x:c>
      <x:c r="K1521" s="10" t="n">
        <x:v>24</x:v>
      </x:c>
      <x:c r="L1521" s="10" t="n">
        <x:f>G1521*I1521</x:f>
        <x:v>59.95</x:v>
      </x:c>
      <x:c r="M1521" s="10" t="n">
        <x:f>ROUND((L1521-J1521)*H1521/G1521,2)</x:f>
        <x:v>0</x:v>
      </x:c>
      <x:c r="N1521" s="10" t="n">
        <x:f>L1521-J1521-M1521</x:f>
        <x:v>59.95</x:v>
      </x:c>
      <x:c r="O1521" s="10" t="n">
        <x:f>(G1521-H1521)*K1521</x:f>
        <x:v>24</x:v>
      </x:c>
      <x:c r="P1521" s="10" t="n">
        <x:f>N1521-O1521</x:f>
        <x:v>35.95</x:v>
      </x:c>
      <x:c r="Q1521" s="9" t="n">
        <x:f>A1521-WEEKDAY(A1521,2)+1</x:f>
        <x:v>46321</x:v>
      </x:c>
      <x:c r="R1521" s="2" t="str">
        <x:f>IF(AND(A1521&gt;='Review'!$B$4,A1521&lt;='Review'!$D$4),"Selected","Outside")</x:f>
        <x:v>Selected</x:v>
      </x:c>
    </x:row>
    <x:row r="1522" ht="20" customHeight="1">
      <x:c r="A1522" s="9" t="n">
        <x:v>46321</x:v>
      </x:c>
      <x:c r="B1522" s="2" t="str">
        <x:v>MM-2078</x:v>
      </x:c>
      <x:c r="C1522" s="2" t="str">
        <x:v>Organic Search</x:v>
      </x:c>
      <x:c r="D1522" s="2" t="str">
        <x:v>KEY-001</x:v>
      </x:c>
      <x:c r="E1522" s="2" t="str">
        <x:f>_xlfn.IFNA(VLOOKUP(D1522,'Products'!$A$7:$I$22,2,FALSE),"Unmapped")</x:f>
        <x:v>Maple keyring</x:v>
      </x:c>
      <x:c r="F1522" s="2" t="str">
        <x:f>_xlfn.IFNA(VLOOKUP(D1522,'Products'!$A$7:$I$22,3,FALSE),"Unmapped")</x:f>
        <x:v>Accessories</x:v>
      </x:c>
      <x:c r="G1522" s="2" t="n">
        <x:v>1</x:v>
      </x:c>
      <x:c r="H1522" s="2" t="n">
        <x:v>0</x:v>
      </x:c>
      <x:c r="I1522" s="10" t="n">
        <x:v>12.95</x:v>
      </x:c>
      <x:c r="J1522" s="10" t="n">
        <x:v>1.29</x:v>
      </x:c>
      <x:c r="K1522" s="10" t="n">
        <x:v>3.5</x:v>
      </x:c>
      <x:c r="L1522" s="10" t="n">
        <x:f>G1522*I1522</x:f>
        <x:v>12.95</x:v>
      </x:c>
      <x:c r="M1522" s="10" t="n">
        <x:f>ROUND((L1522-J1522)*H1522/G1522,2)</x:f>
        <x:v>0</x:v>
      </x:c>
      <x:c r="N1522" s="10" t="n">
        <x:f>L1522-J1522-M1522</x:f>
        <x:v>11.66</x:v>
      </x:c>
      <x:c r="O1522" s="10" t="n">
        <x:f>(G1522-H1522)*K1522</x:f>
        <x:v>3.5</x:v>
      </x:c>
      <x:c r="P1522" s="10" t="n">
        <x:f>N1522-O1522</x:f>
        <x:v>8.16</x:v>
      </x:c>
      <x:c r="Q1522" s="9" t="n">
        <x:f>A1522-WEEKDAY(A1522,2)+1</x:f>
        <x:v>46321</x:v>
      </x:c>
      <x:c r="R1522" s="2" t="str">
        <x:f>IF(AND(A1522&gt;='Review'!$B$4,A1522&lt;='Review'!$D$4),"Selected","Outside")</x:f>
        <x:v>Selected</x:v>
      </x:c>
    </x:row>
    <x:row r="1523" ht="20" customHeight="1">
      <x:c r="A1523" s="9" t="n">
        <x:v>46321</x:v>
      </x:c>
      <x:c r="B1523" s="2" t="str">
        <x:v>MM-2078</x:v>
      </x:c>
      <x:c r="C1523" s="2" t="str">
        <x:v>Organic Search</x:v>
      </x:c>
      <x:c r="D1523" s="2" t="str">
        <x:v>TUM-001</x:v>
      </x:c>
      <x:c r="E1523" s="2" t="str">
        <x:f>_xlfn.IFNA(VLOOKUP(D1523,'Products'!$A$7:$I$22,2,FALSE),"Unmapped")</x:f>
        <x:v>Maple travel tumbler</x:v>
      </x:c>
      <x:c r="F1523" s="2" t="str">
        <x:f>_xlfn.IFNA(VLOOKUP(D1523,'Products'!$A$7:$I$22,3,FALSE),"Unmapped")</x:f>
        <x:v>Drinkware</x:v>
      </x:c>
      <x:c r="G1523" s="2" t="n">
        <x:v>1</x:v>
      </x:c>
      <x:c r="H1523" s="2" t="n">
        <x:v>0</x:v>
      </x:c>
      <x:c r="I1523" s="10" t="n">
        <x:v>32.95</x:v>
      </x:c>
      <x:c r="J1523" s="10" t="n">
        <x:v>0</x:v>
      </x:c>
      <x:c r="K1523" s="10" t="n">
        <x:v>12</x:v>
      </x:c>
      <x:c r="L1523" s="10" t="n">
        <x:f>G1523*I1523</x:f>
        <x:v>32.95</x:v>
      </x:c>
      <x:c r="M1523" s="10" t="n">
        <x:f>ROUND((L1523-J1523)*H1523/G1523,2)</x:f>
        <x:v>0</x:v>
      </x:c>
      <x:c r="N1523" s="10" t="n">
        <x:f>L1523-J1523-M1523</x:f>
        <x:v>32.95</x:v>
      </x:c>
      <x:c r="O1523" s="10" t="n">
        <x:f>(G1523-H1523)*K1523</x:f>
        <x:v>12</x:v>
      </x:c>
      <x:c r="P1523" s="10" t="n">
        <x:f>N1523-O1523</x:f>
        <x:v>20.950000000000003</x:v>
      </x:c>
      <x:c r="Q1523" s="9" t="n">
        <x:f>A1523-WEEKDAY(A1523,2)+1</x:f>
        <x:v>46321</x:v>
      </x:c>
      <x:c r="R1523" s="2" t="str">
        <x:f>IF(AND(A1523&gt;='Review'!$B$4,A1523&lt;='Review'!$D$4),"Selected","Outside")</x:f>
        <x:v>Selected</x:v>
      </x:c>
    </x:row>
    <x:row r="1524" ht="20" customHeight="1">
      <x:c r="A1524" s="9" t="n">
        <x:v>46321</x:v>
      </x:c>
      <x:c r="B1524" s="2" t="str">
        <x:v>MM-2080</x:v>
      </x:c>
      <x:c r="C1524" s="2" t="str">
        <x:v>Organic Search</x:v>
      </x:c>
      <x:c r="D1524" s="2" t="str">
        <x:v>TUM-001</x:v>
      </x:c>
      <x:c r="E1524" s="2" t="str">
        <x:f>_xlfn.IFNA(VLOOKUP(D1524,'Products'!$A$7:$I$22,2,FALSE),"Unmapped")</x:f>
        <x:v>Maple travel tumbler</x:v>
      </x:c>
      <x:c r="F1524" s="2" t="str">
        <x:f>_xlfn.IFNA(VLOOKUP(D1524,'Products'!$A$7:$I$22,3,FALSE),"Unmapped")</x:f>
        <x:v>Drinkware</x:v>
      </x:c>
      <x:c r="G1524" s="2" t="n">
        <x:v>2</x:v>
      </x:c>
      <x:c r="H1524" s="2" t="n">
        <x:v>0</x:v>
      </x:c>
      <x:c r="I1524" s="10" t="n">
        <x:v>32.95</x:v>
      </x:c>
      <x:c r="J1524" s="10" t="n">
        <x:v>0</x:v>
      </x:c>
      <x:c r="K1524" s="10" t="n">
        <x:v>12</x:v>
      </x:c>
      <x:c r="L1524" s="10" t="n">
        <x:f>G1524*I1524</x:f>
        <x:v>65.9</x:v>
      </x:c>
      <x:c r="M1524" s="10" t="n">
        <x:f>ROUND((L1524-J1524)*H1524/G1524,2)</x:f>
        <x:v>0</x:v>
      </x:c>
      <x:c r="N1524" s="10" t="n">
        <x:f>L1524-J1524-M1524</x:f>
        <x:v>65.9</x:v>
      </x:c>
      <x:c r="O1524" s="10" t="n">
        <x:f>(G1524-H1524)*K1524</x:f>
        <x:v>24</x:v>
      </x:c>
      <x:c r="P1524" s="10" t="n">
        <x:f>N1524-O1524</x:f>
        <x:v>41.900000000000006</x:v>
      </x:c>
      <x:c r="Q1524" s="9" t="n">
        <x:f>A1524-WEEKDAY(A1524,2)+1</x:f>
        <x:v>46321</x:v>
      </x:c>
      <x:c r="R1524" s="2" t="str">
        <x:f>IF(AND(A1524&gt;='Review'!$B$4,A1524&lt;='Review'!$D$4),"Selected","Outside")</x:f>
        <x:v>Selected</x:v>
      </x:c>
    </x:row>
    <x:row r="1525" ht="20" customHeight="1">
      <x:c r="A1525" s="9" t="n">
        <x:v>46321</x:v>
      </x:c>
      <x:c r="B1525" s="2" t="str">
        <x:v>MM-2081</x:v>
      </x:c>
      <x:c r="C1525" s="2" t="str">
        <x:v>Organic Search</x:v>
      </x:c>
      <x:c r="D1525" s="2" t="str">
        <x:v>BOT-001</x:v>
      </x:c>
      <x:c r="E1525" s="2" t="str">
        <x:f>_xlfn.IFNA(VLOOKUP(D1525,'Products'!$A$7:$I$22,2,FALSE),"Unmapped")</x:f>
        <x:v>Trail water bottle</x:v>
      </x:c>
      <x:c r="F1525" s="2" t="str">
        <x:f>_xlfn.IFNA(VLOOKUP(D1525,'Products'!$A$7:$I$22,3,FALSE),"Unmapped")</x:f>
        <x:v>Drinkware</x:v>
      </x:c>
      <x:c r="G1525" s="2" t="n">
        <x:v>1</x:v>
      </x:c>
      <x:c r="H1525" s="2" t="n">
        <x:v>0</x:v>
      </x:c>
      <x:c r="I1525" s="10" t="n">
        <x:v>34.95</x:v>
      </x:c>
      <x:c r="J1525" s="10" t="n">
        <x:v>3.49</x:v>
      </x:c>
      <x:c r="K1525" s="10" t="n">
        <x:v>13.5</x:v>
      </x:c>
      <x:c r="L1525" s="10" t="n">
        <x:f>G1525*I1525</x:f>
        <x:v>34.95</x:v>
      </x:c>
      <x:c r="M1525" s="10" t="n">
        <x:f>ROUND((L1525-J1525)*H1525/G1525,2)</x:f>
        <x:v>0</x:v>
      </x:c>
      <x:c r="N1525" s="10" t="n">
        <x:f>L1525-J1525-M1525</x:f>
        <x:v>31.46</x:v>
      </x:c>
      <x:c r="O1525" s="10" t="n">
        <x:f>(G1525-H1525)*K1525</x:f>
        <x:v>13.5</x:v>
      </x:c>
      <x:c r="P1525" s="10" t="n">
        <x:f>N1525-O1525</x:f>
        <x:v>17.96</x:v>
      </x:c>
      <x:c r="Q1525" s="9" t="n">
        <x:f>A1525-WEEKDAY(A1525,2)+1</x:f>
        <x:v>46321</x:v>
      </x:c>
      <x:c r="R1525" s="2" t="str">
        <x:f>IF(AND(A1525&gt;='Review'!$B$4,A1525&lt;='Review'!$D$4),"Selected","Outside")</x:f>
        <x:v>Selected</x:v>
      </x:c>
    </x:row>
    <x:row r="1526" ht="20" customHeight="1">
      <x:c r="A1526" s="9" t="n">
        <x:v>46321</x:v>
      </x:c>
      <x:c r="B1526" s="2" t="str">
        <x:v>MM-2077</x:v>
      </x:c>
      <x:c r="C1526" s="2" t="str">
        <x:v>Organic Search</x:v>
      </x:c>
      <x:c r="D1526" s="2" t="str">
        <x:v>APP-001</x:v>
      </x:c>
      <x:c r="E1526" s="2" t="str">
        <x:f>_xlfn.IFNA(VLOOKUP(D1526,'Products'!$A$7:$I$22,2,FALSE),"Unmapped")</x:f>
        <x:v>Everyday crewneck</x:v>
      </x:c>
      <x:c r="F1526" s="2" t="str">
        <x:f>_xlfn.IFNA(VLOOKUP(D1526,'Products'!$A$7:$I$22,3,FALSE),"Unmapped")</x:f>
        <x:v>Apparel</x:v>
      </x:c>
      <x:c r="G1526" s="2" t="n">
        <x:v>1</x:v>
      </x:c>
      <x:c r="H1526" s="2" t="n">
        <x:v>0</x:v>
      </x:c>
      <x:c r="I1526" s="10" t="n">
        <x:v>54.95</x:v>
      </x:c>
      <x:c r="J1526" s="10" t="n">
        <x:v>0</x:v>
      </x:c>
      <x:c r="K1526" s="10" t="n">
        <x:v>22</x:v>
      </x:c>
      <x:c r="L1526" s="10" t="n">
        <x:f>G1526*I1526</x:f>
        <x:v>54.95</x:v>
      </x:c>
      <x:c r="M1526" s="10" t="n">
        <x:f>ROUND((L1526-J1526)*H1526/G1526,2)</x:f>
        <x:v>0</x:v>
      </x:c>
      <x:c r="N1526" s="10" t="n">
        <x:f>L1526-J1526-M1526</x:f>
        <x:v>54.95</x:v>
      </x:c>
      <x:c r="O1526" s="10" t="n">
        <x:f>(G1526-H1526)*K1526</x:f>
        <x:v>22</x:v>
      </x:c>
      <x:c r="P1526" s="10" t="n">
        <x:f>N1526-O1526</x:f>
        <x:v>32.95</x:v>
      </x:c>
      <x:c r="Q1526" s="9" t="n">
        <x:f>A1526-WEEKDAY(A1526,2)+1</x:f>
        <x:v>46321</x:v>
      </x:c>
      <x:c r="R1526" s="2" t="str">
        <x:f>IF(AND(A1526&gt;='Review'!$B$4,A1526&lt;='Review'!$D$4),"Selected","Outside")</x:f>
        <x:v>Selected</x:v>
      </x:c>
    </x:row>
    <x:row r="1527" ht="20" customHeight="1">
      <x:c r="A1527" s="9" t="n">
        <x:v>46321</x:v>
      </x:c>
      <x:c r="B1527" s="2" t="str">
        <x:v>MM-2083</x:v>
      </x:c>
      <x:c r="C1527" s="2" t="str">
        <x:v>Paid Social</x:v>
      </x:c>
      <x:c r="D1527" s="2" t="str">
        <x:v>MUG-001</x:v>
      </x:c>
      <x:c r="E1527" s="2" t="str">
        <x:f>_xlfn.IFNA(VLOOKUP(D1527,'Products'!$A$7:$I$22,2,FALSE),"Unmapped")</x:f>
        <x:v>Everyday ceramic mug</x:v>
      </x:c>
      <x:c r="F1527" s="2" t="str">
        <x:f>_xlfn.IFNA(VLOOKUP(D1527,'Products'!$A$7:$I$22,3,FALSE),"Unmapped")</x:f>
        <x:v>Drinkware</x:v>
      </x:c>
      <x:c r="G1527" s="2" t="n">
        <x:v>1</x:v>
      </x:c>
      <x:c r="H1527" s="2" t="n">
        <x:v>0</x:v>
      </x:c>
      <x:c r="I1527" s="10" t="n">
        <x:v>18.95</x:v>
      </x:c>
      <x:c r="J1527" s="10" t="n">
        <x:v>0</x:v>
      </x:c>
      <x:c r="K1527" s="10" t="n">
        <x:v>6.5</x:v>
      </x:c>
      <x:c r="L1527" s="10" t="n">
        <x:f>G1527*I1527</x:f>
        <x:v>18.95</x:v>
      </x:c>
      <x:c r="M1527" s="10" t="n">
        <x:f>ROUND((L1527-J1527)*H1527/G1527,2)</x:f>
        <x:v>0</x:v>
      </x:c>
      <x:c r="N1527" s="10" t="n">
        <x:f>L1527-J1527-M1527</x:f>
        <x:v>18.95</x:v>
      </x:c>
      <x:c r="O1527" s="10" t="n">
        <x:f>(G1527-H1527)*K1527</x:f>
        <x:v>6.5</x:v>
      </x:c>
      <x:c r="P1527" s="10" t="n">
        <x:f>N1527-O1527</x:f>
        <x:v>12.45</x:v>
      </x:c>
      <x:c r="Q1527" s="9" t="n">
        <x:f>A1527-WEEKDAY(A1527,2)+1</x:f>
        <x:v>46321</x:v>
      </x:c>
      <x:c r="R1527" s="2" t="str">
        <x:f>IF(AND(A1527&gt;='Review'!$B$4,A1527&lt;='Review'!$D$4),"Selected","Outside")</x:f>
        <x:v>Selected</x:v>
      </x:c>
    </x:row>
    <x:row r="1528" ht="20" customHeight="1">
      <x:c r="A1528" s="9" t="n">
        <x:v>46321</x:v>
      </x:c>
      <x:c r="B1528" s="2" t="str">
        <x:v>MM-2082</x:v>
      </x:c>
      <x:c r="C1528" s="2" t="str">
        <x:v>Paid Social</x:v>
      </x:c>
      <x:c r="D1528" s="2" t="str">
        <x:v>APP-003</x:v>
      </x:c>
      <x:c r="E1528" s="2" t="str">
        <x:f>_xlfn.IFNA(VLOOKUP(D1528,'Products'!$A$7:$I$22,2,FALSE),"Unmapped")</x:f>
        <x:v>Coffee club tee</x:v>
      </x:c>
      <x:c r="F1528" s="2" t="str">
        <x:f>_xlfn.IFNA(VLOOKUP(D1528,'Products'!$A$7:$I$22,3,FALSE),"Unmapped")</x:f>
        <x:v>Apparel</x:v>
      </x:c>
      <x:c r="G1528" s="2" t="n">
        <x:v>1</x:v>
      </x:c>
      <x:c r="H1528" s="2" t="n">
        <x:v>0</x:v>
      </x:c>
      <x:c r="I1528" s="10" t="n">
        <x:v>29.95</x:v>
      </x:c>
      <x:c r="J1528" s="10" t="n">
        <x:v>2.99</x:v>
      </x:c>
      <x:c r="K1528" s="10" t="n">
        <x:v>10</x:v>
      </x:c>
      <x:c r="L1528" s="10" t="n">
        <x:f>G1528*I1528</x:f>
        <x:v>29.95</x:v>
      </x:c>
      <x:c r="M1528" s="10" t="n">
        <x:f>ROUND((L1528-J1528)*H1528/G1528,2)</x:f>
        <x:v>0</x:v>
      </x:c>
      <x:c r="N1528" s="10" t="n">
        <x:f>L1528-J1528-M1528</x:f>
        <x:v>26.96</x:v>
      </x:c>
      <x:c r="O1528" s="10" t="n">
        <x:f>(G1528-H1528)*K1528</x:f>
        <x:v>10</x:v>
      </x:c>
      <x:c r="P1528" s="10" t="n">
        <x:f>N1528-O1528</x:f>
        <x:v>16.96</x:v>
      </x:c>
      <x:c r="Q1528" s="9" t="n">
        <x:f>A1528-WEEKDAY(A1528,2)+1</x:f>
        <x:v>46321</x:v>
      </x:c>
      <x:c r="R1528" s="2" t="str">
        <x:f>IF(AND(A1528&gt;='Review'!$B$4,A1528&lt;='Review'!$D$4),"Selected","Outside")</x:f>
        <x:v>Selected</x:v>
      </x:c>
    </x:row>
    <x:row r="1529" ht="20" customHeight="1">
      <x:c r="A1529" s="9" t="n">
        <x:v>46321</x:v>
      </x:c>
      <x:c r="B1529" s="2" t="str">
        <x:v>MM-2084</x:v>
      </x:c>
      <x:c r="C1529" s="2" t="str">
        <x:v>Paid Social</x:v>
      </x:c>
      <x:c r="D1529" s="2" t="str">
        <x:v>TUM-002</x:v>
      </x:c>
      <x:c r="E1529" s="2" t="str">
        <x:f>_xlfn.IFNA(VLOOKUP(D1529,'Products'!$A$7:$I$22,2,FALSE),"Unmapped")</x:f>
        <x:v>Cold brew glass cup</x:v>
      </x:c>
      <x:c r="F1529" s="2" t="str">
        <x:f>_xlfn.IFNA(VLOOKUP(D1529,'Products'!$A$7:$I$22,3,FALSE),"Unmapped")</x:f>
        <x:v>Drinkware</x:v>
      </x:c>
      <x:c r="G1529" s="2" t="n">
        <x:v>2</x:v>
      </x:c>
      <x:c r="H1529" s="2" t="n">
        <x:v>0</x:v>
      </x:c>
      <x:c r="I1529" s="10" t="n">
        <x:v>24.95</x:v>
      </x:c>
      <x:c r="J1529" s="10" t="n">
        <x:v>4.99</x:v>
      </x:c>
      <x:c r="K1529" s="10" t="n">
        <x:v>9</x:v>
      </x:c>
      <x:c r="L1529" s="10" t="n">
        <x:f>G1529*I1529</x:f>
        <x:v>49.9</x:v>
      </x:c>
      <x:c r="M1529" s="10" t="n">
        <x:f>ROUND((L1529-J1529)*H1529/G1529,2)</x:f>
        <x:v>0</x:v>
      </x:c>
      <x:c r="N1529" s="10" t="n">
        <x:f>L1529-J1529-M1529</x:f>
        <x:v>44.91</x:v>
      </x:c>
      <x:c r="O1529" s="10" t="n">
        <x:f>(G1529-H1529)*K1529</x:f>
        <x:v>18</x:v>
      </x:c>
      <x:c r="P1529" s="10" t="n">
        <x:f>N1529-O1529</x:f>
        <x:v>26.909999999999997</x:v>
      </x:c>
      <x:c r="Q1529" s="9" t="n">
        <x:f>A1529-WEEKDAY(A1529,2)+1</x:f>
        <x:v>46321</x:v>
      </x:c>
      <x:c r="R1529" s="2" t="str">
        <x:f>IF(AND(A1529&gt;='Review'!$B$4,A1529&lt;='Review'!$D$4),"Selected","Outside")</x:f>
        <x:v>Selected</x:v>
      </x:c>
    </x:row>
    <x:row r="1530" ht="20" customHeight="1">
      <x:c r="A1530" s="9" t="n">
        <x:v>46321</x:v>
      </x:c>
      <x:c r="B1530" s="2" t="str">
        <x:v>MM-2084</x:v>
      </x:c>
      <x:c r="C1530" s="2" t="str">
        <x:v>Paid Social</x:v>
      </x:c>
      <x:c r="D1530" s="2" t="str">
        <x:v>APP-001</x:v>
      </x:c>
      <x:c r="E1530" s="2" t="str">
        <x:f>_xlfn.IFNA(VLOOKUP(D1530,'Products'!$A$7:$I$22,2,FALSE),"Unmapped")</x:f>
        <x:v>Everyday crewneck</x:v>
      </x:c>
      <x:c r="F1530" s="2" t="str">
        <x:f>_xlfn.IFNA(VLOOKUP(D1530,'Products'!$A$7:$I$22,3,FALSE),"Unmapped")</x:f>
        <x:v>Apparel</x:v>
      </x:c>
      <x:c r="G1530" s="2" t="n">
        <x:v>2</x:v>
      </x:c>
      <x:c r="H1530" s="2" t="n">
        <x:v>0</x:v>
      </x:c>
      <x:c r="I1530" s="10" t="n">
        <x:v>54.95</x:v>
      </x:c>
      <x:c r="J1530" s="10" t="n">
        <x:v>0</x:v>
      </x:c>
      <x:c r="K1530" s="10" t="n">
        <x:v>22</x:v>
      </x:c>
      <x:c r="L1530" s="10" t="n">
        <x:f>G1530*I1530</x:f>
        <x:v>109.9</x:v>
      </x:c>
      <x:c r="M1530" s="10" t="n">
        <x:f>ROUND((L1530-J1530)*H1530/G1530,2)</x:f>
        <x:v>0</x:v>
      </x:c>
      <x:c r="N1530" s="10" t="n">
        <x:f>L1530-J1530-M1530</x:f>
        <x:v>109.9</x:v>
      </x:c>
      <x:c r="O1530" s="10" t="n">
        <x:f>(G1530-H1530)*K1530</x:f>
        <x:v>44</x:v>
      </x:c>
      <x:c r="P1530" s="10" t="n">
        <x:f>N1530-O1530</x:f>
        <x:v>65.9</x:v>
      </x:c>
      <x:c r="Q1530" s="9" t="n">
        <x:f>A1530-WEEKDAY(A1530,2)+1</x:f>
        <x:v>46321</x:v>
      </x:c>
      <x:c r="R1530" s="2" t="str">
        <x:f>IF(AND(A1530&gt;='Review'!$B$4,A1530&lt;='Review'!$D$4),"Selected","Outside")</x:f>
        <x:v>Selected</x:v>
      </x:c>
    </x:row>
    <x:row r="1531" ht="20" customHeight="1">
      <x:c r="A1531" s="9" t="n">
        <x:v>46321</x:v>
      </x:c>
      <x:c r="B1531" s="2" t="str">
        <x:v>MM-2068</x:v>
      </x:c>
      <x:c r="C1531" s="2" t="str">
        <x:v>Direct</x:v>
      </x:c>
      <x:c r="D1531" s="2" t="str">
        <x:v>TOTE-001</x:v>
      </x:c>
      <x:c r="E1531" s="2" t="str">
        <x:f>_xlfn.IFNA(VLOOKUP(D1531,'Products'!$A$7:$I$22,2,FALSE),"Unmapped")</x:f>
        <x:v>Market canvas tote</x:v>
      </x:c>
      <x:c r="F1531" s="2" t="str">
        <x:f>_xlfn.IFNA(VLOOKUP(D1531,'Products'!$A$7:$I$22,3,FALSE),"Unmapped")</x:f>
        <x:v>Accessories</x:v>
      </x:c>
      <x:c r="G1531" s="2" t="n">
        <x:v>1</x:v>
      </x:c>
      <x:c r="H1531" s="2" t="n">
        <x:v>0</x:v>
      </x:c>
      <x:c r="I1531" s="10" t="n">
        <x:v>19.95</x:v>
      </x:c>
      <x:c r="J1531" s="10" t="n">
        <x:v>0</x:v>
      </x:c>
      <x:c r="K1531" s="10" t="n">
        <x:v>6</x:v>
      </x:c>
      <x:c r="L1531" s="10" t="n">
        <x:f>G1531*I1531</x:f>
        <x:v>19.95</x:v>
      </x:c>
      <x:c r="M1531" s="10" t="n">
        <x:f>ROUND((L1531-J1531)*H1531/G1531,2)</x:f>
        <x:v>0</x:v>
      </x:c>
      <x:c r="N1531" s="10" t="n">
        <x:f>L1531-J1531-M1531</x:f>
        <x:v>19.95</x:v>
      </x:c>
      <x:c r="O1531" s="10" t="n">
        <x:f>(G1531-H1531)*K1531</x:f>
        <x:v>6</x:v>
      </x:c>
      <x:c r="P1531" s="10" t="n">
        <x:f>N1531-O1531</x:f>
        <x:v>13.95</x:v>
      </x:c>
      <x:c r="Q1531" s="9" t="n">
        <x:f>A1531-WEEKDAY(A1531,2)+1</x:f>
        <x:v>46321</x:v>
      </x:c>
      <x:c r="R1531" s="2" t="str">
        <x:f>IF(AND(A1531&gt;='Review'!$B$4,A1531&lt;='Review'!$D$4),"Selected","Outside")</x:f>
        <x:v>Selected</x:v>
      </x:c>
    </x:row>
    <x:row r="1532" ht="20" customHeight="1">
      <x:c r="A1532" s="9" t="n">
        <x:v>46321</x:v>
      </x:c>
      <x:c r="B1532" s="2" t="str">
        <x:v>MM-2072</x:v>
      </x:c>
      <x:c r="C1532" s="2" t="str">
        <x:v>Email</x:v>
      </x:c>
      <x:c r="D1532" s="2" t="str">
        <x:v>APP-002</x:v>
      </x:c>
      <x:c r="E1532" s="2" t="str">
        <x:f>_xlfn.IFNA(VLOOKUP(D1532,'Products'!$A$7:$I$22,2,FALSE),"Unmapped")</x:f>
        <x:v>Weekend hoodie</x:v>
      </x:c>
      <x:c r="F1532" s="2" t="str">
        <x:f>_xlfn.IFNA(VLOOKUP(D1532,'Products'!$A$7:$I$22,3,FALSE),"Unmapped")</x:f>
        <x:v>Apparel</x:v>
      </x:c>
      <x:c r="G1532" s="2" t="n">
        <x:v>1</x:v>
      </x:c>
      <x:c r="H1532" s="2" t="n">
        <x:v>0</x:v>
      </x:c>
      <x:c r="I1532" s="10" t="n">
        <x:v>69.95</x:v>
      </x:c>
      <x:c r="J1532" s="10" t="n">
        <x:v>6.99</x:v>
      </x:c>
      <x:c r="K1532" s="10" t="n">
        <x:v>28</x:v>
      </x:c>
      <x:c r="L1532" s="10" t="n">
        <x:f>G1532*I1532</x:f>
        <x:v>69.95</x:v>
      </x:c>
      <x:c r="M1532" s="10" t="n">
        <x:f>ROUND((L1532-J1532)*H1532/G1532,2)</x:f>
        <x:v>0</x:v>
      </x:c>
      <x:c r="N1532" s="10" t="n">
        <x:f>L1532-J1532-M1532</x:f>
        <x:v>62.96</x:v>
      </x:c>
      <x:c r="O1532" s="10" t="n">
        <x:f>(G1532-H1532)*K1532</x:f>
        <x:v>28</x:v>
      </x:c>
      <x:c r="P1532" s="10" t="n">
        <x:f>N1532-O1532</x:f>
        <x:v>34.96</x:v>
      </x:c>
      <x:c r="Q1532" s="9" t="n">
        <x:f>A1532-WEEKDAY(A1532,2)+1</x:f>
        <x:v>46321</x:v>
      </x:c>
      <x:c r="R1532" s="2" t="str">
        <x:f>IF(AND(A1532&gt;='Review'!$B$4,A1532&lt;='Review'!$D$4),"Selected","Outside")</x:f>
        <x:v>Selected</x:v>
      </x:c>
    </x:row>
    <x:row r="1533" ht="20" customHeight="1">
      <x:c r="A1533" s="9" t="n">
        <x:v>46321</x:v>
      </x:c>
      <x:c r="B1533" s="2" t="str">
        <x:v>MM-2072</x:v>
      </x:c>
      <x:c r="C1533" s="2" t="str">
        <x:v>Email</x:v>
      </x:c>
      <x:c r="D1533" s="2" t="str">
        <x:v>TUM-001</x:v>
      </x:c>
      <x:c r="E1533" s="2" t="str">
        <x:f>_xlfn.IFNA(VLOOKUP(D1533,'Products'!$A$7:$I$22,2,FALSE),"Unmapped")</x:f>
        <x:v>Maple travel tumbler</x:v>
      </x:c>
      <x:c r="F1533" s="2" t="str">
        <x:f>_xlfn.IFNA(VLOOKUP(D1533,'Products'!$A$7:$I$22,3,FALSE),"Unmapped")</x:f>
        <x:v>Drinkware</x:v>
      </x:c>
      <x:c r="G1533" s="2" t="n">
        <x:v>1</x:v>
      </x:c>
      <x:c r="H1533" s="2" t="n">
        <x:v>0</x:v>
      </x:c>
      <x:c r="I1533" s="10" t="n">
        <x:v>32.95</x:v>
      </x:c>
      <x:c r="J1533" s="10" t="n">
        <x:v>3.29</x:v>
      </x:c>
      <x:c r="K1533" s="10" t="n">
        <x:v>12</x:v>
      </x:c>
      <x:c r="L1533" s="10" t="n">
        <x:f>G1533*I1533</x:f>
        <x:v>32.95</x:v>
      </x:c>
      <x:c r="M1533" s="10" t="n">
        <x:f>ROUND((L1533-J1533)*H1533/G1533,2)</x:f>
        <x:v>0</x:v>
      </x:c>
      <x:c r="N1533" s="10" t="n">
        <x:f>L1533-J1533-M1533</x:f>
        <x:v>29.660000000000004</x:v>
      </x:c>
      <x:c r="O1533" s="10" t="n">
        <x:f>(G1533-H1533)*K1533</x:f>
        <x:v>12</x:v>
      </x:c>
      <x:c r="P1533" s="10" t="n">
        <x:f>N1533-O1533</x:f>
        <x:v>17.660000000000004</x:v>
      </x:c>
      <x:c r="Q1533" s="9" t="n">
        <x:f>A1533-WEEKDAY(A1533,2)+1</x:f>
        <x:v>46321</x:v>
      </x:c>
      <x:c r="R1533" s="2" t="str">
        <x:f>IF(AND(A1533&gt;='Review'!$B$4,A1533&lt;='Review'!$D$4),"Selected","Outside")</x:f>
        <x:v>Selected</x:v>
      </x:c>
    </x:row>
    <x:row r="1534" ht="20" customHeight="1">
      <x:c r="A1534" s="9" t="n">
        <x:v>46321</x:v>
      </x:c>
      <x:c r="B1534" s="2" t="str">
        <x:v>MM-2085</x:v>
      </x:c>
      <x:c r="C1534" s="2" t="str">
        <x:v>Organic Search</x:v>
      </x:c>
      <x:c r="D1534" s="2" t="str">
        <x:v>APP-003</x:v>
      </x:c>
      <x:c r="E1534" s="2" t="str">
        <x:f>_xlfn.IFNA(VLOOKUP(D1534,'Products'!$A$7:$I$22,2,FALSE),"Unmapped")</x:f>
        <x:v>Coffee club tee</x:v>
      </x:c>
      <x:c r="F1534" s="2" t="str">
        <x:f>_xlfn.IFNA(VLOOKUP(D1534,'Products'!$A$7:$I$22,3,FALSE),"Unmapped")</x:f>
        <x:v>Apparel</x:v>
      </x:c>
      <x:c r="G1534" s="2" t="n">
        <x:v>1</x:v>
      </x:c>
      <x:c r="H1534" s="2" t="n">
        <x:v>0</x:v>
      </x:c>
      <x:c r="I1534" s="10" t="n">
        <x:v>29.95</x:v>
      </x:c>
      <x:c r="J1534" s="10" t="n">
        <x:v>0</x:v>
      </x:c>
      <x:c r="K1534" s="10" t="n">
        <x:v>10</x:v>
      </x:c>
      <x:c r="L1534" s="10" t="n">
        <x:f>G1534*I1534</x:f>
        <x:v>29.95</x:v>
      </x:c>
      <x:c r="M1534" s="10" t="n">
        <x:f>ROUND((L1534-J1534)*H1534/G1534,2)</x:f>
        <x:v>0</x:v>
      </x:c>
      <x:c r="N1534" s="10" t="n">
        <x:f>L1534-J1534-M1534</x:f>
        <x:v>29.95</x:v>
      </x:c>
      <x:c r="O1534" s="10" t="n">
        <x:f>(G1534-H1534)*K1534</x:f>
        <x:v>10</x:v>
      </x:c>
      <x:c r="P1534" s="10" t="n">
        <x:f>N1534-O1534</x:f>
        <x:v>19.95</x:v>
      </x:c>
      <x:c r="Q1534" s="9" t="n">
        <x:f>A1534-WEEKDAY(A1534,2)+1</x:f>
        <x:v>46321</x:v>
      </x:c>
      <x:c r="R1534" s="2" t="str">
        <x:f>IF(AND(A1534&gt;='Review'!$B$4,A1534&lt;='Review'!$D$4),"Selected","Outside")</x:f>
        <x:v>Selected</x:v>
      </x:c>
    </x:row>
    <x:row r="1535" ht="20" customHeight="1">
      <x:c r="A1535" s="9" t="n">
        <x:v>46321</x:v>
      </x:c>
      <x:c r="B1535" s="2" t="str">
        <x:v>MM-2085</x:v>
      </x:c>
      <x:c r="C1535" s="2" t="str">
        <x:v>Organic Search</x:v>
      </x:c>
      <x:c r="D1535" s="2" t="str">
        <x:v>MUG-002</x:v>
      </x:c>
      <x:c r="E1535" s="2" t="str">
        <x:f>_xlfn.IFNA(VLOOKUP(D1535,'Products'!$A$7:$I$22,2,FALSE),"Unmapped")</x:f>
        <x:v>Campfire enamel mug</x:v>
      </x:c>
      <x:c r="F1535" s="2" t="str">
        <x:f>_xlfn.IFNA(VLOOKUP(D1535,'Products'!$A$7:$I$22,3,FALSE),"Unmapped")</x:f>
        <x:v>Drinkware</x:v>
      </x:c>
      <x:c r="G1535" s="2" t="n">
        <x:v>1</x:v>
      </x:c>
      <x:c r="H1535" s="2" t="n">
        <x:v>0</x:v>
      </x:c>
      <x:c r="I1535" s="10" t="n">
        <x:v>22.95</x:v>
      </x:c>
      <x:c r="J1535" s="10" t="n">
        <x:v>0</x:v>
      </x:c>
      <x:c r="K1535" s="10" t="n">
        <x:v>8.5</x:v>
      </x:c>
      <x:c r="L1535" s="10" t="n">
        <x:f>G1535*I1535</x:f>
        <x:v>22.95</x:v>
      </x:c>
      <x:c r="M1535" s="10" t="n">
        <x:f>ROUND((L1535-J1535)*H1535/G1535,2)</x:f>
        <x:v>0</x:v>
      </x:c>
      <x:c r="N1535" s="10" t="n">
        <x:f>L1535-J1535-M1535</x:f>
        <x:v>22.95</x:v>
      </x:c>
      <x:c r="O1535" s="10" t="n">
        <x:f>(G1535-H1535)*K1535</x:f>
        <x:v>8.5</x:v>
      </x:c>
      <x:c r="P1535" s="10" t="n">
        <x:f>N1535-O1535</x:f>
        <x:v>14.45</x:v>
      </x:c>
      <x:c r="Q1535" s="9" t="n">
        <x:f>A1535-WEEKDAY(A1535,2)+1</x:f>
        <x:v>46321</x:v>
      </x:c>
      <x:c r="R1535" s="2" t="str">
        <x:f>IF(AND(A1535&gt;='Review'!$B$4,A1535&lt;='Review'!$D$4),"Selected","Outside")</x:f>
        <x:v>Selected</x:v>
      </x:c>
    </x:row>
    <x:row r="1536" ht="20" customHeight="1">
      <x:c r="A1536" s="9" t="n">
        <x:v>46321</x:v>
      </x:c>
      <x:c r="B1536" s="2" t="str">
        <x:v>MM-2085</x:v>
      </x:c>
      <x:c r="C1536" s="2" t="str">
        <x:v>Organic Search</x:v>
      </x:c>
      <x:c r="D1536" s="2" t="str">
        <x:v>GFT-001</x:v>
      </x:c>
      <x:c r="E1536" s="2" t="str">
        <x:f>_xlfn.IFNA(VLOOKUP(D1536,'Products'!$A$7:$I$22,2,FALSE),"Unmapped")</x:f>
        <x:v>Morning ritual gift set</x:v>
      </x:c>
      <x:c r="F1536" s="2" t="str">
        <x:f>_xlfn.IFNA(VLOOKUP(D1536,'Products'!$A$7:$I$22,3,FALSE),"Unmapped")</x:f>
        <x:v>Gifts</x:v>
      </x:c>
      <x:c r="G1536" s="2" t="n">
        <x:v>1</x:v>
      </x:c>
      <x:c r="H1536" s="2" t="n">
        <x:v>0</x:v>
      </x:c>
      <x:c r="I1536" s="10" t="n">
        <x:v>59.95</x:v>
      </x:c>
      <x:c r="J1536" s="10" t="n">
        <x:v>0</x:v>
      </x:c>
      <x:c r="K1536" s="10" t="n">
        <x:v>24</x:v>
      </x:c>
      <x:c r="L1536" s="10" t="n">
        <x:f>G1536*I1536</x:f>
        <x:v>59.95</x:v>
      </x:c>
      <x:c r="M1536" s="10" t="n">
        <x:f>ROUND((L1536-J1536)*H1536/G1536,2)</x:f>
        <x:v>0</x:v>
      </x:c>
      <x:c r="N1536" s="10" t="n">
        <x:f>L1536-J1536-M1536</x:f>
        <x:v>59.95</x:v>
      </x:c>
      <x:c r="O1536" s="10" t="n">
        <x:f>(G1536-H1536)*K1536</x:f>
        <x:v>24</x:v>
      </x:c>
      <x:c r="P1536" s="10" t="n">
        <x:f>N1536-O1536</x:f>
        <x:v>35.95</x:v>
      </x:c>
      <x:c r="Q1536" s="9" t="n">
        <x:f>A1536-WEEKDAY(A1536,2)+1</x:f>
        <x:v>46321</x:v>
      </x:c>
      <x:c r="R1536" s="2" t="str">
        <x:f>IF(AND(A1536&gt;='Review'!$B$4,A1536&lt;='Review'!$D$4),"Selected","Outside")</x:f>
        <x:v>Selected</x:v>
      </x:c>
    </x:row>
    <x:row r="1537" ht="20" customHeight="1">
      <x:c r="A1537" s="9" t="n">
        <x:v>46321</x:v>
      </x:c>
      <x:c r="B1537" s="2" t="str">
        <x:v>MM-2075</x:v>
      </x:c>
      <x:c r="C1537" s="2" t="str">
        <x:v>Email</x:v>
      </x:c>
      <x:c r="D1537" s="2" t="str">
        <x:v>MUG-001</x:v>
      </x:c>
      <x:c r="E1537" s="2" t="str">
        <x:f>_xlfn.IFNA(VLOOKUP(D1537,'Products'!$A$7:$I$22,2,FALSE),"Unmapped")</x:f>
        <x:v>Everyday ceramic mug</x:v>
      </x:c>
      <x:c r="F1537" s="2" t="str">
        <x:f>_xlfn.IFNA(VLOOKUP(D1537,'Products'!$A$7:$I$22,3,FALSE),"Unmapped")</x:f>
        <x:v>Drinkware</x:v>
      </x:c>
      <x:c r="G1537" s="2" t="n">
        <x:v>3</x:v>
      </x:c>
      <x:c r="H1537" s="2" t="n">
        <x:v>0</x:v>
      </x:c>
      <x:c r="I1537" s="10" t="n">
        <x:v>18.95</x:v>
      </x:c>
      <x:c r="J1537" s="10" t="n">
        <x:v>5.68</x:v>
      </x:c>
      <x:c r="K1537" s="10" t="n">
        <x:v>6.5</x:v>
      </x:c>
      <x:c r="L1537" s="10" t="n">
        <x:f>G1537*I1537</x:f>
        <x:v>56.849999999999994</x:v>
      </x:c>
      <x:c r="M1537" s="10" t="n">
        <x:f>ROUND((L1537-J1537)*H1537/G1537,2)</x:f>
        <x:v>0</x:v>
      </x:c>
      <x:c r="N1537" s="10" t="n">
        <x:f>L1537-J1537-M1537</x:f>
        <x:v>51.169999999999995</x:v>
      </x:c>
      <x:c r="O1537" s="10" t="n">
        <x:f>(G1537-H1537)*K1537</x:f>
        <x:v>19.5</x:v>
      </x:c>
      <x:c r="P1537" s="10" t="n">
        <x:f>N1537-O1537</x:f>
        <x:v>31.669999999999995</x:v>
      </x:c>
      <x:c r="Q1537" s="9" t="n">
        <x:f>A1537-WEEKDAY(A1537,2)+1</x:f>
        <x:v>46321</x:v>
      </x:c>
      <x:c r="R1537" s="2" t="str">
        <x:f>IF(AND(A1537&gt;='Review'!$B$4,A1537&lt;='Review'!$D$4),"Selected","Outside")</x:f>
        <x:v>Selected</x:v>
      </x:c>
    </x:row>
    <x:row r="1538" ht="20" customHeight="1">
      <x:c r="A1538" s="9" t="n">
        <x:v>46321</x:v>
      </x:c>
      <x:c r="B1538" s="2" t="str">
        <x:v>MM-2069</x:v>
      </x:c>
      <x:c r="C1538" s="2" t="str">
        <x:v>Direct</x:v>
      </x:c>
      <x:c r="D1538" s="2" t="str">
        <x:v>KEY-001</x:v>
      </x:c>
      <x:c r="E1538" s="2" t="str">
        <x:f>_xlfn.IFNA(VLOOKUP(D1538,'Products'!$A$7:$I$22,2,FALSE),"Unmapped")</x:f>
        <x:v>Maple keyring</x:v>
      </x:c>
      <x:c r="F1538" s="2" t="str">
        <x:f>_xlfn.IFNA(VLOOKUP(D1538,'Products'!$A$7:$I$22,3,FALSE),"Unmapped")</x:f>
        <x:v>Accessories</x:v>
      </x:c>
      <x:c r="G1538" s="2" t="n">
        <x:v>1</x:v>
      </x:c>
      <x:c r="H1538" s="2" t="n">
        <x:v>0</x:v>
      </x:c>
      <x:c r="I1538" s="10" t="n">
        <x:v>12.95</x:v>
      </x:c>
      <x:c r="J1538" s="10" t="n">
        <x:v>0</x:v>
      </x:c>
      <x:c r="K1538" s="10" t="n">
        <x:v>3.5</x:v>
      </x:c>
      <x:c r="L1538" s="10" t="n">
        <x:f>G1538*I1538</x:f>
        <x:v>12.95</x:v>
      </x:c>
      <x:c r="M1538" s="10" t="n">
        <x:f>ROUND((L1538-J1538)*H1538/G1538,2)</x:f>
        <x:v>0</x:v>
      </x:c>
      <x:c r="N1538" s="10" t="n">
        <x:f>L1538-J1538-M1538</x:f>
        <x:v>12.95</x:v>
      </x:c>
      <x:c r="O1538" s="10" t="n">
        <x:f>(G1538-H1538)*K1538</x:f>
        <x:v>3.5</x:v>
      </x:c>
      <x:c r="P1538" s="10" t="n">
        <x:f>N1538-O1538</x:f>
        <x:v>9.45</x:v>
      </x:c>
      <x:c r="Q1538" s="9" t="n">
        <x:f>A1538-WEEKDAY(A1538,2)+1</x:f>
        <x:v>46321</x:v>
      </x:c>
      <x:c r="R1538" s="2" t="str">
        <x:f>IF(AND(A1538&gt;='Review'!$B$4,A1538&lt;='Review'!$D$4),"Selected","Outside")</x:f>
        <x:v>Selected</x:v>
      </x:c>
    </x:row>
    <x:row r="1539" ht="20" customHeight="1">
      <x:c r="A1539" s="9" t="n">
        <x:v>46321</x:v>
      </x:c>
      <x:c r="B1539" s="2" t="str">
        <x:v>MM-2070</x:v>
      </x:c>
      <x:c r="C1539" s="2" t="str">
        <x:v>Paid Social</x:v>
      </x:c>
      <x:c r="D1539" s="2" t="str">
        <x:v>APP-003</x:v>
      </x:c>
      <x:c r="E1539" s="2" t="str">
        <x:f>_xlfn.IFNA(VLOOKUP(D1539,'Products'!$A$7:$I$22,2,FALSE),"Unmapped")</x:f>
        <x:v>Coffee club tee</x:v>
      </x:c>
      <x:c r="F1539" s="2" t="str">
        <x:f>_xlfn.IFNA(VLOOKUP(D1539,'Products'!$A$7:$I$22,3,FALSE),"Unmapped")</x:f>
        <x:v>Apparel</x:v>
      </x:c>
      <x:c r="G1539" s="2" t="n">
        <x:v>1</x:v>
      </x:c>
      <x:c r="H1539" s="2" t="n">
        <x:v>0</x:v>
      </x:c>
      <x:c r="I1539" s="10" t="n">
        <x:v>29.95</x:v>
      </x:c>
      <x:c r="J1539" s="10" t="n">
        <x:v>0</x:v>
      </x:c>
      <x:c r="K1539" s="10" t="n">
        <x:v>10</x:v>
      </x:c>
      <x:c r="L1539" s="10" t="n">
        <x:f>G1539*I1539</x:f>
        <x:v>29.95</x:v>
      </x:c>
      <x:c r="M1539" s="10" t="n">
        <x:f>ROUND((L1539-J1539)*H1539/G1539,2)</x:f>
        <x:v>0</x:v>
      </x:c>
      <x:c r="N1539" s="10" t="n">
        <x:f>L1539-J1539-M1539</x:f>
        <x:v>29.95</x:v>
      </x:c>
      <x:c r="O1539" s="10" t="n">
        <x:f>(G1539-H1539)*K1539</x:f>
        <x:v>10</x:v>
      </x:c>
      <x:c r="P1539" s="10" t="n">
        <x:f>N1539-O1539</x:f>
        <x:v>19.95</x:v>
      </x:c>
      <x:c r="Q1539" s="9" t="n">
        <x:f>A1539-WEEKDAY(A1539,2)+1</x:f>
        <x:v>46321</x:v>
      </x:c>
      <x:c r="R1539" s="2" t="str">
        <x:f>IF(AND(A1539&gt;='Review'!$B$4,A1539&lt;='Review'!$D$4),"Selected","Outside")</x:f>
        <x:v>Selected</x:v>
      </x:c>
    </x:row>
    <x:row r="1540" ht="20" customHeight="1">
      <x:c r="A1540" s="9" t="n">
        <x:v>46321</x:v>
      </x:c>
      <x:c r="B1540" s="2" t="str">
        <x:v>MM-2070</x:v>
      </x:c>
      <x:c r="C1540" s="2" t="str">
        <x:v>Paid Social</x:v>
      </x:c>
      <x:c r="D1540" s="2" t="str">
        <x:v>KEY-001</x:v>
      </x:c>
      <x:c r="E1540" s="2" t="str">
        <x:f>_xlfn.IFNA(VLOOKUP(D1540,'Products'!$A$7:$I$22,2,FALSE),"Unmapped")</x:f>
        <x:v>Maple keyring</x:v>
      </x:c>
      <x:c r="F1540" s="2" t="str">
        <x:f>_xlfn.IFNA(VLOOKUP(D1540,'Products'!$A$7:$I$22,3,FALSE),"Unmapped")</x:f>
        <x:v>Accessories</x:v>
      </x:c>
      <x:c r="G1540" s="2" t="n">
        <x:v>3</x:v>
      </x:c>
      <x:c r="H1540" s="2" t="n">
        <x:v>0</x:v>
      </x:c>
      <x:c r="I1540" s="10" t="n">
        <x:v>12.95</x:v>
      </x:c>
      <x:c r="J1540" s="10" t="n">
        <x:v>0</x:v>
      </x:c>
      <x:c r="K1540" s="10" t="n">
        <x:v>3.5</x:v>
      </x:c>
      <x:c r="L1540" s="10" t="n">
        <x:f>G1540*I1540</x:f>
        <x:v>38.849999999999994</x:v>
      </x:c>
      <x:c r="M1540" s="10" t="n">
        <x:f>ROUND((L1540-J1540)*H1540/G1540,2)</x:f>
        <x:v>0</x:v>
      </x:c>
      <x:c r="N1540" s="10" t="n">
        <x:f>L1540-J1540-M1540</x:f>
        <x:v>38.849999999999994</x:v>
      </x:c>
      <x:c r="O1540" s="10" t="n">
        <x:f>(G1540-H1540)*K1540</x:f>
        <x:v>10.5</x:v>
      </x:c>
      <x:c r="P1540" s="10" t="n">
        <x:f>N1540-O1540</x:f>
        <x:v>28.349999999999994</x:v>
      </x:c>
      <x:c r="Q1540" s="9" t="n">
        <x:f>A1540-WEEKDAY(A1540,2)+1</x:f>
        <x:v>46321</x:v>
      </x:c>
      <x:c r="R1540" s="2" t="str">
        <x:f>IF(AND(A1540&gt;='Review'!$B$4,A1540&lt;='Review'!$D$4),"Selected","Outside")</x:f>
        <x:v>Selected</x:v>
      </x:c>
    </x:row>
    <x:row r="1541" ht="20" customHeight="1">
      <x:c r="A1541" s="9" t="n">
        <x:v>46321</x:v>
      </x:c>
      <x:c r="B1541" s="2" t="str">
        <x:v>MM-2079</x:v>
      </x:c>
      <x:c r="C1541" s="2" t="str">
        <x:v>Email</x:v>
      </x:c>
      <x:c r="D1541" s="2" t="str">
        <x:v>TUM-002</x:v>
      </x:c>
      <x:c r="E1541" s="2" t="str">
        <x:f>_xlfn.IFNA(VLOOKUP(D1541,'Products'!$A$7:$I$22,2,FALSE),"Unmapped")</x:f>
        <x:v>Cold brew glass cup</x:v>
      </x:c>
      <x:c r="F1541" s="2" t="str">
        <x:f>_xlfn.IFNA(VLOOKUP(D1541,'Products'!$A$7:$I$22,3,FALSE),"Unmapped")</x:f>
        <x:v>Drinkware</x:v>
      </x:c>
      <x:c r="G1541" s="2" t="n">
        <x:v>2</x:v>
      </x:c>
      <x:c r="H1541" s="2" t="n">
        <x:v>0</x:v>
      </x:c>
      <x:c r="I1541" s="10" t="n">
        <x:v>24.95</x:v>
      </x:c>
      <x:c r="J1541" s="10" t="n">
        <x:v>4.99</x:v>
      </x:c>
      <x:c r="K1541" s="10" t="n">
        <x:v>9</x:v>
      </x:c>
      <x:c r="L1541" s="10" t="n">
        <x:f>G1541*I1541</x:f>
        <x:v>49.9</x:v>
      </x:c>
      <x:c r="M1541" s="10" t="n">
        <x:f>ROUND((L1541-J1541)*H1541/G1541,2)</x:f>
        <x:v>0</x:v>
      </x:c>
      <x:c r="N1541" s="10" t="n">
        <x:f>L1541-J1541-M1541</x:f>
        <x:v>44.91</x:v>
      </x:c>
      <x:c r="O1541" s="10" t="n">
        <x:f>(G1541-H1541)*K1541</x:f>
        <x:v>18</x:v>
      </x:c>
      <x:c r="P1541" s="10" t="n">
        <x:f>N1541-O1541</x:f>
        <x:v>26.909999999999997</x:v>
      </x:c>
      <x:c r="Q1541" s="9" t="n">
        <x:f>A1541-WEEKDAY(A1541,2)+1</x:f>
        <x:v>46321</x:v>
      </x:c>
      <x:c r="R1541" s="2" t="str">
        <x:f>IF(AND(A1541&gt;='Review'!$B$4,A1541&lt;='Review'!$D$4),"Selected","Outside")</x:f>
        <x:v>Selected</x:v>
      </x:c>
    </x:row>
    <x:row r="1542" ht="20" customHeight="1">
      <x:c r="A1542" s="9" t="n">
        <x:v>46321</x:v>
      </x:c>
      <x:c r="B1542" s="2" t="str">
        <x:v>MM-2079</x:v>
      </x:c>
      <x:c r="C1542" s="2" t="str">
        <x:v>Email</x:v>
      </x:c>
      <x:c r="D1542" s="2" t="str">
        <x:v>TUM-001</x:v>
      </x:c>
      <x:c r="E1542" s="2" t="str">
        <x:f>_xlfn.IFNA(VLOOKUP(D1542,'Products'!$A$7:$I$22,2,FALSE),"Unmapped")</x:f>
        <x:v>Maple travel tumbler</x:v>
      </x:c>
      <x:c r="F1542" s="2" t="str">
        <x:f>_xlfn.IFNA(VLOOKUP(D1542,'Products'!$A$7:$I$22,3,FALSE),"Unmapped")</x:f>
        <x:v>Drinkware</x:v>
      </x:c>
      <x:c r="G1542" s="2" t="n">
        <x:v>1</x:v>
      </x:c>
      <x:c r="H1542" s="2" t="n">
        <x:v>0</x:v>
      </x:c>
      <x:c r="I1542" s="10" t="n">
        <x:v>32.95</x:v>
      </x:c>
      <x:c r="J1542" s="10" t="n">
        <x:v>3.29</x:v>
      </x:c>
      <x:c r="K1542" s="10" t="n">
        <x:v>12</x:v>
      </x:c>
      <x:c r="L1542" s="10" t="n">
        <x:f>G1542*I1542</x:f>
        <x:v>32.95</x:v>
      </x:c>
      <x:c r="M1542" s="10" t="n">
        <x:f>ROUND((L1542-J1542)*H1542/G1542,2)</x:f>
        <x:v>0</x:v>
      </x:c>
      <x:c r="N1542" s="10" t="n">
        <x:f>L1542-J1542-M1542</x:f>
        <x:v>29.660000000000004</x:v>
      </x:c>
      <x:c r="O1542" s="10" t="n">
        <x:f>(G1542-H1542)*K1542</x:f>
        <x:v>12</x:v>
      </x:c>
      <x:c r="P1542" s="10" t="n">
        <x:f>N1542-O1542</x:f>
        <x:v>17.660000000000004</x:v>
      </x:c>
      <x:c r="Q1542" s="9" t="n">
        <x:f>A1542-WEEKDAY(A1542,2)+1</x:f>
        <x:v>46321</x:v>
      </x:c>
      <x:c r="R1542" s="2" t="str">
        <x:f>IF(AND(A1542&gt;='Review'!$B$4,A1542&lt;='Review'!$D$4),"Selected","Outside")</x:f>
        <x:v>Selected</x:v>
      </x:c>
    </x:row>
    <x:row r="1543" ht="20" customHeight="1">
      <x:c r="A1543" s="9" t="n">
        <x:v>46321</x:v>
      </x:c>
      <x:c r="B1543" s="2" t="str">
        <x:v>MM-2086</x:v>
      </x:c>
      <x:c r="C1543" s="2" t="str">
        <x:v>Email</x:v>
      </x:c>
      <x:c r="D1543" s="2" t="str">
        <x:v>APP-001</x:v>
      </x:c>
      <x:c r="E1543" s="2" t="str">
        <x:f>_xlfn.IFNA(VLOOKUP(D1543,'Products'!$A$7:$I$22,2,FALSE),"Unmapped")</x:f>
        <x:v>Everyday crewneck</x:v>
      </x:c>
      <x:c r="F1543" s="2" t="str">
        <x:f>_xlfn.IFNA(VLOOKUP(D1543,'Products'!$A$7:$I$22,3,FALSE),"Unmapped")</x:f>
        <x:v>Apparel</x:v>
      </x:c>
      <x:c r="G1543" s="2" t="n">
        <x:v>1</x:v>
      </x:c>
      <x:c r="H1543" s="2" t="n">
        <x:v>0</x:v>
      </x:c>
      <x:c r="I1543" s="10" t="n">
        <x:v>54.95</x:v>
      </x:c>
      <x:c r="J1543" s="10" t="n">
        <x:v>5.49</x:v>
      </x:c>
      <x:c r="K1543" s="10" t="n">
        <x:v>22</x:v>
      </x:c>
      <x:c r="L1543" s="10" t="n">
        <x:f>G1543*I1543</x:f>
        <x:v>54.95</x:v>
      </x:c>
      <x:c r="M1543" s="10" t="n">
        <x:f>ROUND((L1543-J1543)*H1543/G1543,2)</x:f>
        <x:v>0</x:v>
      </x:c>
      <x:c r="N1543" s="10" t="n">
        <x:f>L1543-J1543-M1543</x:f>
        <x:v>49.46</x:v>
      </x:c>
      <x:c r="O1543" s="10" t="n">
        <x:f>(G1543-H1543)*K1543</x:f>
        <x:v>22</x:v>
      </x:c>
      <x:c r="P1543" s="10" t="n">
        <x:f>N1543-O1543</x:f>
        <x:v>27.46</x:v>
      </x:c>
      <x:c r="Q1543" s="9" t="n">
        <x:f>A1543-WEEKDAY(A1543,2)+1</x:f>
        <x:v>46321</x:v>
      </x:c>
      <x:c r="R1543" s="2" t="str">
        <x:f>IF(AND(A1543&gt;='Review'!$B$4,A1543&lt;='Review'!$D$4),"Selected","Outside")</x:f>
        <x:v>Selected</x:v>
      </x:c>
    </x:row>
    <x:row r="1544" ht="20" customHeight="1">
      <x:c r="A1544" s="9" t="n">
        <x:v>46321</x:v>
      </x:c>
      <x:c r="B1544" s="2" t="str">
        <x:v>MM-2073</x:v>
      </x:c>
      <x:c r="C1544" s="2" t="str">
        <x:v>Direct</x:v>
      </x:c>
      <x:c r="D1544" s="2" t="str">
        <x:v>TUM-002</x:v>
      </x:c>
      <x:c r="E1544" s="2" t="str">
        <x:f>_xlfn.IFNA(VLOOKUP(D1544,'Products'!$A$7:$I$22,2,FALSE),"Unmapped")</x:f>
        <x:v>Cold brew glass cup</x:v>
      </x:c>
      <x:c r="F1544" s="2" t="str">
        <x:f>_xlfn.IFNA(VLOOKUP(D1544,'Products'!$A$7:$I$22,3,FALSE),"Unmapped")</x:f>
        <x:v>Drinkware</x:v>
      </x:c>
      <x:c r="G1544" s="2" t="n">
        <x:v>3</x:v>
      </x:c>
      <x:c r="H1544" s="2" t="n">
        <x:v>0</x:v>
      </x:c>
      <x:c r="I1544" s="10" t="n">
        <x:v>24.95</x:v>
      </x:c>
      <x:c r="J1544" s="10" t="n">
        <x:v>0</x:v>
      </x:c>
      <x:c r="K1544" s="10" t="n">
        <x:v>9</x:v>
      </x:c>
      <x:c r="L1544" s="10" t="n">
        <x:f>G1544*I1544</x:f>
        <x:v>74.85</x:v>
      </x:c>
      <x:c r="M1544" s="10" t="n">
        <x:f>ROUND((L1544-J1544)*H1544/G1544,2)</x:f>
        <x:v>0</x:v>
      </x:c>
      <x:c r="N1544" s="10" t="n">
        <x:f>L1544-J1544-M1544</x:f>
        <x:v>74.85</x:v>
      </x:c>
      <x:c r="O1544" s="10" t="n">
        <x:f>(G1544-H1544)*K1544</x:f>
        <x:v>27</x:v>
      </x:c>
      <x:c r="P1544" s="10" t="n">
        <x:f>N1544-O1544</x:f>
        <x:v>47.849999999999994</x:v>
      </x:c>
      <x:c r="Q1544" s="9" t="n">
        <x:f>A1544-WEEKDAY(A1544,2)+1</x:f>
        <x:v>46321</x:v>
      </x:c>
      <x:c r="R1544" s="2" t="str">
        <x:f>IF(AND(A1544&gt;='Review'!$B$4,A1544&lt;='Review'!$D$4),"Selected","Outside")</x:f>
        <x:v>Selected</x:v>
      </x:c>
    </x:row>
    <x:row r="1545" ht="20" customHeight="1">
      <x:c r="A1545" s="9" t="n">
        <x:v>46321</x:v>
      </x:c>
      <x:c r="B1545" s="2" t="str">
        <x:v>MM-2074</x:v>
      </x:c>
      <x:c r="C1545" s="2" t="str">
        <x:v>Direct</x:v>
      </x:c>
      <x:c r="D1545" s="2" t="str">
        <x:v>HAT-001</x:v>
      </x:c>
      <x:c r="E1545" s="2" t="str">
        <x:f>_xlfn.IFNA(VLOOKUP(D1545,'Products'!$A$7:$I$22,2,FALSE),"Unmapped")</x:f>
        <x:v>Classic canvas cap</x:v>
      </x:c>
      <x:c r="F1545" s="2" t="str">
        <x:f>_xlfn.IFNA(VLOOKUP(D1545,'Products'!$A$7:$I$22,3,FALSE),"Unmapped")</x:f>
        <x:v>Accessories</x:v>
      </x:c>
      <x:c r="G1545" s="2" t="n">
        <x:v>1</x:v>
      </x:c>
      <x:c r="H1545" s="2" t="n">
        <x:v>0</x:v>
      </x:c>
      <x:c r="I1545" s="10" t="n">
        <x:v>24.95</x:v>
      </x:c>
      <x:c r="J1545" s="10" t="n">
        <x:v>0</x:v>
      </x:c>
      <x:c r="K1545" s="10" t="n">
        <x:v>8.5</x:v>
      </x:c>
      <x:c r="L1545" s="10" t="n">
        <x:f>G1545*I1545</x:f>
        <x:v>24.95</x:v>
      </x:c>
      <x:c r="M1545" s="10" t="n">
        <x:f>ROUND((L1545-J1545)*H1545/G1545,2)</x:f>
        <x:v>0</x:v>
      </x:c>
      <x:c r="N1545" s="10" t="n">
        <x:f>L1545-J1545-M1545</x:f>
        <x:v>24.95</x:v>
      </x:c>
      <x:c r="O1545" s="10" t="n">
        <x:f>(G1545-H1545)*K1545</x:f>
        <x:v>8.5</x:v>
      </x:c>
      <x:c r="P1545" s="10" t="n">
        <x:f>N1545-O1545</x:f>
        <x:v>16.45</x:v>
      </x:c>
      <x:c r="Q1545" s="9" t="n">
        <x:f>A1545-WEEKDAY(A1545,2)+1</x:f>
        <x:v>46321</x:v>
      </x:c>
      <x:c r="R1545" s="2" t="str">
        <x:f>IF(AND(A1545&gt;='Review'!$B$4,A1545&lt;='Review'!$D$4),"Selected","Outside")</x:f>
        <x:v>Selected</x:v>
      </x:c>
    </x:row>
  </x:sheetData>
  <x:pageMargins left="0.7" right="0.7" top="0.75" bottom="0.75" header="0.3" footer="0.3"/>
  <x:tableParts count="1">
    <x:tablePart xmlns:r="http://schemas.openxmlformats.org/officeDocument/2006/relationships" r:id="R494c94f6399540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0" customHeight="1">
      <x:c r="A2" s="3" t="str">
        <x:v>Order source and control totals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4" t="str">
        <x:v>One row per paid order from the SQL export. Financial totals are independent controls for the Excel line calculations.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8" t="str">
        <x:v>Date</x:v>
      </x:c>
      <x:c r="B6" s="8" t="str">
        <x:v>Order ID</x:v>
      </x:c>
      <x:c r="C6" s="8" t="str">
        <x:v>Channel</x:v>
      </x:c>
      <x:c r="D6" s="8" t="str">
        <x:v>Customer ID</x:v>
      </x:c>
      <x:c r="E6" s="8" t="str">
        <x:v>Gross sales</x:v>
      </x:c>
      <x:c r="F6" s="8" t="str">
        <x:v>Discounts</x:v>
      </x:c>
      <x:c r="G6" s="8" t="str">
        <x:v>Refunds</x:v>
      </x:c>
      <x:c r="H6" s="8" t="str">
        <x:v>Net sales</x:v>
      </x:c>
      <x:c r="I6" s="8" t="str">
        <x:v>COGS</x:v>
      </x:c>
      <x:c r="J6" s="8" t="str">
        <x:v>Gross profit</x:v>
      </x:c>
      <x:c r="K6" s="8" t="str">
        <x:v>Units</x:v>
      </x:c>
      <x:c r="L6" s="8" t="str">
        <x:v>Returned</x:v>
      </x:c>
    </x:row>
    <x:row r="7" ht="20" customHeight="1">
      <x:c r="A7" s="9" t="n">
        <x:v>46262</x:v>
      </x:c>
      <x:c r="B7" s="2" t="str">
        <x:v>MM-1005</x:v>
      </x:c>
      <x:c r="C7" s="2" t="str">
        <x:v>Paid Social</x:v>
      </x:c>
      <x:c r="D7" s="2" t="str">
        <x:v>CUS-033</x:v>
      </x:c>
      <x:c r="E7" s="10" t="n">
        <x:v>103.8</x:v>
      </x:c>
      <x:c r="F7" s="10" t="n">
        <x:v>0</x:v>
      </x:c>
      <x:c r="G7" s="10" t="n">
        <x:v>0</x:v>
      </x:c>
      <x:c r="H7" s="10" t="n">
        <x:v>103.8</x:v>
      </x:c>
      <x:c r="I7" s="10" t="n">
        <x:v>35</x:v>
      </x:c>
      <x:c r="J7" s="10" t="n">
        <x:v>68.8</x:v>
      </x:c>
      <x:c r="K7" s="2" t="n">
        <x:v>4</x:v>
      </x:c>
      <x:c r="L7" s="2" t="n">
        <x:v>0</x:v>
      </x:c>
    </x:row>
    <x:row r="8" ht="20" customHeight="1">
      <x:c r="A8" s="9" t="n">
        <x:v>46262</x:v>
      </x:c>
      <x:c r="B8" s="2" t="str">
        <x:v>MM-1002</x:v>
      </x:c>
      <x:c r="C8" s="2" t="str">
        <x:v>Organic Search</x:v>
      </x:c>
      <x:c r="D8" s="2" t="str">
        <x:v>CUS-130</x:v>
      </x:c>
      <x:c r="E8" s="10" t="n">
        <x:v>37.9</x:v>
      </x:c>
      <x:c r="F8" s="10" t="n">
        <x:v>0</x:v>
      </x:c>
      <x:c r="G8" s="10" t="n">
        <x:v>0</x:v>
      </x:c>
      <x:c r="H8" s="10" t="n">
        <x:v>37.9</x:v>
      </x:c>
      <x:c r="I8" s="10" t="n">
        <x:v>13</x:v>
      </x:c>
      <x:c r="J8" s="10" t="n">
        <x:v>24.9</x:v>
      </x:c>
      <x:c r="K8" s="2" t="n">
        <x:v>2</x:v>
      </x:c>
      <x:c r="L8" s="2" t="n">
        <x:v>0</x:v>
      </x:c>
    </x:row>
    <x:row r="9" ht="20" customHeight="1">
      <x:c r="A9" s="9" t="n">
        <x:v>46262</x:v>
      </x:c>
      <x:c r="B9" s="2" t="str">
        <x:v>MM-1009</x:v>
      </x:c>
      <x:c r="C9" s="2" t="str">
        <x:v>Direct</x:v>
      </x:c>
      <x:c r="D9" s="2" t="str">
        <x:v>CUS-072</x:v>
      </x:c>
      <x:c r="E9" s="10" t="n">
        <x:v>34.95</x:v>
      </x:c>
      <x:c r="F9" s="10" t="n">
        <x:v>0</x:v>
      </x:c>
      <x:c r="G9" s="10" t="n">
        <x:v>0</x:v>
      </x:c>
      <x:c r="H9" s="10" t="n">
        <x:v>34.95</x:v>
      </x:c>
      <x:c r="I9" s="10" t="n">
        <x:v>13.5</x:v>
      </x:c>
      <x:c r="J9" s="10" t="n">
        <x:v>21.45</x:v>
      </x:c>
      <x:c r="K9" s="2" t="n">
        <x:v>1</x:v>
      </x:c>
      <x:c r="L9" s="2" t="n">
        <x:v>0</x:v>
      </x:c>
    </x:row>
    <x:row r="10" ht="20" customHeight="1">
      <x:c r="A10" s="9" t="n">
        <x:v>46262</x:v>
      </x:c>
      <x:c r="B10" s="2" t="str">
        <x:v>MM-1010</x:v>
      </x:c>
      <x:c r="C10" s="2" t="str">
        <x:v>Paid Social</x:v>
      </x:c>
      <x:c r="D10" s="2" t="str">
        <x:v>CUS-021</x:v>
      </x:c>
      <x:c r="E10" s="10" t="n">
        <x:v>19.95</x:v>
      </x:c>
      <x:c r="F10" s="10" t="n">
        <x:v>0</x:v>
      </x:c>
      <x:c r="G10" s="10" t="n">
        <x:v>0</x:v>
      </x:c>
      <x:c r="H10" s="10" t="n">
        <x:v>19.95</x:v>
      </x:c>
      <x:c r="I10" s="10" t="n">
        <x:v>6</x:v>
      </x:c>
      <x:c r="J10" s="10" t="n">
        <x:v>13.95</x:v>
      </x:c>
      <x:c r="K10" s="2" t="n">
        <x:v>1</x:v>
      </x:c>
      <x:c r="L10" s="2" t="n">
        <x:v>0</x:v>
      </x:c>
    </x:row>
    <x:row r="11" ht="20" customHeight="1">
      <x:c r="A11" s="9" t="n">
        <x:v>46262</x:v>
      </x:c>
      <x:c r="B11" s="2" t="str">
        <x:v>MM-1016</x:v>
      </x:c>
      <x:c r="C11" s="2" t="str">
        <x:v>Organic Search</x:v>
      </x:c>
      <x:c r="D11" s="2" t="str">
        <x:v>CUS-062</x:v>
      </x:c>
      <x:c r="E11" s="10" t="n">
        <x:v>108.8</x:v>
      </x:c>
      <x:c r="F11" s="10" t="n">
        <x:v>0</x:v>
      </x:c>
      <x:c r="G11" s="10" t="n">
        <x:v>0</x:v>
      </x:c>
      <x:c r="H11" s="10" t="n">
        <x:v>108.8</x:v>
      </x:c>
      <x:c r="I11" s="10" t="n">
        <x:v>36.5</x:v>
      </x:c>
      <x:c r="J11" s="10" t="n">
        <x:v>72.3</x:v>
      </x:c>
      <x:c r="K11" s="2" t="n">
        <x:v>4</x:v>
      </x:c>
      <x:c r="L11" s="2" t="n">
        <x:v>0</x:v>
      </x:c>
    </x:row>
    <x:row r="12" ht="20" customHeight="1">
      <x:c r="A12" s="9" t="n">
        <x:v>46262</x:v>
      </x:c>
      <x:c r="B12" s="2" t="str">
        <x:v>MM-1008</x:v>
      </x:c>
      <x:c r="C12" s="2" t="str">
        <x:v>Paid Social</x:v>
      </x:c>
      <x:c r="D12" s="2" t="str">
        <x:v>CUS-037</x:v>
      </x:c>
      <x:c r="E12" s="10" t="n">
        <x:v>101.8</x:v>
      </x:c>
      <x:c r="F12" s="10" t="n">
        <x:v>0</x:v>
      </x:c>
      <x:c r="G12" s="10" t="n">
        <x:v>0</x:v>
      </x:c>
      <x:c r="H12" s="10" t="n">
        <x:v>101.8</x:v>
      </x:c>
      <x:c r="I12" s="10" t="n">
        <x:v>35</x:v>
      </x:c>
      <x:c r="J12" s="10" t="n">
        <x:v>66.8</x:v>
      </x:c>
      <x:c r="K12" s="2" t="n">
        <x:v>4</x:v>
      </x:c>
      <x:c r="L12" s="2" t="n">
        <x:v>0</x:v>
      </x:c>
    </x:row>
    <x:row r="13" ht="20" customHeight="1">
      <x:c r="A13" s="9" t="n">
        <x:v>46262</x:v>
      </x:c>
      <x:c r="B13" s="2" t="str">
        <x:v>MM-1007</x:v>
      </x:c>
      <x:c r="C13" s="2" t="str">
        <x:v>Organic Search</x:v>
      </x:c>
      <x:c r="D13" s="2" t="str">
        <x:v>CUS-113</x:v>
      </x:c>
      <x:c r="E13" s="10" t="n">
        <x:v>103.75</x:v>
      </x:c>
      <x:c r="F13" s="10" t="n">
        <x:v>0</x:v>
      </x:c>
      <x:c r="G13" s="10" t="n">
        <x:v>0</x:v>
      </x:c>
      <x:c r="H13" s="10" t="n">
        <x:v>103.75</x:v>
      </x:c>
      <x:c r="I13" s="10" t="n">
        <x:v>34</x:v>
      </x:c>
      <x:c r="J13" s="10" t="n">
        <x:v>69.75</x:v>
      </x:c>
      <x:c r="K13" s="2" t="n">
        <x:v>5</x:v>
      </x:c>
      <x:c r="L13" s="2" t="n">
        <x:v>0</x:v>
      </x:c>
    </x:row>
    <x:row r="14" ht="20" customHeight="1">
      <x:c r="A14" s="9" t="n">
        <x:v>46262</x:v>
      </x:c>
      <x:c r="B14" s="2" t="str">
        <x:v>MM-1014</x:v>
      </x:c>
      <x:c r="C14" s="2" t="str">
        <x:v>Direct</x:v>
      </x:c>
      <x:c r="D14" s="2" t="str">
        <x:v>CUS-174</x:v>
      </x:c>
      <x:c r="E14" s="10" t="n">
        <x:v>19.95</x:v>
      </x:c>
      <x:c r="F14" s="10" t="n">
        <x:v>0</x:v>
      </x:c>
      <x:c r="G14" s="10" t="n">
        <x:v>0</x:v>
      </x:c>
      <x:c r="H14" s="10" t="n">
        <x:v>19.95</x:v>
      </x:c>
      <x:c r="I14" s="10" t="n">
        <x:v>6</x:v>
      </x:c>
      <x:c r="J14" s="10" t="n">
        <x:v>13.95</x:v>
      </x:c>
      <x:c r="K14" s="2" t="n">
        <x:v>1</x:v>
      </x:c>
      <x:c r="L14" s="2" t="n">
        <x:v>0</x:v>
      </x:c>
    </x:row>
    <x:row r="15" ht="20" customHeight="1">
      <x:c r="A15" s="9" t="n">
        <x:v>46262</x:v>
      </x:c>
      <x:c r="B15" s="2" t="str">
        <x:v>MM-1011</x:v>
      </x:c>
      <x:c r="C15" s="2" t="str">
        <x:v>Email</x:v>
      </x:c>
      <x:c r="D15" s="2" t="str">
        <x:v>CUS-180</x:v>
      </x:c>
      <x:c r="E15" s="10" t="n">
        <x:v>79.95</x:v>
      </x:c>
      <x:c r="F15" s="10" t="n">
        <x:v>7.99</x:v>
      </x:c>
      <x:c r="G15" s="10" t="n">
        <x:v>0</x:v>
      </x:c>
      <x:c r="H15" s="10" t="n">
        <x:v>71.96</x:v>
      </x:c>
      <x:c r="I15" s="10" t="n">
        <x:v>32</x:v>
      </x:c>
      <x:c r="J15" s="10" t="n">
        <x:v>39.96</x:v>
      </x:c>
      <x:c r="K15" s="2" t="n">
        <x:v>1</x:v>
      </x:c>
      <x:c r="L15" s="2" t="n">
        <x:v>0</x:v>
      </x:c>
    </x:row>
    <x:row r="16" ht="20" customHeight="1">
      <x:c r="A16" s="9" t="n">
        <x:v>46262</x:v>
      </x:c>
      <x:c r="B16" s="2" t="str">
        <x:v>MM-1012</x:v>
      </x:c>
      <x:c r="C16" s="2" t="str">
        <x:v>Direct</x:v>
      </x:c>
      <x:c r="D16" s="2" t="str">
        <x:v>CUS-169</x:v>
      </x:c>
      <x:c r="E16" s="10" t="n">
        <x:v>52.9</x:v>
      </x:c>
      <x:c r="F16" s="10" t="n">
        <x:v>1.99</x:v>
      </x:c>
      <x:c r="G16" s="10" t="n">
        <x:v>0</x:v>
      </x:c>
      <x:c r="H16" s="10" t="n">
        <x:v>50.91</x:v>
      </x:c>
      <x:c r="I16" s="10" t="n">
        <x:v>18</x:v>
      </x:c>
      <x:c r="J16" s="10" t="n">
        <x:v>32.91</x:v>
      </x:c>
      <x:c r="K16" s="2" t="n">
        <x:v>2</x:v>
      </x:c>
      <x:c r="L16" s="2" t="n">
        <x:v>0</x:v>
      </x:c>
    </x:row>
    <x:row r="17" ht="20" customHeight="1">
      <x:c r="A17" s="9" t="n">
        <x:v>46262</x:v>
      </x:c>
      <x:c r="B17" s="2" t="str">
        <x:v>MM-1015</x:v>
      </x:c>
      <x:c r="C17" s="2" t="str">
        <x:v>Organic Search</x:v>
      </x:c>
      <x:c r="D17" s="2" t="str">
        <x:v>CUS-119</x:v>
      </x:c>
      <x:c r="E17" s="10" t="n">
        <x:v>18.95</x:v>
      </x:c>
      <x:c r="F17" s="10" t="n">
        <x:v>0</x:v>
      </x:c>
      <x:c r="G17" s="10" t="n">
        <x:v>0</x:v>
      </x:c>
      <x:c r="H17" s="10" t="n">
        <x:v>18.95</x:v>
      </x:c>
      <x:c r="I17" s="10" t="n">
        <x:v>6.5</x:v>
      </x:c>
      <x:c r="J17" s="10" t="n">
        <x:v>12.45</x:v>
      </x:c>
      <x:c r="K17" s="2" t="n">
        <x:v>1</x:v>
      </x:c>
      <x:c r="L17" s="2" t="n">
        <x:v>0</x:v>
      </x:c>
    </x:row>
    <x:row r="18" ht="20" customHeight="1">
      <x:c r="A18" s="9" t="n">
        <x:v>46262</x:v>
      </x:c>
      <x:c r="B18" s="2" t="str">
        <x:v>MM-1018</x:v>
      </x:c>
      <x:c r="C18" s="2" t="str">
        <x:v>Paid Social</x:v>
      </x:c>
      <x:c r="D18" s="2" t="str">
        <x:v>CUS-152</x:v>
      </x:c>
      <x:c r="E18" s="10" t="n">
        <x:v>9.95</x:v>
      </x:c>
      <x:c r="F18" s="10" t="n">
        <x:v>0</x:v>
      </x:c>
      <x:c r="G18" s="10" t="n">
        <x:v>0</x:v>
      </x:c>
      <x:c r="H18" s="10" t="n">
        <x:v>9.95</x:v>
      </x:c>
      <x:c r="I18" s="10" t="n">
        <x:v>2.5</x:v>
      </x:c>
      <x:c r="J18" s="10" t="n">
        <x:v>7.45</x:v>
      </x:c>
      <x:c r="K18" s="2" t="n">
        <x:v>1</x:v>
      </x:c>
      <x:c r="L18" s="2" t="n">
        <x:v>0</x:v>
      </x:c>
    </x:row>
    <x:row r="19" ht="20" customHeight="1">
      <x:c r="A19" s="9" t="n">
        <x:v>46262</x:v>
      </x:c>
      <x:c r="B19" s="2" t="str">
        <x:v>MM-1006</x:v>
      </x:c>
      <x:c r="C19" s="2" t="str">
        <x:v>Email</x:v>
      </x:c>
      <x:c r="D19" s="2" t="str">
        <x:v>CUS-086</x:v>
      </x:c>
      <x:c r="E19" s="10" t="n">
        <x:v>74.85</x:v>
      </x:c>
      <x:c r="F19" s="10" t="n">
        <x:v>7.48</x:v>
      </x:c>
      <x:c r="G19" s="10" t="n">
        <x:v>0</x:v>
      </x:c>
      <x:c r="H19" s="10" t="n">
        <x:v>67.37</x:v>
      </x:c>
      <x:c r="I19" s="10" t="n">
        <x:v>27</x:v>
      </x:c>
      <x:c r="J19" s="10" t="n">
        <x:v>40.37</x:v>
      </x:c>
      <x:c r="K19" s="2" t="n">
        <x:v>3</x:v>
      </x:c>
      <x:c r="L19" s="2" t="n">
        <x:v>0</x:v>
      </x:c>
    </x:row>
    <x:row r="20" ht="20" customHeight="1">
      <x:c r="A20" s="9" t="n">
        <x:v>46262</x:v>
      </x:c>
      <x:c r="B20" s="2" t="str">
        <x:v>MM-1001</x:v>
      </x:c>
      <x:c r="C20" s="2" t="str">
        <x:v>Email</x:v>
      </x:c>
      <x:c r="D20" s="2" t="str">
        <x:v>CUS-114</x:v>
      </x:c>
      <x:c r="E20" s="10" t="n">
        <x:v>32.95</x:v>
      </x:c>
      <x:c r="F20" s="10" t="n">
        <x:v>3.29</x:v>
      </x:c>
      <x:c r="G20" s="10" t="n">
        <x:v>0</x:v>
      </x:c>
      <x:c r="H20" s="10" t="n">
        <x:v>29.66</x:v>
      </x:c>
      <x:c r="I20" s="10" t="n">
        <x:v>12</x:v>
      </x:c>
      <x:c r="J20" s="10" t="n">
        <x:v>17.66</x:v>
      </x:c>
      <x:c r="K20" s="2" t="n">
        <x:v>1</x:v>
      </x:c>
      <x:c r="L20" s="2" t="n">
        <x:v>0</x:v>
      </x:c>
    </x:row>
    <x:row r="21" ht="20" customHeight="1">
      <x:c r="A21" s="9" t="n">
        <x:v>46262</x:v>
      </x:c>
      <x:c r="B21" s="2" t="str">
        <x:v>MM-1003</x:v>
      </x:c>
      <x:c r="C21" s="2" t="str">
        <x:v>Paid Social</x:v>
      </x:c>
      <x:c r="D21" s="2" t="str">
        <x:v>CUS-114</x:v>
      </x:c>
      <x:c r="E21" s="10" t="n">
        <x:v>69.95</x:v>
      </x:c>
      <x:c r="F21" s="10" t="n">
        <x:v>0</x:v>
      </x:c>
      <x:c r="G21" s="10" t="n">
        <x:v>0</x:v>
      </x:c>
      <x:c r="H21" s="10" t="n">
        <x:v>69.95</x:v>
      </x:c>
      <x:c r="I21" s="10" t="n">
        <x:v>28</x:v>
      </x:c>
      <x:c r="J21" s="10" t="n">
        <x:v>41.95</x:v>
      </x:c>
      <x:c r="K21" s="2" t="n">
        <x:v>1</x:v>
      </x:c>
      <x:c r="L21" s="2" t="n">
        <x:v>0</x:v>
      </x:c>
    </x:row>
    <x:row r="22" ht="20" customHeight="1">
      <x:c r="A22" s="9" t="n">
        <x:v>46262</x:v>
      </x:c>
      <x:c r="B22" s="2" t="str">
        <x:v>MM-1013</x:v>
      </x:c>
      <x:c r="C22" s="2" t="str">
        <x:v>Paid Social</x:v>
      </x:c>
      <x:c r="D22" s="2" t="str">
        <x:v>CUS-018</x:v>
      </x:c>
      <x:c r="E22" s="10" t="n">
        <x:v>54.95</x:v>
      </x:c>
      <x:c r="F22" s="10" t="n">
        <x:v>0</x:v>
      </x:c>
      <x:c r="G22" s="10" t="n">
        <x:v>0</x:v>
      </x:c>
      <x:c r="H22" s="10" t="n">
        <x:v>54.95</x:v>
      </x:c>
      <x:c r="I22" s="10" t="n">
        <x:v>22</x:v>
      </x:c>
      <x:c r="J22" s="10" t="n">
        <x:v>32.95</x:v>
      </x:c>
      <x:c r="K22" s="2" t="n">
        <x:v>1</x:v>
      </x:c>
      <x:c r="L22" s="2" t="n">
        <x:v>0</x:v>
      </x:c>
    </x:row>
    <x:row r="23" ht="20" customHeight="1">
      <x:c r="A23" s="9" t="n">
        <x:v>46262</x:v>
      </x:c>
      <x:c r="B23" s="2" t="str">
        <x:v>MM-1017</x:v>
      </x:c>
      <x:c r="C23" s="2" t="str">
        <x:v>Paid Social</x:v>
      </x:c>
      <x:c r="D23" s="2" t="str">
        <x:v>CUS-134</x:v>
      </x:c>
      <x:c r="E23" s="10" t="n">
        <x:v>169.85</x:v>
      </x:c>
      <x:c r="F23" s="10" t="n">
        <x:v>0</x:v>
      </x:c>
      <x:c r="G23" s="10" t="n">
        <x:v>0</x:v>
      </x:c>
      <x:c r="H23" s="10" t="n">
        <x:v>169.85</x:v>
      </x:c>
      <x:c r="I23" s="10" t="n">
        <x:v>66.5</x:v>
      </x:c>
      <x:c r="J23" s="10" t="n">
        <x:v>103.35</x:v>
      </x:c>
      <x:c r="K23" s="2" t="n">
        <x:v>3</x:v>
      </x:c>
      <x:c r="L23" s="2" t="n">
        <x:v>0</x:v>
      </x:c>
    </x:row>
    <x:row r="24" ht="20" customHeight="1">
      <x:c r="A24" s="9" t="n">
        <x:v>46263</x:v>
      </x:c>
      <x:c r="B24" s="2" t="str">
        <x:v>MM-1021</x:v>
      </x:c>
      <x:c r="C24" s="2" t="str">
        <x:v>Email</x:v>
      </x:c>
      <x:c r="D24" s="2" t="str">
        <x:v>CUS-117</x:v>
      </x:c>
      <x:c r="E24" s="10" t="n">
        <x:v>109.9</x:v>
      </x:c>
      <x:c r="F24" s="10" t="n">
        <x:v>10.99</x:v>
      </x:c>
      <x:c r="G24" s="10" t="n">
        <x:v>0</x:v>
      </x:c>
      <x:c r="H24" s="10" t="n">
        <x:v>98.91</x:v>
      </x:c>
      <x:c r="I24" s="10" t="n">
        <x:v>44</x:v>
      </x:c>
      <x:c r="J24" s="10" t="n">
        <x:v>54.91</x:v>
      </x:c>
      <x:c r="K24" s="2" t="n">
        <x:v>2</x:v>
      </x:c>
      <x:c r="L24" s="2" t="n">
        <x:v>0</x:v>
      </x:c>
    </x:row>
    <x:row r="25" ht="20" customHeight="1">
      <x:c r="A25" s="9" t="n">
        <x:v>46263</x:v>
      </x:c>
      <x:c r="B25" s="2" t="str">
        <x:v>MM-1028</x:v>
      </x:c>
      <x:c r="C25" s="2" t="str">
        <x:v>Paid Social</x:v>
      </x:c>
      <x:c r="D25" s="2" t="str">
        <x:v>CUS-019</x:v>
      </x:c>
      <x:c r="E25" s="10" t="n">
        <x:v>104.85</x:v>
      </x:c>
      <x:c r="F25" s="10" t="n">
        <x:v>0</x:v>
      </x:c>
      <x:c r="G25" s="10" t="n">
        <x:v>0</x:v>
      </x:c>
      <x:c r="H25" s="10" t="n">
        <x:v>104.85</x:v>
      </x:c>
      <x:c r="I25" s="10" t="n">
        <x:v>40.5</x:v>
      </x:c>
      <x:c r="J25" s="10" t="n">
        <x:v>64.35</x:v>
      </x:c>
      <x:c r="K25" s="2" t="n">
        <x:v>3</x:v>
      </x:c>
      <x:c r="L25" s="2" t="n">
        <x:v>0</x:v>
      </x:c>
    </x:row>
    <x:row r="26" ht="20" customHeight="1">
      <x:c r="A26" s="9" t="n">
        <x:v>46263</x:v>
      </x:c>
      <x:c r="B26" s="2" t="str">
        <x:v>MM-1029</x:v>
      </x:c>
      <x:c r="C26" s="2" t="str">
        <x:v>Organic Search</x:v>
      </x:c>
      <x:c r="D26" s="2" t="str">
        <x:v>CUS-067</x:v>
      </x:c>
      <x:c r="E26" s="10" t="n">
        <x:v>79.95</x:v>
      </x:c>
      <x:c r="F26" s="10" t="n">
        <x:v>0</x:v>
      </x:c>
      <x:c r="G26" s="10" t="n">
        <x:v>0</x:v>
      </x:c>
      <x:c r="H26" s="10" t="n">
        <x:v>79.95</x:v>
      </x:c>
      <x:c r="I26" s="10" t="n">
        <x:v>32</x:v>
      </x:c>
      <x:c r="J26" s="10" t="n">
        <x:v>47.95</x:v>
      </x:c>
      <x:c r="K26" s="2" t="n">
        <x:v>1</x:v>
      </x:c>
      <x:c r="L26" s="2" t="n">
        <x:v>0</x:v>
      </x:c>
    </x:row>
    <x:row r="27" ht="20" customHeight="1">
      <x:c r="A27" s="9" t="n">
        <x:v>46263</x:v>
      </x:c>
      <x:c r="B27" s="2" t="str">
        <x:v>MM-1033</x:v>
      </x:c>
      <x:c r="C27" s="2" t="str">
        <x:v>Direct</x:v>
      </x:c>
      <x:c r="D27" s="2" t="str">
        <x:v>CUS-005</x:v>
      </x:c>
      <x:c r="E27" s="10" t="n">
        <x:v>102.85</x:v>
      </x:c>
      <x:c r="F27" s="10" t="n">
        <x:v>0</x:v>
      </x:c>
      <x:c r="G27" s="10" t="n">
        <x:v>0</x:v>
      </x:c>
      <x:c r="H27" s="10" t="n">
        <x:v>102.85</x:v>
      </x:c>
      <x:c r="I27" s="10" t="n">
        <x:v>38.5</x:v>
      </x:c>
      <x:c r="J27" s="10" t="n">
        <x:v>64.35</x:v>
      </x:c>
      <x:c r="K27" s="2" t="n">
        <x:v>3</x:v>
      </x:c>
      <x:c r="L27" s="2" t="n">
        <x:v>0</x:v>
      </x:c>
    </x:row>
    <x:row r="28" ht="20" customHeight="1">
      <x:c r="A28" s="9" t="n">
        <x:v>46263</x:v>
      </x:c>
      <x:c r="B28" s="2" t="str">
        <x:v>MM-1019</x:v>
      </x:c>
      <x:c r="C28" s="2" t="str">
        <x:v>Organic Search</x:v>
      </x:c>
      <x:c r="D28" s="2" t="str">
        <x:v>CUS-086</x:v>
      </x:c>
      <x:c r="E28" s="10" t="n">
        <x:v>54.95</x:v>
      </x:c>
      <x:c r="F28" s="10" t="n">
        <x:v>0</x:v>
      </x:c>
      <x:c r="G28" s="10" t="n">
        <x:v>0</x:v>
      </x:c>
      <x:c r="H28" s="10" t="n">
        <x:v>54.95</x:v>
      </x:c>
      <x:c r="I28" s="10" t="n">
        <x:v>22</x:v>
      </x:c>
      <x:c r="J28" s="10" t="n">
        <x:v>32.95</x:v>
      </x:c>
      <x:c r="K28" s="2" t="n">
        <x:v>1</x:v>
      </x:c>
      <x:c r="L28" s="2" t="n">
        <x:v>0</x:v>
      </x:c>
    </x:row>
    <x:row r="29" ht="20" customHeight="1">
      <x:c r="A29" s="9" t="n">
        <x:v>46263</x:v>
      </x:c>
      <x:c r="B29" s="2" t="str">
        <x:v>MM-1023</x:v>
      </x:c>
      <x:c r="C29" s="2" t="str">
        <x:v>Email</x:v>
      </x:c>
      <x:c r="D29" s="2" t="str">
        <x:v>CUS-054</x:v>
      </x:c>
      <x:c r="E29" s="10" t="n">
        <x:v>59.95</x:v>
      </x:c>
      <x:c r="F29" s="10" t="n">
        <x:v>5.99</x:v>
      </x:c>
      <x:c r="G29" s="10" t="n">
        <x:v>0</x:v>
      </x:c>
      <x:c r="H29" s="10" t="n">
        <x:v>53.96</x:v>
      </x:c>
      <x:c r="I29" s="10" t="n">
        <x:v>24</x:v>
      </x:c>
      <x:c r="J29" s="10" t="n">
        <x:v>29.96</x:v>
      </x:c>
      <x:c r="K29" s="2" t="n">
        <x:v>1</x:v>
      </x:c>
      <x:c r="L29" s="2" t="n">
        <x:v>0</x:v>
      </x:c>
    </x:row>
    <x:row r="30" ht="20" customHeight="1">
      <x:c r="A30" s="9" t="n">
        <x:v>46263</x:v>
      </x:c>
      <x:c r="B30" s="2" t="str">
        <x:v>MM-1026</x:v>
      </x:c>
      <x:c r="C30" s="2" t="str">
        <x:v>Email</x:v>
      </x:c>
      <x:c r="D30" s="2" t="str">
        <x:v>CUS-027</x:v>
      </x:c>
      <x:c r="E30" s="10" t="n">
        <x:v>45.9</x:v>
      </x:c>
      <x:c r="F30" s="10" t="n">
        <x:v>4.59</x:v>
      </x:c>
      <x:c r="G30" s="10" t="n">
        <x:v>0</x:v>
      </x:c>
      <x:c r="H30" s="10" t="n">
        <x:v>41.31</x:v>
      </x:c>
      <x:c r="I30" s="10" t="n">
        <x:v>17</x:v>
      </x:c>
      <x:c r="J30" s="10" t="n">
        <x:v>24.31</x:v>
      </x:c>
      <x:c r="K30" s="2" t="n">
        <x:v>2</x:v>
      </x:c>
      <x:c r="L30" s="2" t="n">
        <x:v>0</x:v>
      </x:c>
    </x:row>
    <x:row r="31" ht="20" customHeight="1">
      <x:c r="A31" s="9" t="n">
        <x:v>46263</x:v>
      </x:c>
      <x:c r="B31" s="2" t="str">
        <x:v>MM-1035</x:v>
      </x:c>
      <x:c r="C31" s="2" t="str">
        <x:v>Organic Search</x:v>
      </x:c>
      <x:c r="D31" s="2" t="str">
        <x:v>CUS-057</x:v>
      </x:c>
      <x:c r="E31" s="10" t="n">
        <x:v>18.95</x:v>
      </x:c>
      <x:c r="F31" s="10" t="n">
        <x:v>0</x:v>
      </x:c>
      <x:c r="G31" s="10" t="n">
        <x:v>0</x:v>
      </x:c>
      <x:c r="H31" s="10" t="n">
        <x:v>18.95</x:v>
      </x:c>
      <x:c r="I31" s="10" t="n">
        <x:v>6.5</x:v>
      </x:c>
      <x:c r="J31" s="10" t="n">
        <x:v>12.45</x:v>
      </x:c>
      <x:c r="K31" s="2" t="n">
        <x:v>1</x:v>
      </x:c>
      <x:c r="L31" s="2" t="n">
        <x:v>0</x:v>
      </x:c>
    </x:row>
    <x:row r="32" ht="20" customHeight="1">
      <x:c r="A32" s="9" t="n">
        <x:v>46263</x:v>
      </x:c>
      <x:c r="B32" s="2" t="str">
        <x:v>MM-1022</x:v>
      </x:c>
      <x:c r="C32" s="2" t="str">
        <x:v>Direct</x:v>
      </x:c>
      <x:c r="D32" s="2" t="str">
        <x:v>CUS-172</x:v>
      </x:c>
      <x:c r="E32" s="10" t="n">
        <x:v>18.95</x:v>
      </x:c>
      <x:c r="F32" s="10" t="n">
        <x:v>1.89</x:v>
      </x:c>
      <x:c r="G32" s="10" t="n">
        <x:v>0</x:v>
      </x:c>
      <x:c r="H32" s="10" t="n">
        <x:v>17.06</x:v>
      </x:c>
      <x:c r="I32" s="10" t="n">
        <x:v>6.5</x:v>
      </x:c>
      <x:c r="J32" s="10" t="n">
        <x:v>10.56</x:v>
      </x:c>
      <x:c r="K32" s="2" t="n">
        <x:v>1</x:v>
      </x:c>
      <x:c r="L32" s="2" t="n">
        <x:v>0</x:v>
      </x:c>
    </x:row>
    <x:row r="33" ht="20" customHeight="1">
      <x:c r="A33" s="9" t="n">
        <x:v>46263</x:v>
      </x:c>
      <x:c r="B33" s="2" t="str">
        <x:v>MM-1034</x:v>
      </x:c>
      <x:c r="C33" s="2" t="str">
        <x:v>Organic Search</x:v>
      </x:c>
      <x:c r="D33" s="2" t="str">
        <x:v>CUS-065</x:v>
      </x:c>
      <x:c r="E33" s="10" t="n">
        <x:v>54.95</x:v>
      </x:c>
      <x:c r="F33" s="10" t="n">
        <x:v>0</x:v>
      </x:c>
      <x:c r="G33" s="10" t="n">
        <x:v>0</x:v>
      </x:c>
      <x:c r="H33" s="10" t="n">
        <x:v>54.95</x:v>
      </x:c>
      <x:c r="I33" s="10" t="n">
        <x:v>22</x:v>
      </x:c>
      <x:c r="J33" s="10" t="n">
        <x:v>32.95</x:v>
      </x:c>
      <x:c r="K33" s="2" t="n">
        <x:v>1</x:v>
      </x:c>
      <x:c r="L33" s="2" t="n">
        <x:v>0</x:v>
      </x:c>
    </x:row>
    <x:row r="34" ht="20" customHeight="1">
      <x:c r="A34" s="9" t="n">
        <x:v>46263</x:v>
      </x:c>
      <x:c r="B34" s="2" t="str">
        <x:v>MM-1020</x:v>
      </x:c>
      <x:c r="C34" s="2" t="str">
        <x:v>Email</x:v>
      </x:c>
      <x:c r="D34" s="2" t="str">
        <x:v>CUS-100</x:v>
      </x:c>
      <x:c r="E34" s="10" t="n">
        <x:v>22.95</x:v>
      </x:c>
      <x:c r="F34" s="10" t="n">
        <x:v>2.29</x:v>
      </x:c>
      <x:c r="G34" s="10" t="n">
        <x:v>0</x:v>
      </x:c>
      <x:c r="H34" s="10" t="n">
        <x:v>20.66</x:v>
      </x:c>
      <x:c r="I34" s="10" t="n">
        <x:v>8.5</x:v>
      </x:c>
      <x:c r="J34" s="10" t="n">
        <x:v>12.16</x:v>
      </x:c>
      <x:c r="K34" s="2" t="n">
        <x:v>1</x:v>
      </x:c>
      <x:c r="L34" s="2" t="n">
        <x:v>0</x:v>
      </x:c>
    </x:row>
    <x:row r="35" ht="20" customHeight="1">
      <x:c r="A35" s="9" t="n">
        <x:v>46263</x:v>
      </x:c>
      <x:c r="B35" s="2" t="str">
        <x:v>MM-1031</x:v>
      </x:c>
      <x:c r="C35" s="2" t="str">
        <x:v>Organic Search</x:v>
      </x:c>
      <x:c r="D35" s="2" t="str">
        <x:v>CUS-060</x:v>
      </x:c>
      <x:c r="E35" s="10" t="n">
        <x:v>138.8</x:v>
      </x:c>
      <x:c r="F35" s="10" t="n">
        <x:v>12.88</x:v>
      </x:c>
      <x:c r="G35" s="10" t="n">
        <x:v>0</x:v>
      </x:c>
      <x:c r="H35" s="10" t="n">
        <x:v>125.92</x:v>
      </x:c>
      <x:c r="I35" s="10" t="n">
        <x:v>53</x:v>
      </x:c>
      <x:c r="J35" s="10" t="n">
        <x:v>72.92</x:v>
      </x:c>
      <x:c r="K35" s="2" t="n">
        <x:v>4</x:v>
      </x:c>
      <x:c r="L35" s="2" t="n">
        <x:v>0</x:v>
      </x:c>
    </x:row>
    <x:row r="36" ht="20" customHeight="1">
      <x:c r="A36" s="9" t="n">
        <x:v>46263</x:v>
      </x:c>
      <x:c r="B36" s="2" t="str">
        <x:v>MM-1036</x:v>
      </x:c>
      <x:c r="C36" s="2" t="str">
        <x:v>Organic Search</x:v>
      </x:c>
      <x:c r="D36" s="2" t="str">
        <x:v>CUS-125</x:v>
      </x:c>
      <x:c r="E36" s="10" t="n">
        <x:v>65.9</x:v>
      </x:c>
      <x:c r="F36" s="10" t="n">
        <x:v>0</x:v>
      </x:c>
      <x:c r="G36" s="10" t="n">
        <x:v>0</x:v>
      </x:c>
      <x:c r="H36" s="10" t="n">
        <x:v>65.9</x:v>
      </x:c>
      <x:c r="I36" s="10" t="n">
        <x:v>24</x:v>
      </x:c>
      <x:c r="J36" s="10" t="n">
        <x:v>41.9</x:v>
      </x:c>
      <x:c r="K36" s="2" t="n">
        <x:v>2</x:v>
      </x:c>
      <x:c r="L36" s="2" t="n">
        <x:v>0</x:v>
      </x:c>
    </x:row>
    <x:row r="37" ht="20" customHeight="1">
      <x:c r="A37" s="9" t="n">
        <x:v>46263</x:v>
      </x:c>
      <x:c r="B37" s="2" t="str">
        <x:v>MM-1024</x:v>
      </x:c>
      <x:c r="C37" s="2" t="str">
        <x:v>Paid Social</x:v>
      </x:c>
      <x:c r="D37" s="2" t="str">
        <x:v>CUS-150</x:v>
      </x:c>
      <x:c r="E37" s="10" t="n">
        <x:v>12.95</x:v>
      </x:c>
      <x:c r="F37" s="10" t="n">
        <x:v>0</x:v>
      </x:c>
      <x:c r="G37" s="10" t="n">
        <x:v>0</x:v>
      </x:c>
      <x:c r="H37" s="10" t="n">
        <x:v>12.95</x:v>
      </x:c>
      <x:c r="I37" s="10" t="n">
        <x:v>3.5</x:v>
      </x:c>
      <x:c r="J37" s="10" t="n">
        <x:v>9.45</x:v>
      </x:c>
      <x:c r="K37" s="2" t="n">
        <x:v>1</x:v>
      </x:c>
      <x:c r="L37" s="2" t="n">
        <x:v>0</x:v>
      </x:c>
    </x:row>
    <x:row r="38" ht="20" customHeight="1">
      <x:c r="A38" s="9" t="n">
        <x:v>46263</x:v>
      </x:c>
      <x:c r="B38" s="2" t="str">
        <x:v>MM-1027</x:v>
      </x:c>
      <x:c r="C38" s="2" t="str">
        <x:v>Organic Search</x:v>
      </x:c>
      <x:c r="D38" s="2" t="str">
        <x:v>CUS-124</x:v>
      </x:c>
      <x:c r="E38" s="10" t="n">
        <x:v>29.95</x:v>
      </x:c>
      <x:c r="F38" s="10" t="n">
        <x:v>0</x:v>
      </x:c>
      <x:c r="G38" s="10" t="n">
        <x:v>0</x:v>
      </x:c>
      <x:c r="H38" s="10" t="n">
        <x:v>29.95</x:v>
      </x:c>
      <x:c r="I38" s="10" t="n">
        <x:v>10</x:v>
      </x:c>
      <x:c r="J38" s="10" t="n">
        <x:v>19.95</x:v>
      </x:c>
      <x:c r="K38" s="2" t="n">
        <x:v>1</x:v>
      </x:c>
      <x:c r="L38" s="2" t="n">
        <x:v>0</x:v>
      </x:c>
    </x:row>
    <x:row r="39" ht="20" customHeight="1">
      <x:c r="A39" s="9" t="n">
        <x:v>46263</x:v>
      </x:c>
      <x:c r="B39" s="2" t="str">
        <x:v>MM-1030</x:v>
      </x:c>
      <x:c r="C39" s="2" t="str">
        <x:v>Paid Social</x:v>
      </x:c>
      <x:c r="D39" s="2" t="str">
        <x:v>CUS-116</x:v>
      </x:c>
      <x:c r="E39" s="10" t="n">
        <x:v>9.95</x:v>
      </x:c>
      <x:c r="F39" s="10" t="n">
        <x:v>0</x:v>
      </x:c>
      <x:c r="G39" s="10" t="n">
        <x:v>0</x:v>
      </x:c>
      <x:c r="H39" s="10" t="n">
        <x:v>9.95</x:v>
      </x:c>
      <x:c r="I39" s="10" t="n">
        <x:v>2.5</x:v>
      </x:c>
      <x:c r="J39" s="10" t="n">
        <x:v>7.45</x:v>
      </x:c>
      <x:c r="K39" s="2" t="n">
        <x:v>1</x:v>
      </x:c>
      <x:c r="L39" s="2" t="n">
        <x:v>0</x:v>
      </x:c>
    </x:row>
    <x:row r="40" ht="20" customHeight="1">
      <x:c r="A40" s="9" t="n">
        <x:v>46263</x:v>
      </x:c>
      <x:c r="B40" s="2" t="str">
        <x:v>MM-1038</x:v>
      </x:c>
      <x:c r="C40" s="2" t="str">
        <x:v>Organic Search</x:v>
      </x:c>
      <x:c r="D40" s="2" t="str">
        <x:v>CUS-016</x:v>
      </x:c>
      <x:c r="E40" s="10" t="n">
        <x:v>9.95</x:v>
      </x:c>
      <x:c r="F40" s="10" t="n">
        <x:v>0</x:v>
      </x:c>
      <x:c r="G40" s="10" t="n">
        <x:v>0</x:v>
      </x:c>
      <x:c r="H40" s="10" t="n">
        <x:v>9.95</x:v>
      </x:c>
      <x:c r="I40" s="10" t="n">
        <x:v>2.5</x:v>
      </x:c>
      <x:c r="J40" s="10" t="n">
        <x:v>7.45</x:v>
      </x:c>
      <x:c r="K40" s="2" t="n">
        <x:v>1</x:v>
      </x:c>
      <x:c r="L40" s="2" t="n">
        <x:v>0</x:v>
      </x:c>
    </x:row>
    <x:row r="41" ht="20" customHeight="1">
      <x:c r="A41" s="9" t="n">
        <x:v>46263</x:v>
      </x:c>
      <x:c r="B41" s="2" t="str">
        <x:v>MM-1025</x:v>
      </x:c>
      <x:c r="C41" s="2" t="str">
        <x:v>Direct</x:v>
      </x:c>
      <x:c r="D41" s="2" t="str">
        <x:v>CUS-167</x:v>
      </x:c>
      <x:c r="E41" s="10" t="n">
        <x:v>24.95</x:v>
      </x:c>
      <x:c r="F41" s="10" t="n">
        <x:v>0</x:v>
      </x:c>
      <x:c r="G41" s="10" t="n">
        <x:v>0</x:v>
      </x:c>
      <x:c r="H41" s="10" t="n">
        <x:v>24.95</x:v>
      </x:c>
      <x:c r="I41" s="10" t="n">
        <x:v>8.5</x:v>
      </x:c>
      <x:c r="J41" s="10" t="n">
        <x:v>16.45</x:v>
      </x:c>
      <x:c r="K41" s="2" t="n">
        <x:v>1</x:v>
      </x:c>
      <x:c r="L41" s="2" t="n">
        <x:v>0</x:v>
      </x:c>
    </x:row>
    <x:row r="42" ht="20" customHeight="1">
      <x:c r="A42" s="9" t="n">
        <x:v>46263</x:v>
      </x:c>
      <x:c r="B42" s="2" t="str">
        <x:v>MM-1032</x:v>
      </x:c>
      <x:c r="C42" s="2" t="str">
        <x:v>Organic Search</x:v>
      </x:c>
      <x:c r="D42" s="2" t="str">
        <x:v>CUS-173</x:v>
      </x:c>
      <x:c r="E42" s="10" t="n">
        <x:v>12.95</x:v>
      </x:c>
      <x:c r="F42" s="10" t="n">
        <x:v>0</x:v>
      </x:c>
      <x:c r="G42" s="10" t="n">
        <x:v>0</x:v>
      </x:c>
      <x:c r="H42" s="10" t="n">
        <x:v>12.95</x:v>
      </x:c>
      <x:c r="I42" s="10" t="n">
        <x:v>3.5</x:v>
      </x:c>
      <x:c r="J42" s="10" t="n">
        <x:v>9.45</x:v>
      </x:c>
      <x:c r="K42" s="2" t="n">
        <x:v>1</x:v>
      </x:c>
      <x:c r="L42" s="2" t="n">
        <x:v>0</x:v>
      </x:c>
    </x:row>
    <x:row r="43" ht="20" customHeight="1">
      <x:c r="A43" s="9" t="n">
        <x:v>46263</x:v>
      </x:c>
      <x:c r="B43" s="2" t="str">
        <x:v>MM-1037</x:v>
      </x:c>
      <x:c r="C43" s="2" t="str">
        <x:v>Organic Search</x:v>
      </x:c>
      <x:c r="D43" s="2" t="str">
        <x:v>CUS-138</x:v>
      </x:c>
      <x:c r="E43" s="10" t="n">
        <x:v>79.95</x:v>
      </x:c>
      <x:c r="F43" s="10" t="n">
        <x:v>0</x:v>
      </x:c>
      <x:c r="G43" s="10" t="n">
        <x:v>0</x:v>
      </x:c>
      <x:c r="H43" s="10" t="n">
        <x:v>79.95</x:v>
      </x:c>
      <x:c r="I43" s="10" t="n">
        <x:v>32</x:v>
      </x:c>
      <x:c r="J43" s="10" t="n">
        <x:v>47.95</x:v>
      </x:c>
      <x:c r="K43" s="2" t="n">
        <x:v>1</x:v>
      </x:c>
      <x:c r="L43" s="2" t="n">
        <x:v>0</x:v>
      </x:c>
    </x:row>
    <x:row r="44" ht="20" customHeight="1">
      <x:c r="A44" s="9" t="n">
        <x:v>46264</x:v>
      </x:c>
      <x:c r="B44" s="2" t="str">
        <x:v>MM-1046</x:v>
      </x:c>
      <x:c r="C44" s="2" t="str">
        <x:v>Direct</x:v>
      </x:c>
      <x:c r="D44" s="2" t="str">
        <x:v>CUS-070</x:v>
      </x:c>
      <x:c r="E44" s="10" t="n">
        <x:v>258.8</x:v>
      </x:c>
      <x:c r="F44" s="10" t="n">
        <x:v>0</x:v>
      </x:c>
      <x:c r="G44" s="10" t="n">
        <x:v>18.95</x:v>
      </x:c>
      <x:c r="H44" s="10" t="n">
        <x:v>239.85</x:v>
      </x:c>
      <x:c r="I44" s="10" t="n">
        <x:v>96</x:v>
      </x:c>
      <x:c r="J44" s="10" t="n">
        <x:v>143.85</x:v>
      </x:c>
      <x:c r="K44" s="2" t="n">
        <x:v>4</x:v>
      </x:c>
      <x:c r="L44" s="2" t="n">
        <x:v>1</x:v>
      </x:c>
    </x:row>
    <x:row r="45" ht="20" customHeight="1">
      <x:c r="A45" s="9" t="n">
        <x:v>46264</x:v>
      </x:c>
      <x:c r="B45" s="2" t="str">
        <x:v>MM-1050</x:v>
      </x:c>
      <x:c r="C45" s="2" t="str">
        <x:v>Paid Social</x:v>
      </x:c>
      <x:c r="D45" s="2" t="str">
        <x:v>CUS-152</x:v>
      </x:c>
      <x:c r="E45" s="10" t="n">
        <x:v>107.85</x:v>
      </x:c>
      <x:c r="F45" s="10" t="n">
        <x:v>0</x:v>
      </x:c>
      <x:c r="G45" s="10" t="n">
        <x:v>0</x:v>
      </x:c>
      <x:c r="H45" s="10" t="n">
        <x:v>107.85</x:v>
      </x:c>
      <x:c r="I45" s="10" t="n">
        <x:v>41</x:v>
      </x:c>
      <x:c r="J45" s="10" t="n">
        <x:v>66.85</x:v>
      </x:c>
      <x:c r="K45" s="2" t="n">
        <x:v>3</x:v>
      </x:c>
      <x:c r="L45" s="2" t="n">
        <x:v>0</x:v>
      </x:c>
    </x:row>
    <x:row r="46" ht="20" customHeight="1">
      <x:c r="A46" s="9" t="n">
        <x:v>46264</x:v>
      </x:c>
      <x:c r="B46" s="2" t="str">
        <x:v>MM-1055</x:v>
      </x:c>
      <x:c r="C46" s="2" t="str">
        <x:v>Email</x:v>
      </x:c>
      <x:c r="D46" s="2" t="str">
        <x:v>CUS-164</x:v>
      </x:c>
      <x:c r="E46" s="10" t="n">
        <x:v>139.9</x:v>
      </x:c>
      <x:c r="F46" s="10" t="n">
        <x:v>13.99</x:v>
      </x:c>
      <x:c r="G46" s="10" t="n">
        <x:v>0</x:v>
      </x:c>
      <x:c r="H46" s="10" t="n">
        <x:v>125.91</x:v>
      </x:c>
      <x:c r="I46" s="10" t="n">
        <x:v>56</x:v>
      </x:c>
      <x:c r="J46" s="10" t="n">
        <x:v>69.91</x:v>
      </x:c>
      <x:c r="K46" s="2" t="n">
        <x:v>2</x:v>
      </x:c>
      <x:c r="L46" s="2" t="n">
        <x:v>0</x:v>
      </x:c>
    </x:row>
    <x:row r="47" ht="20" customHeight="1">
      <x:c r="A47" s="9" t="n">
        <x:v>46264</x:v>
      </x:c>
      <x:c r="B47" s="2" t="str">
        <x:v>MM-1040</x:v>
      </x:c>
      <x:c r="C47" s="2" t="str">
        <x:v>Email</x:v>
      </x:c>
      <x:c r="D47" s="2" t="str">
        <x:v>CUS-168</x:v>
      </x:c>
      <x:c r="E47" s="10" t="n">
        <x:v>134.85</x:v>
      </x:c>
      <x:c r="F47" s="10" t="n">
        <x:v>13.47</x:v>
      </x:c>
      <x:c r="G47" s="10" t="n">
        <x:v>71.96</x:v>
      </x:c>
      <x:c r="H47" s="10" t="n">
        <x:v>49.42</x:v>
      </x:c>
      <x:c r="I47" s="10" t="n">
        <x:v>18.5</x:v>
      </x:c>
      <x:c r="J47" s="10" t="n">
        <x:v>30.92</x:v>
      </x:c>
      <x:c r="K47" s="2" t="n">
        <x:v>3</x:v>
      </x:c>
      <x:c r="L47" s="2" t="n">
        <x:v>1</x:v>
      </x:c>
    </x:row>
    <x:row r="48" ht="20" customHeight="1">
      <x:c r="A48" s="9" t="n">
        <x:v>46264</x:v>
      </x:c>
      <x:c r="B48" s="2" t="str">
        <x:v>MM-1052</x:v>
      </x:c>
      <x:c r="C48" s="2" t="str">
        <x:v>Direct</x:v>
      </x:c>
      <x:c r="D48" s="2" t="str">
        <x:v>CUS-111</x:v>
      </x:c>
      <x:c r="E48" s="10" t="n">
        <x:v>72.85</x:v>
      </x:c>
      <x:c r="F48" s="10" t="n">
        <x:v>0</x:v>
      </x:c>
      <x:c r="G48" s="10" t="n">
        <x:v>0</x:v>
      </x:c>
      <x:c r="H48" s="10" t="n">
        <x:v>72.85</x:v>
      </x:c>
      <x:c r="I48" s="10" t="n">
        <x:v>26</x:v>
      </x:c>
      <x:c r="J48" s="10" t="n">
        <x:v>46.85</x:v>
      </x:c>
      <x:c r="K48" s="2" t="n">
        <x:v>3</x:v>
      </x:c>
      <x:c r="L48" s="2" t="n">
        <x:v>0</x:v>
      </x:c>
    </x:row>
    <x:row r="49" ht="20" customHeight="1">
      <x:c r="A49" s="9" t="n">
        <x:v>46264</x:v>
      </x:c>
      <x:c r="B49" s="2" t="str">
        <x:v>MM-1056</x:v>
      </x:c>
      <x:c r="C49" s="2" t="str">
        <x:v>Email</x:v>
      </x:c>
      <x:c r="D49" s="2" t="str">
        <x:v>CUS-016</x:v>
      </x:c>
      <x:c r="E49" s="10" t="n">
        <x:v>79.95</x:v>
      </x:c>
      <x:c r="F49" s="10" t="n">
        <x:v>7.99</x:v>
      </x:c>
      <x:c r="G49" s="10" t="n">
        <x:v>0</x:v>
      </x:c>
      <x:c r="H49" s="10" t="n">
        <x:v>71.96</x:v>
      </x:c>
      <x:c r="I49" s="10" t="n">
        <x:v>32</x:v>
      </x:c>
      <x:c r="J49" s="10" t="n">
        <x:v>39.96</x:v>
      </x:c>
      <x:c r="K49" s="2" t="n">
        <x:v>1</x:v>
      </x:c>
      <x:c r="L49" s="2" t="n">
        <x:v>0</x:v>
      </x:c>
    </x:row>
    <x:row r="50" ht="20" customHeight="1">
      <x:c r="A50" s="9" t="n">
        <x:v>46264</x:v>
      </x:c>
      <x:c r="B50" s="2" t="str">
        <x:v>MM-1039</x:v>
      </x:c>
      <x:c r="C50" s="2" t="str">
        <x:v>Organic Search</x:v>
      </x:c>
      <x:c r="D50" s="2" t="str">
        <x:v>CUS-065</x:v>
      </x:c>
      <x:c r="E50" s="10" t="n">
        <x:v>269.8</x:v>
      </x:c>
      <x:c r="F50" s="10" t="n">
        <x:v>0</x:v>
      </x:c>
      <x:c r="G50" s="10" t="n">
        <x:v>0</x:v>
      </x:c>
      <x:c r="H50" s="10" t="n">
        <x:v>269.8</x:v>
      </x:c>
      <x:c r="I50" s="10" t="n">
        <x:v>108</x:v>
      </x:c>
      <x:c r="J50" s="10" t="n">
        <x:v>161.8</x:v>
      </x:c>
      <x:c r="K50" s="2" t="n">
        <x:v>4</x:v>
      </x:c>
      <x:c r="L50" s="2" t="n">
        <x:v>0</x:v>
      </x:c>
    </x:row>
    <x:row r="51" ht="20" customHeight="1">
      <x:c r="A51" s="9" t="n">
        <x:v>46264</x:v>
      </x:c>
      <x:c r="B51" s="2" t="str">
        <x:v>MM-1041</x:v>
      </x:c>
      <x:c r="C51" s="2" t="str">
        <x:v>Paid Social</x:v>
      </x:c>
      <x:c r="D51" s="2" t="str">
        <x:v>CUS-091</x:v>
      </x:c>
      <x:c r="E51" s="10" t="n">
        <x:v>31.9</x:v>
      </x:c>
      <x:c r="F51" s="10" t="n">
        <x:v>0</x:v>
      </x:c>
      <x:c r="G51" s="10" t="n">
        <x:v>0</x:v>
      </x:c>
      <x:c r="H51" s="10" t="n">
        <x:v>31.9</x:v>
      </x:c>
      <x:c r="I51" s="10" t="n">
        <x:v>10</x:v>
      </x:c>
      <x:c r="J51" s="10" t="n">
        <x:v>21.9</x:v>
      </x:c>
      <x:c r="K51" s="2" t="n">
        <x:v>2</x:v>
      </x:c>
      <x:c r="L51" s="2" t="n">
        <x:v>0</x:v>
      </x:c>
    </x:row>
    <x:row r="52" ht="20" customHeight="1">
      <x:c r="A52" s="9" t="n">
        <x:v>46264</x:v>
      </x:c>
      <x:c r="B52" s="2" t="str">
        <x:v>MM-1054</x:v>
      </x:c>
      <x:c r="C52" s="2" t="str">
        <x:v>Email</x:v>
      </x:c>
      <x:c r="D52" s="2" t="str">
        <x:v>CUS-086</x:v>
      </x:c>
      <x:c r="E52" s="10" t="n">
        <x:v>69.95</x:v>
      </x:c>
      <x:c r="F52" s="10" t="n">
        <x:v>6.99</x:v>
      </x:c>
      <x:c r="G52" s="10" t="n">
        <x:v>0</x:v>
      </x:c>
      <x:c r="H52" s="10" t="n">
        <x:v>62.96</x:v>
      </x:c>
      <x:c r="I52" s="10" t="n">
        <x:v>28</x:v>
      </x:c>
      <x:c r="J52" s="10" t="n">
        <x:v>34.96</x:v>
      </x:c>
      <x:c r="K52" s="2" t="n">
        <x:v>1</x:v>
      </x:c>
      <x:c r="L52" s="2" t="n">
        <x:v>0</x:v>
      </x:c>
    </x:row>
    <x:row r="53" ht="20" customHeight="1">
      <x:c r="A53" s="9" t="n">
        <x:v>46264</x:v>
      </x:c>
      <x:c r="B53" s="2" t="str">
        <x:v>MM-1047</x:v>
      </x:c>
      <x:c r="C53" s="2" t="str">
        <x:v>Organic Search</x:v>
      </x:c>
      <x:c r="D53" s="2" t="str">
        <x:v>CUS-042</x:v>
      </x:c>
      <x:c r="E53" s="10" t="n">
        <x:v>123.8</x:v>
      </x:c>
      <x:c r="F53" s="10" t="n">
        <x:v>0</x:v>
      </x:c>
      <x:c r="G53" s="10" t="n">
        <x:v>0</x:v>
      </x:c>
      <x:c r="H53" s="10" t="n">
        <x:v>123.8</x:v>
      </x:c>
      <x:c r="I53" s="10" t="n">
        <x:v>47</x:v>
      </x:c>
      <x:c r="J53" s="10" t="n">
        <x:v>76.8</x:v>
      </x:c>
      <x:c r="K53" s="2" t="n">
        <x:v>4</x:v>
      </x:c>
      <x:c r="L53" s="2" t="n">
        <x:v>0</x:v>
      </x:c>
    </x:row>
    <x:row r="54" ht="20" customHeight="1">
      <x:c r="A54" s="9" t="n">
        <x:v>46264</x:v>
      </x:c>
      <x:c r="B54" s="2" t="str">
        <x:v>MM-1048</x:v>
      </x:c>
      <x:c r="C54" s="2" t="str">
        <x:v>Organic Search</x:v>
      </x:c>
      <x:c r="D54" s="2" t="str">
        <x:v>CUS-108</x:v>
      </x:c>
      <x:c r="E54" s="10" t="n">
        <x:v>29.9</x:v>
      </x:c>
      <x:c r="F54" s="10" t="n">
        <x:v>0.99</x:v>
      </x:c>
      <x:c r="G54" s="10" t="n">
        <x:v>0</x:v>
      </x:c>
      <x:c r="H54" s="10" t="n">
        <x:v>28.91</x:v>
      </x:c>
      <x:c r="I54" s="10" t="n">
        <x:v>8.5</x:v>
      </x:c>
      <x:c r="J54" s="10" t="n">
        <x:v>20.41</x:v>
      </x:c>
      <x:c r="K54" s="2" t="n">
        <x:v>2</x:v>
      </x:c>
      <x:c r="L54" s="2" t="n">
        <x:v>0</x:v>
      </x:c>
    </x:row>
    <x:row r="55" ht="20" customHeight="1">
      <x:c r="A55" s="9" t="n">
        <x:v>46264</x:v>
      </x:c>
      <x:c r="B55" s="2" t="str">
        <x:v>MM-1049</x:v>
      </x:c>
      <x:c r="C55" s="2" t="str">
        <x:v>Paid Social</x:v>
      </x:c>
      <x:c r="D55" s="2" t="str">
        <x:v>CUS-159</x:v>
      </x:c>
      <x:c r="E55" s="10" t="n">
        <x:v>22.95</x:v>
      </x:c>
      <x:c r="F55" s="10" t="n">
        <x:v>0</x:v>
      </x:c>
      <x:c r="G55" s="10" t="n">
        <x:v>0</x:v>
      </x:c>
      <x:c r="H55" s="10" t="n">
        <x:v>22.95</x:v>
      </x:c>
      <x:c r="I55" s="10" t="n">
        <x:v>8.5</x:v>
      </x:c>
      <x:c r="J55" s="10" t="n">
        <x:v>14.45</x:v>
      </x:c>
      <x:c r="K55" s="2" t="n">
        <x:v>1</x:v>
      </x:c>
      <x:c r="L55" s="2" t="n">
        <x:v>0</x:v>
      </x:c>
    </x:row>
    <x:row r="56" ht="20" customHeight="1">
      <x:c r="A56" s="9" t="n">
        <x:v>46264</x:v>
      </x:c>
      <x:c r="B56" s="2" t="str">
        <x:v>MM-1051</x:v>
      </x:c>
      <x:c r="C56" s="2" t="str">
        <x:v>Organic Search</x:v>
      </x:c>
      <x:c r="D56" s="2" t="str">
        <x:v>CUS-149</x:v>
      </x:c>
      <x:c r="E56" s="10" t="n">
        <x:v>24.95</x:v>
      </x:c>
      <x:c r="F56" s="10" t="n">
        <x:v>0</x:v>
      </x:c>
      <x:c r="G56" s="10" t="n">
        <x:v>0</x:v>
      </x:c>
      <x:c r="H56" s="10" t="n">
        <x:v>24.95</x:v>
      </x:c>
      <x:c r="I56" s="10" t="n">
        <x:v>8.5</x:v>
      </x:c>
      <x:c r="J56" s="10" t="n">
        <x:v>16.45</x:v>
      </x:c>
      <x:c r="K56" s="2" t="n">
        <x:v>1</x:v>
      </x:c>
      <x:c r="L56" s="2" t="n">
        <x:v>0</x:v>
      </x:c>
    </x:row>
    <x:row r="57" ht="20" customHeight="1">
      <x:c r="A57" s="9" t="n">
        <x:v>46264</x:v>
      </x:c>
      <x:c r="B57" s="2" t="str">
        <x:v>MM-1044</x:v>
      </x:c>
      <x:c r="C57" s="2" t="str">
        <x:v>Organic Search</x:v>
      </x:c>
      <x:c r="D57" s="2" t="str">
        <x:v>CUS-158</x:v>
      </x:c>
      <x:c r="E57" s="10" t="n">
        <x:v>74.85</x:v>
      </x:c>
      <x:c r="F57" s="10" t="n">
        <x:v>0</x:v>
      </x:c>
      <x:c r="G57" s="10" t="n">
        <x:v>0</x:v>
      </x:c>
      <x:c r="H57" s="10" t="n">
        <x:v>74.85</x:v>
      </x:c>
      <x:c r="I57" s="10" t="n">
        <x:v>25</x:v>
      </x:c>
      <x:c r="J57" s="10" t="n">
        <x:v>49.85</x:v>
      </x:c>
      <x:c r="K57" s="2" t="n">
        <x:v>3</x:v>
      </x:c>
      <x:c r="L57" s="2" t="n">
        <x:v>0</x:v>
      </x:c>
    </x:row>
    <x:row r="58" ht="20" customHeight="1">
      <x:c r="A58" s="9" t="n">
        <x:v>46264</x:v>
      </x:c>
      <x:c r="B58" s="2" t="str">
        <x:v>MM-1043</x:v>
      </x:c>
      <x:c r="C58" s="2" t="str">
        <x:v>Direct</x:v>
      </x:c>
      <x:c r="D58" s="2" t="str">
        <x:v>CUS-111</x:v>
      </x:c>
      <x:c r="E58" s="10" t="n">
        <x:v>45.9</x:v>
      </x:c>
      <x:c r="F58" s="10" t="n">
        <x:v>0</x:v>
      </x:c>
      <x:c r="G58" s="10" t="n">
        <x:v>0</x:v>
      </x:c>
      <x:c r="H58" s="10" t="n">
        <x:v>45.9</x:v>
      </x:c>
      <x:c r="I58" s="10" t="n">
        <x:v>17</x:v>
      </x:c>
      <x:c r="J58" s="10" t="n">
        <x:v>28.9</x:v>
      </x:c>
      <x:c r="K58" s="2" t="n">
        <x:v>2</x:v>
      </x:c>
      <x:c r="L58" s="2" t="n">
        <x:v>0</x:v>
      </x:c>
    </x:row>
    <x:row r="59" ht="20" customHeight="1">
      <x:c r="A59" s="9" t="n">
        <x:v>46264</x:v>
      </x:c>
      <x:c r="B59" s="2" t="str">
        <x:v>MM-1057</x:v>
      </x:c>
      <x:c r="C59" s="2" t="str">
        <x:v>Organic Search</x:v>
      </x:c>
      <x:c r="D59" s="2" t="str">
        <x:v>CUS-006</x:v>
      </x:c>
      <x:c r="E59" s="10" t="n">
        <x:v>232.8</x:v>
      </x:c>
      <x:c r="F59" s="10" t="n">
        <x:v>0</x:v>
      </x:c>
      <x:c r="G59" s="10" t="n">
        <x:v>0</x:v>
      </x:c>
      <x:c r="H59" s="10" t="n">
        <x:v>232.8</x:v>
      </x:c>
      <x:c r="I59" s="10" t="n">
        <x:v>92.5</x:v>
      </x:c>
      <x:c r="J59" s="10" t="n">
        <x:v>140.3</x:v>
      </x:c>
      <x:c r="K59" s="2" t="n">
        <x:v>4</x:v>
      </x:c>
      <x:c r="L59" s="2" t="n">
        <x:v>0</x:v>
      </x:c>
    </x:row>
    <x:row r="60" ht="20" customHeight="1">
      <x:c r="A60" s="9" t="n">
        <x:v>46264</x:v>
      </x:c>
      <x:c r="B60" s="2" t="str">
        <x:v>MM-1053</x:v>
      </x:c>
      <x:c r="C60" s="2" t="str">
        <x:v>Organic Search</x:v>
      </x:c>
      <x:c r="D60" s="2" t="str">
        <x:v>CUS-150</x:v>
      </x:c>
      <x:c r="E60" s="10" t="n">
        <x:v>45.9</x:v>
      </x:c>
      <x:c r="F60" s="10" t="n">
        <x:v>0</x:v>
      </x:c>
      <x:c r="G60" s="10" t="n">
        <x:v>0</x:v>
      </x:c>
      <x:c r="H60" s="10" t="n">
        <x:v>45.9</x:v>
      </x:c>
      <x:c r="I60" s="10" t="n">
        <x:v>17</x:v>
      </x:c>
      <x:c r="J60" s="10" t="n">
        <x:v>28.9</x:v>
      </x:c>
      <x:c r="K60" s="2" t="n">
        <x:v>2</x:v>
      </x:c>
      <x:c r="L60" s="2" t="n">
        <x:v>0</x:v>
      </x:c>
    </x:row>
    <x:row r="61" ht="20" customHeight="1">
      <x:c r="A61" s="9" t="n">
        <x:v>46265</x:v>
      </x:c>
      <x:c r="B61" s="2" t="str">
        <x:v>MM-1069</x:v>
      </x:c>
      <x:c r="C61" s="2" t="str">
        <x:v>Paid Social</x:v>
      </x:c>
      <x:c r="D61" s="2" t="str">
        <x:v>CUS-075</x:v>
      </x:c>
      <x:c r="E61" s="10" t="n">
        <x:v>37.9</x:v>
      </x:c>
      <x:c r="F61" s="10" t="n">
        <x:v>0</x:v>
      </x:c>
      <x:c r="G61" s="10" t="n">
        <x:v>0</x:v>
      </x:c>
      <x:c r="H61" s="10" t="n">
        <x:v>37.9</x:v>
      </x:c>
      <x:c r="I61" s="10" t="n">
        <x:v>12</x:v>
      </x:c>
      <x:c r="J61" s="10" t="n">
        <x:v>25.9</x:v>
      </x:c>
      <x:c r="K61" s="2" t="n">
        <x:v>2</x:v>
      </x:c>
      <x:c r="L61" s="2" t="n">
        <x:v>0</x:v>
      </x:c>
    </x:row>
    <x:row r="62" ht="20" customHeight="1">
      <x:c r="A62" s="9" t="n">
        <x:v>46265</x:v>
      </x:c>
      <x:c r="B62" s="2" t="str">
        <x:v>MM-1067</x:v>
      </x:c>
      <x:c r="C62" s="2" t="str">
        <x:v>Paid Social</x:v>
      </x:c>
      <x:c r="D62" s="2" t="str">
        <x:v>CUS-172</x:v>
      </x:c>
      <x:c r="E62" s="10" t="n">
        <x:v>74.85</x:v>
      </x:c>
      <x:c r="F62" s="10" t="n">
        <x:v>0</x:v>
      </x:c>
      <x:c r="G62" s="10" t="n">
        <x:v>0</x:v>
      </x:c>
      <x:c r="H62" s="10" t="n">
        <x:v>74.85</x:v>
      </x:c>
      <x:c r="I62" s="10" t="n">
        <x:v>25.5</x:v>
      </x:c>
      <x:c r="J62" s="10" t="n">
        <x:v>49.35</x:v>
      </x:c>
      <x:c r="K62" s="2" t="n">
        <x:v>3</x:v>
      </x:c>
      <x:c r="L62" s="2" t="n">
        <x:v>0</x:v>
      </x:c>
    </x:row>
    <x:row r="63" ht="20" customHeight="1">
      <x:c r="A63" s="9" t="n">
        <x:v>46265</x:v>
      </x:c>
      <x:c r="B63" s="2" t="str">
        <x:v>MM-1070</x:v>
      </x:c>
      <x:c r="C63" s="2" t="str">
        <x:v>Direct</x:v>
      </x:c>
      <x:c r="D63" s="2" t="str">
        <x:v>CUS-091</x:v>
      </x:c>
      <x:c r="E63" s="10" t="n">
        <x:v>9.95</x:v>
      </x:c>
      <x:c r="F63" s="10" t="n">
        <x:v>0</x:v>
      </x:c>
      <x:c r="G63" s="10" t="n">
        <x:v>0</x:v>
      </x:c>
      <x:c r="H63" s="10" t="n">
        <x:v>9.95</x:v>
      </x:c>
      <x:c r="I63" s="10" t="n">
        <x:v>2.5</x:v>
      </x:c>
      <x:c r="J63" s="10" t="n">
        <x:v>7.45</x:v>
      </x:c>
      <x:c r="K63" s="2" t="n">
        <x:v>1</x:v>
      </x:c>
      <x:c r="L63" s="2" t="n">
        <x:v>0</x:v>
      </x:c>
    </x:row>
    <x:row r="64" ht="20" customHeight="1">
      <x:c r="A64" s="9" t="n">
        <x:v>46265</x:v>
      </x:c>
      <x:c r="B64" s="2" t="str">
        <x:v>MM-1072</x:v>
      </x:c>
      <x:c r="C64" s="2" t="str">
        <x:v>Organic Search</x:v>
      </x:c>
      <x:c r="D64" s="2" t="str">
        <x:v>CUS-118</x:v>
      </x:c>
      <x:c r="E64" s="10" t="n">
        <x:v>29.85</x:v>
      </x:c>
      <x:c r="F64" s="10" t="n">
        <x:v>0</x:v>
      </x:c>
      <x:c r="G64" s="10" t="n">
        <x:v>0</x:v>
      </x:c>
      <x:c r="H64" s="10" t="n">
        <x:v>29.85</x:v>
      </x:c>
      <x:c r="I64" s="10" t="n">
        <x:v>7.5</x:v>
      </x:c>
      <x:c r="J64" s="10" t="n">
        <x:v>22.35</x:v>
      </x:c>
      <x:c r="K64" s="2" t="n">
        <x:v>3</x:v>
      </x:c>
      <x:c r="L64" s="2" t="n">
        <x:v>0</x:v>
      </x:c>
    </x:row>
    <x:row r="65" ht="20" customHeight="1">
      <x:c r="A65" s="9" t="n">
        <x:v>46265</x:v>
      </x:c>
      <x:c r="B65" s="2" t="str">
        <x:v>MM-1063</x:v>
      </x:c>
      <x:c r="C65" s="2" t="str">
        <x:v>Email</x:v>
      </x:c>
      <x:c r="D65" s="2" t="str">
        <x:v>CUS-013</x:v>
      </x:c>
      <x:c r="E65" s="10" t="n">
        <x:v>54.95</x:v>
      </x:c>
      <x:c r="F65" s="10" t="n">
        <x:v>5.49</x:v>
      </x:c>
      <x:c r="G65" s="10" t="n">
        <x:v>0</x:v>
      </x:c>
      <x:c r="H65" s="10" t="n">
        <x:v>49.46</x:v>
      </x:c>
      <x:c r="I65" s="10" t="n">
        <x:v>22</x:v>
      </x:c>
      <x:c r="J65" s="10" t="n">
        <x:v>27.46</x:v>
      </x:c>
      <x:c r="K65" s="2" t="n">
        <x:v>1</x:v>
      </x:c>
      <x:c r="L65" s="2" t="n">
        <x:v>0</x:v>
      </x:c>
    </x:row>
    <x:row r="66" ht="20" customHeight="1">
      <x:c r="A66" s="9" t="n">
        <x:v>46265</x:v>
      </x:c>
      <x:c r="B66" s="2" t="str">
        <x:v>MM-1077</x:v>
      </x:c>
      <x:c r="C66" s="2" t="str">
        <x:v>Direct</x:v>
      </x:c>
      <x:c r="D66" s="2" t="str">
        <x:v>CUS-091</x:v>
      </x:c>
      <x:c r="E66" s="10" t="n">
        <x:v>59.95</x:v>
      </x:c>
      <x:c r="F66" s="10" t="n">
        <x:v>0</x:v>
      </x:c>
      <x:c r="G66" s="10" t="n">
        <x:v>0</x:v>
      </x:c>
      <x:c r="H66" s="10" t="n">
        <x:v>59.95</x:v>
      </x:c>
      <x:c r="I66" s="10" t="n">
        <x:v>24</x:v>
      </x:c>
      <x:c r="J66" s="10" t="n">
        <x:v>35.95</x:v>
      </x:c>
      <x:c r="K66" s="2" t="n">
        <x:v>1</x:v>
      </x:c>
      <x:c r="L66" s="2" t="n">
        <x:v>0</x:v>
      </x:c>
    </x:row>
    <x:row r="67" ht="20" customHeight="1">
      <x:c r="A67" s="9" t="n">
        <x:v>46265</x:v>
      </x:c>
      <x:c r="B67" s="2" t="str">
        <x:v>MM-1058</x:v>
      </x:c>
      <x:c r="C67" s="2" t="str">
        <x:v>Organic Search</x:v>
      </x:c>
      <x:c r="D67" s="2" t="str">
        <x:v>CUS-075</x:v>
      </x:c>
      <x:c r="E67" s="10" t="n">
        <x:v>53.9</x:v>
      </x:c>
      <x:c r="F67" s="10" t="n">
        <x:v>0</x:v>
      </x:c>
      <x:c r="G67" s="10" t="n">
        <x:v>0</x:v>
      </x:c>
      <x:c r="H67" s="10" t="n">
        <x:v>53.9</x:v>
      </x:c>
      <x:c r="I67" s="10" t="n">
        <x:v>20</x:v>
      </x:c>
      <x:c r="J67" s="10" t="n">
        <x:v>33.9</x:v>
      </x:c>
      <x:c r="K67" s="2" t="n">
        <x:v>2</x:v>
      </x:c>
      <x:c r="L67" s="2" t="n">
        <x:v>0</x:v>
      </x:c>
    </x:row>
    <x:row r="68" ht="20" customHeight="1">
      <x:c r="A68" s="9" t="n">
        <x:v>46265</x:v>
      </x:c>
      <x:c r="B68" s="2" t="str">
        <x:v>MM-1059</x:v>
      </x:c>
      <x:c r="C68" s="2" t="str">
        <x:v>Email</x:v>
      </x:c>
      <x:c r="D68" s="2" t="str">
        <x:v>CUS-038</x:v>
      </x:c>
      <x:c r="E68" s="10" t="n">
        <x:v>55.85</x:v>
      </x:c>
      <x:c r="F68" s="10" t="n">
        <x:v>5.57</x:v>
      </x:c>
      <x:c r="G68" s="10" t="n">
        <x:v>0</x:v>
      </x:c>
      <x:c r="H68" s="10" t="n">
        <x:v>50.28</x:v>
      </x:c>
      <x:c r="I68" s="10" t="n">
        <x:v>18</x:v>
      </x:c>
      <x:c r="J68" s="10" t="n">
        <x:v>32.28</x:v>
      </x:c>
      <x:c r="K68" s="2" t="n">
        <x:v>3</x:v>
      </x:c>
      <x:c r="L68" s="2" t="n">
        <x:v>0</x:v>
      </x:c>
    </x:row>
    <x:row r="69" ht="20" customHeight="1">
      <x:c r="A69" s="9" t="n">
        <x:v>46265</x:v>
      </x:c>
      <x:c r="B69" s="2" t="str">
        <x:v>MM-1080</x:v>
      </x:c>
      <x:c r="C69" s="2" t="str">
        <x:v>Organic Search</x:v>
      </x:c>
      <x:c r="D69" s="2" t="str">
        <x:v>CUS-039</x:v>
      </x:c>
      <x:c r="E69" s="10" t="n">
        <x:v>49.9</x:v>
      </x:c>
      <x:c r="F69" s="10" t="n">
        <x:v>0</x:v>
      </x:c>
      <x:c r="G69" s="10" t="n">
        <x:v>0</x:v>
      </x:c>
      <x:c r="H69" s="10" t="n">
        <x:v>49.9</x:v>
      </x:c>
      <x:c r="I69" s="10" t="n">
        <x:v>17</x:v>
      </x:c>
      <x:c r="J69" s="10" t="n">
        <x:v>32.9</x:v>
      </x:c>
      <x:c r="K69" s="2" t="n">
        <x:v>2</x:v>
      </x:c>
      <x:c r="L69" s="2" t="n">
        <x:v>0</x:v>
      </x:c>
    </x:row>
    <x:row r="70" ht="20" customHeight="1">
      <x:c r="A70" s="9" t="n">
        <x:v>46265</x:v>
      </x:c>
      <x:c r="B70" s="2" t="str">
        <x:v>MM-1079</x:v>
      </x:c>
      <x:c r="C70" s="2" t="str">
        <x:v>Email</x:v>
      </x:c>
      <x:c r="D70" s="2" t="str">
        <x:v>CUS-163</x:v>
      </x:c>
      <x:c r="E70" s="10" t="n">
        <x:v>98.9</x:v>
      </x:c>
      <x:c r="F70" s="10" t="n">
        <x:v>9.88</x:v>
      </x:c>
      <x:c r="G70" s="10" t="n">
        <x:v>0</x:v>
      </x:c>
      <x:c r="H70" s="10" t="n">
        <x:v>89.02</x:v>
      </x:c>
      <x:c r="I70" s="10" t="n">
        <x:v>38.5</x:v>
      </x:c>
      <x:c r="J70" s="10" t="n">
        <x:v>50.52</x:v>
      </x:c>
      <x:c r="K70" s="2" t="n">
        <x:v>2</x:v>
      </x:c>
      <x:c r="L70" s="2" t="n">
        <x:v>0</x:v>
      </x:c>
    </x:row>
    <x:row r="71" ht="20" customHeight="1">
      <x:c r="A71" s="9" t="n">
        <x:v>46265</x:v>
      </x:c>
      <x:c r="B71" s="2" t="str">
        <x:v>MM-1062</x:v>
      </x:c>
      <x:c r="C71" s="2" t="str">
        <x:v>Direct</x:v>
      </x:c>
      <x:c r="D71" s="2" t="str">
        <x:v>CUS-061</x:v>
      </x:c>
      <x:c r="E71" s="10" t="n">
        <x:v>139.9</x:v>
      </x:c>
      <x:c r="F71" s="10" t="n">
        <x:v>0</x:v>
      </x:c>
      <x:c r="G71" s="10" t="n">
        <x:v>0</x:v>
      </x:c>
      <x:c r="H71" s="10" t="n">
        <x:v>139.9</x:v>
      </x:c>
      <x:c r="I71" s="10" t="n">
        <x:v>56</x:v>
      </x:c>
      <x:c r="J71" s="10" t="n">
        <x:v>83.9</x:v>
      </x:c>
      <x:c r="K71" s="2" t="n">
        <x:v>2</x:v>
      </x:c>
      <x:c r="L71" s="2" t="n">
        <x:v>0</x:v>
      </x:c>
    </x:row>
    <x:row r="72" ht="20" customHeight="1">
      <x:c r="A72" s="9" t="n">
        <x:v>46265</x:v>
      </x:c>
      <x:c r="B72" s="2" t="str">
        <x:v>MM-1068</x:v>
      </x:c>
      <x:c r="C72" s="2" t="str">
        <x:v>Paid Social</x:v>
      </x:c>
      <x:c r="D72" s="2" t="str">
        <x:v>CUS-097</x:v>
      </x:c>
      <x:c r="E72" s="10" t="n">
        <x:v>59.95</x:v>
      </x:c>
      <x:c r="F72" s="10" t="n">
        <x:v>0</x:v>
      </x:c>
      <x:c r="G72" s="10" t="n">
        <x:v>0</x:v>
      </x:c>
      <x:c r="H72" s="10" t="n">
        <x:v>59.95</x:v>
      </x:c>
      <x:c r="I72" s="10" t="n">
        <x:v>24</x:v>
      </x:c>
      <x:c r="J72" s="10" t="n">
        <x:v>35.95</x:v>
      </x:c>
      <x:c r="K72" s="2" t="n">
        <x:v>1</x:v>
      </x:c>
      <x:c r="L72" s="2" t="n">
        <x:v>0</x:v>
      </x:c>
    </x:row>
    <x:row r="73" ht="20" customHeight="1">
      <x:c r="A73" s="9" t="n">
        <x:v>46265</x:v>
      </x:c>
      <x:c r="B73" s="2" t="str">
        <x:v>MM-1065</x:v>
      </x:c>
      <x:c r="C73" s="2" t="str">
        <x:v>Organic Search</x:v>
      </x:c>
      <x:c r="D73" s="2" t="str">
        <x:v>CUS-074</x:v>
      </x:c>
      <x:c r="E73" s="10" t="n">
        <x:v>37.9</x:v>
      </x:c>
      <x:c r="F73" s="10" t="n">
        <x:v>0</x:v>
      </x:c>
      <x:c r="G73" s="10" t="n">
        <x:v>0</x:v>
      </x:c>
      <x:c r="H73" s="10" t="n">
        <x:v>37.9</x:v>
      </x:c>
      <x:c r="I73" s="10" t="n">
        <x:v>13</x:v>
      </x:c>
      <x:c r="J73" s="10" t="n">
        <x:v>24.9</x:v>
      </x:c>
      <x:c r="K73" s="2" t="n">
        <x:v>2</x:v>
      </x:c>
      <x:c r="L73" s="2" t="n">
        <x:v>0</x:v>
      </x:c>
    </x:row>
    <x:row r="74" ht="20" customHeight="1">
      <x:c r="A74" s="9" t="n">
        <x:v>46265</x:v>
      </x:c>
      <x:c r="B74" s="2" t="str">
        <x:v>MM-1076</x:v>
      </x:c>
      <x:c r="C74" s="2" t="str">
        <x:v>Email</x:v>
      </x:c>
      <x:c r="D74" s="2" t="str">
        <x:v>CUS-029</x:v>
      </x:c>
      <x:c r="E74" s="10" t="n">
        <x:v>119.9</x:v>
      </x:c>
      <x:c r="F74" s="10" t="n">
        <x:v>11.99</x:v>
      </x:c>
      <x:c r="G74" s="10" t="n">
        <x:v>0</x:v>
      </x:c>
      <x:c r="H74" s="10" t="n">
        <x:v>107.91</x:v>
      </x:c>
      <x:c r="I74" s="10" t="n">
        <x:v>48</x:v>
      </x:c>
      <x:c r="J74" s="10" t="n">
        <x:v>59.91</x:v>
      </x:c>
      <x:c r="K74" s="2" t="n">
        <x:v>2</x:v>
      </x:c>
      <x:c r="L74" s="2" t="n">
        <x:v>0</x:v>
      </x:c>
    </x:row>
    <x:row r="75" ht="20" customHeight="1">
      <x:c r="A75" s="9" t="n">
        <x:v>46265</x:v>
      </x:c>
      <x:c r="B75" s="2" t="str">
        <x:v>MM-1074</x:v>
      </x:c>
      <x:c r="C75" s="2" t="str">
        <x:v>Organic Search</x:v>
      </x:c>
      <x:c r="D75" s="2" t="str">
        <x:v>CUS-169</x:v>
      </x:c>
      <x:c r="E75" s="10" t="n">
        <x:v>34.9</x:v>
      </x:c>
      <x:c r="F75" s="10" t="n">
        <x:v>0</x:v>
      </x:c>
      <x:c r="G75" s="10" t="n">
        <x:v>0</x:v>
      </x:c>
      <x:c r="H75" s="10" t="n">
        <x:v>34.9</x:v>
      </x:c>
      <x:c r="I75" s="10" t="n">
        <x:v>11.5</x:v>
      </x:c>
      <x:c r="J75" s="10" t="n">
        <x:v>23.4</x:v>
      </x:c>
      <x:c r="K75" s="2" t="n">
        <x:v>2</x:v>
      </x:c>
      <x:c r="L75" s="2" t="n">
        <x:v>0</x:v>
      </x:c>
    </x:row>
    <x:row r="76" ht="20" customHeight="1">
      <x:c r="A76" s="9" t="n">
        <x:v>46265</x:v>
      </x:c>
      <x:c r="B76" s="2" t="str">
        <x:v>MM-1075</x:v>
      </x:c>
      <x:c r="C76" s="2" t="str">
        <x:v>Direct</x:v>
      </x:c>
      <x:c r="D76" s="2" t="str">
        <x:v>CUS-044</x:v>
      </x:c>
      <x:c r="E76" s="10" t="n">
        <x:v>19.95</x:v>
      </x:c>
      <x:c r="F76" s="10" t="n">
        <x:v>1.99</x:v>
      </x:c>
      <x:c r="G76" s="10" t="n">
        <x:v>0</x:v>
      </x:c>
      <x:c r="H76" s="10" t="n">
        <x:v>17.96</x:v>
      </x:c>
      <x:c r="I76" s="10" t="n">
        <x:v>6</x:v>
      </x:c>
      <x:c r="J76" s="10" t="n">
        <x:v>11.96</x:v>
      </x:c>
      <x:c r="K76" s="2" t="n">
        <x:v>1</x:v>
      </x:c>
      <x:c r="L76" s="2" t="n">
        <x:v>0</x:v>
      </x:c>
    </x:row>
    <x:row r="77" ht="20" customHeight="1">
      <x:c r="A77" s="9" t="n">
        <x:v>46265</x:v>
      </x:c>
      <x:c r="B77" s="2" t="str">
        <x:v>MM-1078</x:v>
      </x:c>
      <x:c r="C77" s="2" t="str">
        <x:v>Organic Search</x:v>
      </x:c>
      <x:c r="D77" s="2" t="str">
        <x:v>CUS-122</x:v>
      </x:c>
      <x:c r="E77" s="10" t="n">
        <x:v>69.95</x:v>
      </x:c>
      <x:c r="F77" s="10" t="n">
        <x:v>0</x:v>
      </x:c>
      <x:c r="G77" s="10" t="n">
        <x:v>0</x:v>
      </x:c>
      <x:c r="H77" s="10" t="n">
        <x:v>69.95</x:v>
      </x:c>
      <x:c r="I77" s="10" t="n">
        <x:v>28</x:v>
      </x:c>
      <x:c r="J77" s="10" t="n">
        <x:v>41.95</x:v>
      </x:c>
      <x:c r="K77" s="2" t="n">
        <x:v>1</x:v>
      </x:c>
      <x:c r="L77" s="2" t="n">
        <x:v>0</x:v>
      </x:c>
    </x:row>
    <x:row r="78" ht="20" customHeight="1">
      <x:c r="A78" s="9" t="n">
        <x:v>46265</x:v>
      </x:c>
      <x:c r="B78" s="2" t="str">
        <x:v>MM-1060</x:v>
      </x:c>
      <x:c r="C78" s="2" t="str">
        <x:v>Organic Search</x:v>
      </x:c>
      <x:c r="D78" s="2" t="str">
        <x:v>CUS-125</x:v>
      </x:c>
      <x:c r="E78" s="10" t="n">
        <x:v>79.95</x:v>
      </x:c>
      <x:c r="F78" s="10" t="n">
        <x:v>0</x:v>
      </x:c>
      <x:c r="G78" s="10" t="n">
        <x:v>0</x:v>
      </x:c>
      <x:c r="H78" s="10" t="n">
        <x:v>79.95</x:v>
      </x:c>
      <x:c r="I78" s="10" t="n">
        <x:v>32</x:v>
      </x:c>
      <x:c r="J78" s="10" t="n">
        <x:v>47.95</x:v>
      </x:c>
      <x:c r="K78" s="2" t="n">
        <x:v>1</x:v>
      </x:c>
      <x:c r="L78" s="2" t="n">
        <x:v>0</x:v>
      </x:c>
    </x:row>
    <x:row r="79" ht="20" customHeight="1">
      <x:c r="A79" s="9" t="n">
        <x:v>46265</x:v>
      </x:c>
      <x:c r="B79" s="2" t="str">
        <x:v>MM-1071</x:v>
      </x:c>
      <x:c r="C79" s="2" t="str">
        <x:v>Direct</x:v>
      </x:c>
      <x:c r="D79" s="2" t="str">
        <x:v>CUS-058</x:v>
      </x:c>
      <x:c r="E79" s="10" t="n">
        <x:v>22.95</x:v>
      </x:c>
      <x:c r="F79" s="10" t="n">
        <x:v>0</x:v>
      </x:c>
      <x:c r="G79" s="10" t="n">
        <x:v>0</x:v>
      </x:c>
      <x:c r="H79" s="10" t="n">
        <x:v>22.95</x:v>
      </x:c>
      <x:c r="I79" s="10" t="n">
        <x:v>8.5</x:v>
      </x:c>
      <x:c r="J79" s="10" t="n">
        <x:v>14.45</x:v>
      </x:c>
      <x:c r="K79" s="2" t="n">
        <x:v>1</x:v>
      </x:c>
      <x:c r="L79" s="2" t="n">
        <x:v>0</x:v>
      </x:c>
    </x:row>
    <x:row r="80" ht="20" customHeight="1">
      <x:c r="A80" s="9" t="n">
        <x:v>46265</x:v>
      </x:c>
      <x:c r="B80" s="2" t="str">
        <x:v>MM-1073</x:v>
      </x:c>
      <x:c r="C80" s="2" t="str">
        <x:v>Paid Social</x:v>
      </x:c>
      <x:c r="D80" s="2" t="str">
        <x:v>CUS-047</x:v>
      </x:c>
      <x:c r="E80" s="10" t="n">
        <x:v>62.85</x:v>
      </x:c>
      <x:c r="F80" s="10" t="n">
        <x:v>0</x:v>
      </x:c>
      <x:c r="G80" s="10" t="n">
        <x:v>0</x:v>
      </x:c>
      <x:c r="H80" s="10" t="n">
        <x:v>62.85</x:v>
      </x:c>
      <x:c r="I80" s="10" t="n">
        <x:v>21.5</x:v>
      </x:c>
      <x:c r="J80" s="10" t="n">
        <x:v>41.35</x:v>
      </x:c>
      <x:c r="K80" s="2" t="n">
        <x:v>3</x:v>
      </x:c>
      <x:c r="L80" s="2" t="n">
        <x:v>0</x:v>
      </x:c>
    </x:row>
    <x:row r="81" ht="20" customHeight="1">
      <x:c r="A81" s="9" t="n">
        <x:v>46265</x:v>
      </x:c>
      <x:c r="B81" s="2" t="str">
        <x:v>MM-1061</x:v>
      </x:c>
      <x:c r="C81" s="2" t="str">
        <x:v>Organic Search</x:v>
      </x:c>
      <x:c r="D81" s="2" t="str">
        <x:v>CUS-146</x:v>
      </x:c>
      <x:c r="E81" s="10" t="n">
        <x:v>24.95</x:v>
      </x:c>
      <x:c r="F81" s="10" t="n">
        <x:v>0</x:v>
      </x:c>
      <x:c r="G81" s="10" t="n">
        <x:v>0</x:v>
      </x:c>
      <x:c r="H81" s="10" t="n">
        <x:v>24.95</x:v>
      </x:c>
      <x:c r="I81" s="10" t="n">
        <x:v>8.5</x:v>
      </x:c>
      <x:c r="J81" s="10" t="n">
        <x:v>16.45</x:v>
      </x:c>
      <x:c r="K81" s="2" t="n">
        <x:v>1</x:v>
      </x:c>
      <x:c r="L81" s="2" t="n">
        <x:v>0</x:v>
      </x:c>
    </x:row>
    <x:row r="82" ht="20" customHeight="1">
      <x:c r="A82" s="9" t="n">
        <x:v>46265</x:v>
      </x:c>
      <x:c r="B82" s="2" t="str">
        <x:v>MM-1066</x:v>
      </x:c>
      <x:c r="C82" s="2" t="str">
        <x:v>Direct</x:v>
      </x:c>
      <x:c r="D82" s="2" t="str">
        <x:v>CUS-114</x:v>
      </x:c>
      <x:c r="E82" s="10" t="n">
        <x:v>12.95</x:v>
      </x:c>
      <x:c r="F82" s="10" t="n">
        <x:v>1.29</x:v>
      </x:c>
      <x:c r="G82" s="10" t="n">
        <x:v>0</x:v>
      </x:c>
      <x:c r="H82" s="10" t="n">
        <x:v>11.66</x:v>
      </x:c>
      <x:c r="I82" s="10" t="n">
        <x:v>3.5</x:v>
      </x:c>
      <x:c r="J82" s="10" t="n">
        <x:v>8.16</x:v>
      </x:c>
      <x:c r="K82" s="2" t="n">
        <x:v>1</x:v>
      </x:c>
      <x:c r="L82" s="2" t="n">
        <x:v>0</x:v>
      </x:c>
    </x:row>
    <x:row r="83" ht="20" customHeight="1">
      <x:c r="A83" s="9" t="n">
        <x:v>46266</x:v>
      </x:c>
      <x:c r="B83" s="2" t="str">
        <x:v>MM-1085</x:v>
      </x:c>
      <x:c r="C83" s="2" t="str">
        <x:v>Organic Search</x:v>
      </x:c>
      <x:c r="D83" s="2" t="str">
        <x:v>CUS-090</x:v>
      </x:c>
      <x:c r="E83" s="10" t="n">
        <x:v>92.9</x:v>
      </x:c>
      <x:c r="F83" s="10" t="n">
        <x:v>0</x:v>
      </x:c>
      <x:c r="G83" s="10" t="n">
        <x:v>0</x:v>
      </x:c>
      <x:c r="H83" s="10" t="n">
        <x:v>92.9</x:v>
      </x:c>
      <x:c r="I83" s="10" t="n">
        <x:v>36</x:v>
      </x:c>
      <x:c r="J83" s="10" t="n">
        <x:v>56.9</x:v>
      </x:c>
      <x:c r="K83" s="2" t="n">
        <x:v>2</x:v>
      </x:c>
      <x:c r="L83" s="2" t="n">
        <x:v>0</x:v>
      </x:c>
    </x:row>
    <x:row r="84" ht="20" customHeight="1">
      <x:c r="A84" s="9" t="n">
        <x:v>46266</x:v>
      </x:c>
      <x:c r="B84" s="2" t="str">
        <x:v>MM-1089</x:v>
      </x:c>
      <x:c r="C84" s="2" t="str">
        <x:v>Email</x:v>
      </x:c>
      <x:c r="D84" s="2" t="str">
        <x:v>CUS-090</x:v>
      </x:c>
      <x:c r="E84" s="10" t="n">
        <x:v>29.95</x:v>
      </x:c>
      <x:c r="F84" s="10" t="n">
        <x:v>2.99</x:v>
      </x:c>
      <x:c r="G84" s="10" t="n">
        <x:v>0</x:v>
      </x:c>
      <x:c r="H84" s="10" t="n">
        <x:v>26.96</x:v>
      </x:c>
      <x:c r="I84" s="10" t="n">
        <x:v>10</x:v>
      </x:c>
      <x:c r="J84" s="10" t="n">
        <x:v>16.96</x:v>
      </x:c>
      <x:c r="K84" s="2" t="n">
        <x:v>1</x:v>
      </x:c>
      <x:c r="L84" s="2" t="n">
        <x:v>0</x:v>
      </x:c>
    </x:row>
    <x:row r="85" ht="20" customHeight="1">
      <x:c r="A85" s="9" t="n">
        <x:v>46266</x:v>
      </x:c>
      <x:c r="B85" s="2" t="str">
        <x:v>MM-1098</x:v>
      </x:c>
      <x:c r="C85" s="2" t="str">
        <x:v>Email</x:v>
      </x:c>
      <x:c r="D85" s="2" t="str">
        <x:v>CUS-168</x:v>
      </x:c>
      <x:c r="E85" s="10" t="n">
        <x:v>79.95</x:v>
      </x:c>
      <x:c r="F85" s="10" t="n">
        <x:v>7.99</x:v>
      </x:c>
      <x:c r="G85" s="10" t="n">
        <x:v>0</x:v>
      </x:c>
      <x:c r="H85" s="10" t="n">
        <x:v>71.96</x:v>
      </x:c>
      <x:c r="I85" s="10" t="n">
        <x:v>32</x:v>
      </x:c>
      <x:c r="J85" s="10" t="n">
        <x:v>39.96</x:v>
      </x:c>
      <x:c r="K85" s="2" t="n">
        <x:v>1</x:v>
      </x:c>
      <x:c r="L85" s="2" t="n">
        <x:v>0</x:v>
      </x:c>
    </x:row>
    <x:row r="86" ht="20" customHeight="1">
      <x:c r="A86" s="9" t="n">
        <x:v>46266</x:v>
      </x:c>
      <x:c r="B86" s="2" t="str">
        <x:v>MM-1095</x:v>
      </x:c>
      <x:c r="C86" s="2" t="str">
        <x:v>Paid Social</x:v>
      </x:c>
      <x:c r="D86" s="2" t="str">
        <x:v>CUS-086</x:v>
      </x:c>
      <x:c r="E86" s="10" t="n">
        <x:v>32.95</x:v>
      </x:c>
      <x:c r="F86" s="10" t="n">
        <x:v>0</x:v>
      </x:c>
      <x:c r="G86" s="10" t="n">
        <x:v>0</x:v>
      </x:c>
      <x:c r="H86" s="10" t="n">
        <x:v>32.95</x:v>
      </x:c>
      <x:c r="I86" s="10" t="n">
        <x:v>12</x:v>
      </x:c>
      <x:c r="J86" s="10" t="n">
        <x:v>20.95</x:v>
      </x:c>
      <x:c r="K86" s="2" t="n">
        <x:v>1</x:v>
      </x:c>
      <x:c r="L86" s="2" t="n">
        <x:v>0</x:v>
      </x:c>
    </x:row>
    <x:row r="87" ht="20" customHeight="1">
      <x:c r="A87" s="9" t="n">
        <x:v>46266</x:v>
      </x:c>
      <x:c r="B87" s="2" t="str">
        <x:v>MM-1081</x:v>
      </x:c>
      <x:c r="C87" s="2" t="str">
        <x:v>Direct</x:v>
      </x:c>
      <x:c r="D87" s="2" t="str">
        <x:v>CUS-017</x:v>
      </x:c>
      <x:c r="E87" s="10" t="n">
        <x:v>52.9</x:v>
      </x:c>
      <x:c r="F87" s="10" t="n">
        <x:v>0</x:v>
      </x:c>
      <x:c r="G87" s="10" t="n">
        <x:v>0</x:v>
      </x:c>
      <x:c r="H87" s="10" t="n">
        <x:v>52.9</x:v>
      </x:c>
      <x:c r="I87" s="10" t="n">
        <x:v>18</x:v>
      </x:c>
      <x:c r="J87" s="10" t="n">
        <x:v>34.9</x:v>
      </x:c>
      <x:c r="K87" s="2" t="n">
        <x:v>2</x:v>
      </x:c>
      <x:c r="L87" s="2" t="n">
        <x:v>0</x:v>
      </x:c>
    </x:row>
    <x:row r="88" ht="20" customHeight="1">
      <x:c r="A88" s="9" t="n">
        <x:v>46266</x:v>
      </x:c>
      <x:c r="B88" s="2" t="str">
        <x:v>MM-1084</x:v>
      </x:c>
      <x:c r="C88" s="2" t="str">
        <x:v>Organic Search</x:v>
      </x:c>
      <x:c r="D88" s="2" t="str">
        <x:v>CUS-071</x:v>
      </x:c>
      <x:c r="E88" s="10" t="n">
        <x:v>34.95</x:v>
      </x:c>
      <x:c r="F88" s="10" t="n">
        <x:v>0</x:v>
      </x:c>
      <x:c r="G88" s="10" t="n">
        <x:v>0</x:v>
      </x:c>
      <x:c r="H88" s="10" t="n">
        <x:v>34.95</x:v>
      </x:c>
      <x:c r="I88" s="10" t="n">
        <x:v>13.5</x:v>
      </x:c>
      <x:c r="J88" s="10" t="n">
        <x:v>21.45</x:v>
      </x:c>
      <x:c r="K88" s="2" t="n">
        <x:v>1</x:v>
      </x:c>
      <x:c r="L88" s="2" t="n">
        <x:v>0</x:v>
      </x:c>
    </x:row>
    <x:row r="89" ht="20" customHeight="1">
      <x:c r="A89" s="9" t="n">
        <x:v>46266</x:v>
      </x:c>
      <x:c r="B89" s="2" t="str">
        <x:v>MM-1088</x:v>
      </x:c>
      <x:c r="C89" s="2" t="str">
        <x:v>Organic Search</x:v>
      </x:c>
      <x:c r="D89" s="2" t="str">
        <x:v>CUS-018</x:v>
      </x:c>
      <x:c r="E89" s="10" t="n">
        <x:v>38.9</x:v>
      </x:c>
      <x:c r="F89" s="10" t="n">
        <x:v>0</x:v>
      </x:c>
      <x:c r="G89" s="10" t="n">
        <x:v>0</x:v>
      </x:c>
      <x:c r="H89" s="10" t="n">
        <x:v>38.9</x:v>
      </x:c>
      <x:c r="I89" s="10" t="n">
        <x:v>12.5</x:v>
      </x:c>
      <x:c r="J89" s="10" t="n">
        <x:v>26.4</x:v>
      </x:c>
      <x:c r="K89" s="2" t="n">
        <x:v>2</x:v>
      </x:c>
      <x:c r="L89" s="2" t="n">
        <x:v>0</x:v>
      </x:c>
    </x:row>
    <x:row r="90" ht="20" customHeight="1">
      <x:c r="A90" s="9" t="n">
        <x:v>46266</x:v>
      </x:c>
      <x:c r="B90" s="2" t="str">
        <x:v>MM-1090</x:v>
      </x:c>
      <x:c r="C90" s="2" t="str">
        <x:v>Direct</x:v>
      </x:c>
      <x:c r="D90" s="2" t="str">
        <x:v>CUS-052</x:v>
      </x:c>
      <x:c r="E90" s="10" t="n">
        <x:v>79.95</x:v>
      </x:c>
      <x:c r="F90" s="10" t="n">
        <x:v>0</x:v>
      </x:c>
      <x:c r="G90" s="10" t="n">
        <x:v>0</x:v>
      </x:c>
      <x:c r="H90" s="10" t="n">
        <x:v>79.95</x:v>
      </x:c>
      <x:c r="I90" s="10" t="n">
        <x:v>32</x:v>
      </x:c>
      <x:c r="J90" s="10" t="n">
        <x:v>47.95</x:v>
      </x:c>
      <x:c r="K90" s="2" t="n">
        <x:v>1</x:v>
      </x:c>
      <x:c r="L90" s="2" t="n">
        <x:v>0</x:v>
      </x:c>
    </x:row>
    <x:row r="91" ht="20" customHeight="1">
      <x:c r="A91" s="9" t="n">
        <x:v>46266</x:v>
      </x:c>
      <x:c r="B91" s="2" t="str">
        <x:v>MM-1091</x:v>
      </x:c>
      <x:c r="C91" s="2" t="str">
        <x:v>Direct</x:v>
      </x:c>
      <x:c r="D91" s="2" t="str">
        <x:v>CUS-004</x:v>
      </x:c>
      <x:c r="E91" s="10" t="n">
        <x:v>97.75</x:v>
      </x:c>
      <x:c r="F91" s="10" t="n">
        <x:v>0</x:v>
      </x:c>
      <x:c r="G91" s="10" t="n">
        <x:v>34.95</x:v>
      </x:c>
      <x:c r="H91" s="10" t="n">
        <x:v>62.8</x:v>
      </x:c>
      <x:c r="I91" s="10" t="n">
        <x:v>19.5</x:v>
      </x:c>
      <x:c r="J91" s="10" t="n">
        <x:v>43.3</x:v>
      </x:c>
      <x:c r="K91" s="2" t="n">
        <x:v>5</x:v>
      </x:c>
      <x:c r="L91" s="2" t="n">
        <x:v>1</x:v>
      </x:c>
    </x:row>
    <x:row r="92" ht="20" customHeight="1">
      <x:c r="A92" s="9" t="n">
        <x:v>46266</x:v>
      </x:c>
      <x:c r="B92" s="2" t="str">
        <x:v>MM-1087</x:v>
      </x:c>
      <x:c r="C92" s="2" t="str">
        <x:v>Paid Social</x:v>
      </x:c>
      <x:c r="D92" s="2" t="str">
        <x:v>CUS-116</x:v>
      </x:c>
      <x:c r="E92" s="10" t="n">
        <x:v>98.85</x:v>
      </x:c>
      <x:c r="F92" s="10" t="n">
        <x:v>0</x:v>
      </x:c>
      <x:c r="G92" s="10" t="n">
        <x:v>0</x:v>
      </x:c>
      <x:c r="H92" s="10" t="n">
        <x:v>98.85</x:v>
      </x:c>
      <x:c r="I92" s="10" t="n">
        <x:v>36</x:v>
      </x:c>
      <x:c r="J92" s="10" t="n">
        <x:v>62.85</x:v>
      </x:c>
      <x:c r="K92" s="2" t="n">
        <x:v>3</x:v>
      </x:c>
      <x:c r="L92" s="2" t="n">
        <x:v>0</x:v>
      </x:c>
    </x:row>
    <x:row r="93" ht="20" customHeight="1">
      <x:c r="A93" s="9" t="n">
        <x:v>46266</x:v>
      </x:c>
      <x:c r="B93" s="2" t="str">
        <x:v>MM-1086</x:v>
      </x:c>
      <x:c r="C93" s="2" t="str">
        <x:v>Email</x:v>
      </x:c>
      <x:c r="D93" s="2" t="str">
        <x:v>CUS-040</x:v>
      </x:c>
      <x:c r="E93" s="10" t="n">
        <x:v>12.95</x:v>
      </x:c>
      <x:c r="F93" s="10" t="n">
        <x:v>1.29</x:v>
      </x:c>
      <x:c r="G93" s="10" t="n">
        <x:v>0</x:v>
      </x:c>
      <x:c r="H93" s="10" t="n">
        <x:v>11.66</x:v>
      </x:c>
      <x:c r="I93" s="10" t="n">
        <x:v>3.5</x:v>
      </x:c>
      <x:c r="J93" s="10" t="n">
        <x:v>8.16</x:v>
      </x:c>
      <x:c r="K93" s="2" t="n">
        <x:v>1</x:v>
      </x:c>
      <x:c r="L93" s="2" t="n">
        <x:v>0</x:v>
      </x:c>
    </x:row>
    <x:row r="94" ht="20" customHeight="1">
      <x:c r="A94" s="9" t="n">
        <x:v>46266</x:v>
      </x:c>
      <x:c r="B94" s="2" t="str">
        <x:v>MM-1083</x:v>
      </x:c>
      <x:c r="C94" s="2" t="str">
        <x:v>Organic Search</x:v>
      </x:c>
      <x:c r="D94" s="2" t="str">
        <x:v>CUS-097</x:v>
      </x:c>
      <x:c r="E94" s="10" t="n">
        <x:v>18.95</x:v>
      </x:c>
      <x:c r="F94" s="10" t="n">
        <x:v>0</x:v>
      </x:c>
      <x:c r="G94" s="10" t="n">
        <x:v>18.95</x:v>
      </x:c>
      <x:c r="H94" s="10" t="n">
        <x:v>0</x:v>
      </x:c>
      <x:c r="I94" s="10" t="n">
        <x:v>0</x:v>
      </x:c>
      <x:c r="J94" s="10" t="n">
        <x:v>0</x:v>
      </x:c>
      <x:c r="K94" s="2" t="n">
        <x:v>1</x:v>
      </x:c>
      <x:c r="L94" s="2" t="n">
        <x:v>1</x:v>
      </x:c>
    </x:row>
    <x:row r="95" ht="20" customHeight="1">
      <x:c r="A95" s="9" t="n">
        <x:v>46266</x:v>
      </x:c>
      <x:c r="B95" s="2" t="str">
        <x:v>MM-1082</x:v>
      </x:c>
      <x:c r="C95" s="2" t="str">
        <x:v>Email</x:v>
      </x:c>
      <x:c r="D95" s="2" t="str">
        <x:v>CUS-128</x:v>
      </x:c>
      <x:c r="E95" s="10" t="n">
        <x:v>37.9</x:v>
      </x:c>
      <x:c r="F95" s="10" t="n">
        <x:v>3.79</x:v>
      </x:c>
      <x:c r="G95" s="10" t="n">
        <x:v>0</x:v>
      </x:c>
      <x:c r="H95" s="10" t="n">
        <x:v>34.11</x:v>
      </x:c>
      <x:c r="I95" s="10" t="n">
        <x:v>13</x:v>
      </x:c>
      <x:c r="J95" s="10" t="n">
        <x:v>21.11</x:v>
      </x:c>
      <x:c r="K95" s="2" t="n">
        <x:v>2</x:v>
      </x:c>
      <x:c r="L95" s="2" t="n">
        <x:v>0</x:v>
      </x:c>
    </x:row>
    <x:row r="96" ht="20" customHeight="1">
      <x:c r="A96" s="9" t="n">
        <x:v>46266</x:v>
      </x:c>
      <x:c r="B96" s="2" t="str">
        <x:v>MM-1092</x:v>
      </x:c>
      <x:c r="C96" s="2" t="str">
        <x:v>Organic Search</x:v>
      </x:c>
      <x:c r="D96" s="2" t="str">
        <x:v>CUS-113</x:v>
      </x:c>
      <x:c r="E96" s="10" t="n">
        <x:v>19.95</x:v>
      </x:c>
      <x:c r="F96" s="10" t="n">
        <x:v>0</x:v>
      </x:c>
      <x:c r="G96" s="10" t="n">
        <x:v>0</x:v>
      </x:c>
      <x:c r="H96" s="10" t="n">
        <x:v>19.95</x:v>
      </x:c>
      <x:c r="I96" s="10" t="n">
        <x:v>6</x:v>
      </x:c>
      <x:c r="J96" s="10" t="n">
        <x:v>13.95</x:v>
      </x:c>
      <x:c r="K96" s="2" t="n">
        <x:v>1</x:v>
      </x:c>
      <x:c r="L96" s="2" t="n">
        <x:v>0</x:v>
      </x:c>
    </x:row>
    <x:row r="97" ht="20" customHeight="1">
      <x:c r="A97" s="9" t="n">
        <x:v>46266</x:v>
      </x:c>
      <x:c r="B97" s="2" t="str">
        <x:v>MM-1094</x:v>
      </x:c>
      <x:c r="C97" s="2" t="str">
        <x:v>Email</x:v>
      </x:c>
      <x:c r="D97" s="2" t="str">
        <x:v>CUS-029</x:v>
      </x:c>
      <x:c r="E97" s="10" t="n">
        <x:v>69.95</x:v>
      </x:c>
      <x:c r="F97" s="10" t="n">
        <x:v>6.99</x:v>
      </x:c>
      <x:c r="G97" s="10" t="n">
        <x:v>62.96</x:v>
      </x:c>
      <x:c r="H97" s="10" t="n">
        <x:v>0</x:v>
      </x:c>
      <x:c r="I97" s="10" t="n">
        <x:v>0</x:v>
      </x:c>
      <x:c r="J97" s="10" t="n">
        <x:v>0</x:v>
      </x:c>
      <x:c r="K97" s="2" t="n">
        <x:v>1</x:v>
      </x:c>
      <x:c r="L97" s="2" t="n">
        <x:v>1</x:v>
      </x:c>
    </x:row>
    <x:row r="98" ht="20" customHeight="1">
      <x:c r="A98" s="9" t="n">
        <x:v>46266</x:v>
      </x:c>
      <x:c r="B98" s="2" t="str">
        <x:v>MM-1096</x:v>
      </x:c>
      <x:c r="C98" s="2" t="str">
        <x:v>Email</x:v>
      </x:c>
      <x:c r="D98" s="2" t="str">
        <x:v>CUS-063</x:v>
      </x:c>
      <x:c r="E98" s="10" t="n">
        <x:v>24.95</x:v>
      </x:c>
      <x:c r="F98" s="10" t="n">
        <x:v>2.49</x:v>
      </x:c>
      <x:c r="G98" s="10" t="n">
        <x:v>0</x:v>
      </x:c>
      <x:c r="H98" s="10" t="n">
        <x:v>22.46</x:v>
      </x:c>
      <x:c r="I98" s="10" t="n">
        <x:v>8.5</x:v>
      </x:c>
      <x:c r="J98" s="10" t="n">
        <x:v>13.96</x:v>
      </x:c>
      <x:c r="K98" s="2" t="n">
        <x:v>1</x:v>
      </x:c>
      <x:c r="L98" s="2" t="n">
        <x:v>0</x:v>
      </x:c>
    </x:row>
    <x:row r="99" ht="20" customHeight="1">
      <x:c r="A99" s="9" t="n">
        <x:v>46266</x:v>
      </x:c>
      <x:c r="B99" s="2" t="str">
        <x:v>MM-1097</x:v>
      </x:c>
      <x:c r="C99" s="2" t="str">
        <x:v>Paid Social</x:v>
      </x:c>
      <x:c r="D99" s="2" t="str">
        <x:v>CUS-055</x:v>
      </x:c>
      <x:c r="E99" s="10" t="n">
        <x:v>48.85</x:v>
      </x:c>
      <x:c r="F99" s="10" t="n">
        <x:v>0</x:v>
      </x:c>
      <x:c r="G99" s="10" t="n">
        <x:v>0</x:v>
      </x:c>
      <x:c r="H99" s="10" t="n">
        <x:v>48.85</x:v>
      </x:c>
      <x:c r="I99" s="10" t="n">
        <x:v>15.5</x:v>
      </x:c>
      <x:c r="J99" s="10" t="n">
        <x:v>33.35</x:v>
      </x:c>
      <x:c r="K99" s="2" t="n">
        <x:v>3</x:v>
      </x:c>
      <x:c r="L99" s="2" t="n">
        <x:v>0</x:v>
      </x:c>
    </x:row>
    <x:row r="100" ht="20" customHeight="1">
      <x:c r="A100" s="9" t="n">
        <x:v>46267</x:v>
      </x:c>
      <x:c r="B100" s="2" t="str">
        <x:v>MM-1101</x:v>
      </x:c>
      <x:c r="C100" s="2" t="str">
        <x:v>Direct</x:v>
      </x:c>
      <x:c r="D100" s="2" t="str">
        <x:v>CUS-160</x:v>
      </x:c>
      <x:c r="E100" s="10" t="n">
        <x:v>24.95</x:v>
      </x:c>
      <x:c r="F100" s="10" t="n">
        <x:v>0</x:v>
      </x:c>
      <x:c r="G100" s="10" t="n">
        <x:v>0</x:v>
      </x:c>
      <x:c r="H100" s="10" t="n">
        <x:v>24.95</x:v>
      </x:c>
      <x:c r="I100" s="10" t="n">
        <x:v>9</x:v>
      </x:c>
      <x:c r="J100" s="10" t="n">
        <x:v>15.95</x:v>
      </x:c>
      <x:c r="K100" s="2" t="n">
        <x:v>1</x:v>
      </x:c>
      <x:c r="L100" s="2" t="n">
        <x:v>0</x:v>
      </x:c>
    </x:row>
    <x:row r="101" ht="20" customHeight="1">
      <x:c r="A101" s="9" t="n">
        <x:v>46267</x:v>
      </x:c>
      <x:c r="B101" s="2" t="str">
        <x:v>MM-1107</x:v>
      </x:c>
      <x:c r="C101" s="2" t="str">
        <x:v>Organic Search</x:v>
      </x:c>
      <x:c r="D101" s="2" t="str">
        <x:v>CUS-063</x:v>
      </x:c>
      <x:c r="E101" s="10" t="n">
        <x:v>78.8</x:v>
      </x:c>
      <x:c r="F101" s="10" t="n">
        <x:v>0.99</x:v>
      </x:c>
      <x:c r="G101" s="10" t="n">
        <x:v>0</x:v>
      </x:c>
      <x:c r="H101" s="10" t="n">
        <x:v>77.81</x:v>
      </x:c>
      <x:c r="I101" s="10" t="n">
        <x:v>28</x:v>
      </x:c>
      <x:c r="J101" s="10" t="n">
        <x:v>49.81</x:v>
      </x:c>
      <x:c r="K101" s="2" t="n">
        <x:v>4</x:v>
      </x:c>
      <x:c r="L101" s="2" t="n">
        <x:v>0</x:v>
      </x:c>
    </x:row>
    <x:row r="102" ht="20" customHeight="1">
      <x:c r="A102" s="9" t="n">
        <x:v>46267</x:v>
      </x:c>
      <x:c r="B102" s="2" t="str">
        <x:v>MM-1119</x:v>
      </x:c>
      <x:c r="C102" s="2" t="str">
        <x:v>Organic Search</x:v>
      </x:c>
      <x:c r="D102" s="2" t="str">
        <x:v>CUS-016</x:v>
      </x:c>
      <x:c r="E102" s="10" t="n">
        <x:v>9.95</x:v>
      </x:c>
      <x:c r="F102" s="10" t="n">
        <x:v>0</x:v>
      </x:c>
      <x:c r="G102" s="10" t="n">
        <x:v>0</x:v>
      </x:c>
      <x:c r="H102" s="10" t="n">
        <x:v>9.95</x:v>
      </x:c>
      <x:c r="I102" s="10" t="n">
        <x:v>2.5</x:v>
      </x:c>
      <x:c r="J102" s="10" t="n">
        <x:v>7.45</x:v>
      </x:c>
      <x:c r="K102" s="2" t="n">
        <x:v>1</x:v>
      </x:c>
      <x:c r="L102" s="2" t="n">
        <x:v>0</x:v>
      </x:c>
    </x:row>
    <x:row r="103" ht="20" customHeight="1">
      <x:c r="A103" s="9" t="n">
        <x:v>46267</x:v>
      </x:c>
      <x:c r="B103" s="2" t="str">
        <x:v>MM-1108</x:v>
      </x:c>
      <x:c r="C103" s="2" t="str">
        <x:v>Paid Social</x:v>
      </x:c>
      <x:c r="D103" s="2" t="str">
        <x:v>CUS-119</x:v>
      </x:c>
      <x:c r="E103" s="10" t="n">
        <x:v>49.9</x:v>
      </x:c>
      <x:c r="F103" s="10" t="n">
        <x:v>0</x:v>
      </x:c>
      <x:c r="G103" s="10" t="n">
        <x:v>0</x:v>
      </x:c>
      <x:c r="H103" s="10" t="n">
        <x:v>49.9</x:v>
      </x:c>
      <x:c r="I103" s="10" t="n">
        <x:v>18</x:v>
      </x:c>
      <x:c r="J103" s="10" t="n">
        <x:v>31.9</x:v>
      </x:c>
      <x:c r="K103" s="2" t="n">
        <x:v>2</x:v>
      </x:c>
      <x:c r="L103" s="2" t="n">
        <x:v>0</x:v>
      </x:c>
    </x:row>
    <x:row r="104" ht="20" customHeight="1">
      <x:c r="A104" s="9" t="n">
        <x:v>46267</x:v>
      </x:c>
      <x:c r="B104" s="2" t="str">
        <x:v>MM-1110</x:v>
      </x:c>
      <x:c r="C104" s="2" t="str">
        <x:v>Paid Social</x:v>
      </x:c>
      <x:c r="D104" s="2" t="str">
        <x:v>CUS-128</x:v>
      </x:c>
      <x:c r="E104" s="10" t="n">
        <x:v>57.9</x:v>
      </x:c>
      <x:c r="F104" s="10" t="n">
        <x:v>3.29</x:v>
      </x:c>
      <x:c r="G104" s="10" t="n">
        <x:v>24.95</x:v>
      </x:c>
      <x:c r="H104" s="10" t="n">
        <x:v>29.66</x:v>
      </x:c>
      <x:c r="I104" s="10" t="n">
        <x:v>12</x:v>
      </x:c>
      <x:c r="J104" s="10" t="n">
        <x:v>17.66</x:v>
      </x:c>
      <x:c r="K104" s="2" t="n">
        <x:v>2</x:v>
      </x:c>
      <x:c r="L104" s="2" t="n">
        <x:v>1</x:v>
      </x:c>
    </x:row>
    <x:row r="105" ht="20" customHeight="1">
      <x:c r="A105" s="9" t="n">
        <x:v>46267</x:v>
      </x:c>
      <x:c r="B105" s="2" t="str">
        <x:v>MM-1116</x:v>
      </x:c>
      <x:c r="C105" s="2" t="str">
        <x:v>Organic Search</x:v>
      </x:c>
      <x:c r="D105" s="2" t="str">
        <x:v>CUS-158</x:v>
      </x:c>
      <x:c r="E105" s="10" t="n">
        <x:v>84.85</x:v>
      </x:c>
      <x:c r="F105" s="10" t="n">
        <x:v>6.59</x:v>
      </x:c>
      <x:c r="G105" s="10" t="n">
        <x:v>0</x:v>
      </x:c>
      <x:c r="H105" s="10" t="n">
        <x:v>78.26</x:v>
      </x:c>
      <x:c r="I105" s="10" t="n">
        <x:v>30.5</x:v>
      </x:c>
      <x:c r="J105" s="10" t="n">
        <x:v>47.76</x:v>
      </x:c>
      <x:c r="K105" s="2" t="n">
        <x:v>3</x:v>
      </x:c>
      <x:c r="L105" s="2" t="n">
        <x:v>0</x:v>
      </x:c>
    </x:row>
    <x:row r="106" ht="20" customHeight="1">
      <x:c r="A106" s="9" t="n">
        <x:v>46267</x:v>
      </x:c>
      <x:c r="B106" s="2" t="str">
        <x:v>MM-1118</x:v>
      </x:c>
      <x:c r="C106" s="2" t="str">
        <x:v>Organic Search</x:v>
      </x:c>
      <x:c r="D106" s="2" t="str">
        <x:v>CUS-037</x:v>
      </x:c>
      <x:c r="E106" s="10" t="n">
        <x:v>79.95</x:v>
      </x:c>
      <x:c r="F106" s="10" t="n">
        <x:v>0</x:v>
      </x:c>
      <x:c r="G106" s="10" t="n">
        <x:v>0</x:v>
      </x:c>
      <x:c r="H106" s="10" t="n">
        <x:v>79.95</x:v>
      </x:c>
      <x:c r="I106" s="10" t="n">
        <x:v>32</x:v>
      </x:c>
      <x:c r="J106" s="10" t="n">
        <x:v>47.95</x:v>
      </x:c>
      <x:c r="K106" s="2" t="n">
        <x:v>1</x:v>
      </x:c>
      <x:c r="L106" s="2" t="n">
        <x:v>0</x:v>
      </x:c>
    </x:row>
    <x:row r="107" ht="20" customHeight="1">
      <x:c r="A107" s="9" t="n">
        <x:v>46267</x:v>
      </x:c>
      <x:c r="B107" s="2" t="str">
        <x:v>MM-1100</x:v>
      </x:c>
      <x:c r="C107" s="2" t="str">
        <x:v>Direct</x:v>
      </x:c>
      <x:c r="D107" s="2" t="str">
        <x:v>CUS-114</x:v>
      </x:c>
      <x:c r="E107" s="10" t="n">
        <x:v>31.9</x:v>
      </x:c>
      <x:c r="F107" s="10" t="n">
        <x:v>0</x:v>
      </x:c>
      <x:c r="G107" s="10" t="n">
        <x:v>0</x:v>
      </x:c>
      <x:c r="H107" s="10" t="n">
        <x:v>31.9</x:v>
      </x:c>
      <x:c r="I107" s="10" t="n">
        <x:v>10</x:v>
      </x:c>
      <x:c r="J107" s="10" t="n">
        <x:v>21.9</x:v>
      </x:c>
      <x:c r="K107" s="2" t="n">
        <x:v>2</x:v>
      </x:c>
      <x:c r="L107" s="2" t="n">
        <x:v>0</x:v>
      </x:c>
    </x:row>
    <x:row r="108" ht="20" customHeight="1">
      <x:c r="A108" s="9" t="n">
        <x:v>46267</x:v>
      </x:c>
      <x:c r="B108" s="2" t="str">
        <x:v>MM-1113</x:v>
      </x:c>
      <x:c r="C108" s="2" t="str">
        <x:v>Organic Search</x:v>
      </x:c>
      <x:c r="D108" s="2" t="str">
        <x:v>CUS-024</x:v>
      </x:c>
      <x:c r="E108" s="10" t="n">
        <x:v>9.95</x:v>
      </x:c>
      <x:c r="F108" s="10" t="n">
        <x:v>0</x:v>
      </x:c>
      <x:c r="G108" s="10" t="n">
        <x:v>0</x:v>
      </x:c>
      <x:c r="H108" s="10" t="n">
        <x:v>9.95</x:v>
      </x:c>
      <x:c r="I108" s="10" t="n">
        <x:v>2.5</x:v>
      </x:c>
      <x:c r="J108" s="10" t="n">
        <x:v>7.45</x:v>
      </x:c>
      <x:c r="K108" s="2" t="n">
        <x:v>1</x:v>
      </x:c>
      <x:c r="L108" s="2" t="n">
        <x:v>0</x:v>
      </x:c>
    </x:row>
    <x:row r="109" ht="20" customHeight="1">
      <x:c r="A109" s="9" t="n">
        <x:v>46267</x:v>
      </x:c>
      <x:c r="B109" s="2" t="str">
        <x:v>MM-1114</x:v>
      </x:c>
      <x:c r="C109" s="2" t="str">
        <x:v>Email</x:v>
      </x:c>
      <x:c r="D109" s="2" t="str">
        <x:v>CUS-145</x:v>
      </x:c>
      <x:c r="E109" s="10" t="n">
        <x:v>72.9</x:v>
      </x:c>
      <x:c r="F109" s="10" t="n">
        <x:v>7.28</x:v>
      </x:c>
      <x:c r="G109" s="10" t="n">
        <x:v>0</x:v>
      </x:c>
      <x:c r="H109" s="10" t="n">
        <x:v>65.62</x:v>
      </x:c>
      <x:c r="I109" s="10" t="n">
        <x:v>27.5</x:v>
      </x:c>
      <x:c r="J109" s="10" t="n">
        <x:v>38.12</x:v>
      </x:c>
      <x:c r="K109" s="2" t="n">
        <x:v>2</x:v>
      </x:c>
      <x:c r="L109" s="2" t="n">
        <x:v>0</x:v>
      </x:c>
    </x:row>
    <x:row r="110" ht="20" customHeight="1">
      <x:c r="A110" s="9" t="n">
        <x:v>46267</x:v>
      </x:c>
      <x:c r="B110" s="2" t="str">
        <x:v>MM-1121</x:v>
      </x:c>
      <x:c r="C110" s="2" t="str">
        <x:v>Email</x:v>
      </x:c>
      <x:c r="D110" s="2" t="str">
        <x:v>CUS-023</x:v>
      </x:c>
      <x:c r="E110" s="10" t="n">
        <x:v>49.9</x:v>
      </x:c>
      <x:c r="F110" s="10" t="n">
        <x:v>4.99</x:v>
      </x:c>
      <x:c r="G110" s="10" t="n">
        <x:v>0</x:v>
      </x:c>
      <x:c r="H110" s="10" t="n">
        <x:v>44.91</x:v>
      </x:c>
      <x:c r="I110" s="10" t="n">
        <x:v>18</x:v>
      </x:c>
      <x:c r="J110" s="10" t="n">
        <x:v>26.91</x:v>
      </x:c>
      <x:c r="K110" s="2" t="n">
        <x:v>2</x:v>
      </x:c>
      <x:c r="L110" s="2" t="n">
        <x:v>0</x:v>
      </x:c>
    </x:row>
    <x:row r="111" ht="20" customHeight="1">
      <x:c r="A111" s="9" t="n">
        <x:v>46267</x:v>
      </x:c>
      <x:c r="B111" s="2" t="str">
        <x:v>MM-1112</x:v>
      </x:c>
      <x:c r="C111" s="2" t="str">
        <x:v>Email</x:v>
      </x:c>
      <x:c r="D111" s="2" t="str">
        <x:v>CUS-134</x:v>
      </x:c>
      <x:c r="E111" s="10" t="n">
        <x:v>19.95</x:v>
      </x:c>
      <x:c r="F111" s="10" t="n">
        <x:v>1.99</x:v>
      </x:c>
      <x:c r="G111" s="10" t="n">
        <x:v>0</x:v>
      </x:c>
      <x:c r="H111" s="10" t="n">
        <x:v>17.96</x:v>
      </x:c>
      <x:c r="I111" s="10" t="n">
        <x:v>6</x:v>
      </x:c>
      <x:c r="J111" s="10" t="n">
        <x:v>11.96</x:v>
      </x:c>
      <x:c r="K111" s="2" t="n">
        <x:v>1</x:v>
      </x:c>
      <x:c r="L111" s="2" t="n">
        <x:v>0</x:v>
      </x:c>
    </x:row>
    <x:row r="112" ht="20" customHeight="1">
      <x:c r="A112" s="9" t="n">
        <x:v>46267</x:v>
      </x:c>
      <x:c r="B112" s="2" t="str">
        <x:v>MM-1117</x:v>
      </x:c>
      <x:c r="C112" s="2" t="str">
        <x:v>Direct</x:v>
      </x:c>
      <x:c r="D112" s="2" t="str">
        <x:v>CUS-179</x:v>
      </x:c>
      <x:c r="E112" s="10" t="n">
        <x:v>89.8</x:v>
      </x:c>
      <x:c r="F112" s="10" t="n">
        <x:v>6.98</x:v>
      </x:c>
      <x:c r="G112" s="10" t="n">
        <x:v>0</x:v>
      </x:c>
      <x:c r="H112" s="10" t="n">
        <x:v>82.82</x:v>
      </x:c>
      <x:c r="I112" s="10" t="n">
        <x:v>28.5</x:v>
      </x:c>
      <x:c r="J112" s="10" t="n">
        <x:v>54.32</x:v>
      </x:c>
      <x:c r="K112" s="2" t="n">
        <x:v>4</x:v>
      </x:c>
      <x:c r="L112" s="2" t="n">
        <x:v>0</x:v>
      </x:c>
    </x:row>
    <x:row r="113" ht="20" customHeight="1">
      <x:c r="A113" s="9" t="n">
        <x:v>46267</x:v>
      </x:c>
      <x:c r="B113" s="2" t="str">
        <x:v>MM-1109</x:v>
      </x:c>
      <x:c r="C113" s="2" t="str">
        <x:v>Paid Social</x:v>
      </x:c>
      <x:c r="D113" s="2" t="str">
        <x:v>CUS-067</x:v>
      </x:c>
      <x:c r="E113" s="10" t="n">
        <x:v>34.95</x:v>
      </x:c>
      <x:c r="F113" s="10" t="n">
        <x:v>0</x:v>
      </x:c>
      <x:c r="G113" s="10" t="n">
        <x:v>0</x:v>
      </x:c>
      <x:c r="H113" s="10" t="n">
        <x:v>34.95</x:v>
      </x:c>
      <x:c r="I113" s="10" t="n">
        <x:v>13.5</x:v>
      </x:c>
      <x:c r="J113" s="10" t="n">
        <x:v>21.45</x:v>
      </x:c>
      <x:c r="K113" s="2" t="n">
        <x:v>1</x:v>
      </x:c>
      <x:c r="L113" s="2" t="n">
        <x:v>0</x:v>
      </x:c>
    </x:row>
    <x:row r="114" ht="20" customHeight="1">
      <x:c r="A114" s="9" t="n">
        <x:v>46267</x:v>
      </x:c>
      <x:c r="B114" s="2" t="str">
        <x:v>MM-1115</x:v>
      </x:c>
      <x:c r="C114" s="2" t="str">
        <x:v>Organic Search</x:v>
      </x:c>
      <x:c r="D114" s="2" t="str">
        <x:v>CUS-055</x:v>
      </x:c>
      <x:c r="E114" s="10" t="n">
        <x:v>9.95</x:v>
      </x:c>
      <x:c r="F114" s="10" t="n">
        <x:v>0</x:v>
      </x:c>
      <x:c r="G114" s="10" t="n">
        <x:v>0</x:v>
      </x:c>
      <x:c r="H114" s="10" t="n">
        <x:v>9.95</x:v>
      </x:c>
      <x:c r="I114" s="10" t="n">
        <x:v>2.5</x:v>
      </x:c>
      <x:c r="J114" s="10" t="n">
        <x:v>7.45</x:v>
      </x:c>
      <x:c r="K114" s="2" t="n">
        <x:v>1</x:v>
      </x:c>
      <x:c r="L114" s="2" t="n">
        <x:v>0</x:v>
      </x:c>
    </x:row>
    <x:row r="115" ht="20" customHeight="1">
      <x:c r="A115" s="9" t="n">
        <x:v>46267</x:v>
      </x:c>
      <x:c r="B115" s="2" t="str">
        <x:v>MM-1106</x:v>
      </x:c>
      <x:c r="C115" s="2" t="str">
        <x:v>Direct</x:v>
      </x:c>
      <x:c r="D115" s="2" t="str">
        <x:v>CUS-171</x:v>
      </x:c>
      <x:c r="E115" s="10" t="n">
        <x:v>32.95</x:v>
      </x:c>
      <x:c r="F115" s="10" t="n">
        <x:v>0</x:v>
      </x:c>
      <x:c r="G115" s="10" t="n">
        <x:v>0</x:v>
      </x:c>
      <x:c r="H115" s="10" t="n">
        <x:v>32.95</x:v>
      </x:c>
      <x:c r="I115" s="10" t="n">
        <x:v>12</x:v>
      </x:c>
      <x:c r="J115" s="10" t="n">
        <x:v>20.95</x:v>
      </x:c>
      <x:c r="K115" s="2" t="n">
        <x:v>1</x:v>
      </x:c>
      <x:c r="L115" s="2" t="n">
        <x:v>0</x:v>
      </x:c>
    </x:row>
    <x:row r="116" ht="20" customHeight="1">
      <x:c r="A116" s="9" t="n">
        <x:v>46267</x:v>
      </x:c>
      <x:c r="B116" s="2" t="str">
        <x:v>MM-1102</x:v>
      </x:c>
      <x:c r="C116" s="2" t="str">
        <x:v>Email</x:v>
      </x:c>
      <x:c r="D116" s="2" t="str">
        <x:v>CUS-103</x:v>
      </x:c>
      <x:c r="E116" s="10" t="n">
        <x:v>19.95</x:v>
      </x:c>
      <x:c r="F116" s="10" t="n">
        <x:v>1.99</x:v>
      </x:c>
      <x:c r="G116" s="10" t="n">
        <x:v>0</x:v>
      </x:c>
      <x:c r="H116" s="10" t="n">
        <x:v>17.96</x:v>
      </x:c>
      <x:c r="I116" s="10" t="n">
        <x:v>6</x:v>
      </x:c>
      <x:c r="J116" s="10" t="n">
        <x:v>11.96</x:v>
      </x:c>
      <x:c r="K116" s="2" t="n">
        <x:v>1</x:v>
      </x:c>
      <x:c r="L116" s="2" t="n">
        <x:v>0</x:v>
      </x:c>
    </x:row>
    <x:row r="117" ht="20" customHeight="1">
      <x:c r="A117" s="9" t="n">
        <x:v>46267</x:v>
      </x:c>
      <x:c r="B117" s="2" t="str">
        <x:v>MM-1104</x:v>
      </x:c>
      <x:c r="C117" s="2" t="str">
        <x:v>Organic Search</x:v>
      </x:c>
      <x:c r="D117" s="2" t="str">
        <x:v>CUS-167</x:v>
      </x:c>
      <x:c r="E117" s="10" t="n">
        <x:v>114.9</x:v>
      </x:c>
      <x:c r="F117" s="10" t="n">
        <x:v>0</x:v>
      </x:c>
      <x:c r="G117" s="10" t="n">
        <x:v>0</x:v>
      </x:c>
      <x:c r="H117" s="10" t="n">
        <x:v>114.9</x:v>
      </x:c>
      <x:c r="I117" s="10" t="n">
        <x:v>46</x:v>
      </x:c>
      <x:c r="J117" s="10" t="n">
        <x:v>68.9</x:v>
      </x:c>
      <x:c r="K117" s="2" t="n">
        <x:v>2</x:v>
      </x:c>
      <x:c r="L117" s="2" t="n">
        <x:v>0</x:v>
      </x:c>
    </x:row>
    <x:row r="118" ht="20" customHeight="1">
      <x:c r="A118" s="9" t="n">
        <x:v>46267</x:v>
      </x:c>
      <x:c r="B118" s="2" t="str">
        <x:v>MM-1099</x:v>
      </x:c>
      <x:c r="C118" s="2" t="str">
        <x:v>Organic Search</x:v>
      </x:c>
      <x:c r="D118" s="2" t="str">
        <x:v>CUS-087</x:v>
      </x:c>
      <x:c r="E118" s="10" t="n">
        <x:v>38.85</x:v>
      </x:c>
      <x:c r="F118" s="10" t="n">
        <x:v>0</x:v>
      </x:c>
      <x:c r="G118" s="10" t="n">
        <x:v>0</x:v>
      </x:c>
      <x:c r="H118" s="10" t="n">
        <x:v>38.85</x:v>
      </x:c>
      <x:c r="I118" s="10" t="n">
        <x:v>10.5</x:v>
      </x:c>
      <x:c r="J118" s="10" t="n">
        <x:v>28.35</x:v>
      </x:c>
      <x:c r="K118" s="2" t="n">
        <x:v>3</x:v>
      </x:c>
      <x:c r="L118" s="2" t="n">
        <x:v>0</x:v>
      </x:c>
    </x:row>
    <x:row r="119" ht="20" customHeight="1">
      <x:c r="A119" s="9" t="n">
        <x:v>46267</x:v>
      </x:c>
      <x:c r="B119" s="2" t="str">
        <x:v>MM-1105</x:v>
      </x:c>
      <x:c r="C119" s="2" t="str">
        <x:v>Paid Social</x:v>
      </x:c>
      <x:c r="D119" s="2" t="str">
        <x:v>CUS-035</x:v>
      </x:c>
      <x:c r="E119" s="10" t="n">
        <x:v>34.95</x:v>
      </x:c>
      <x:c r="F119" s="10" t="n">
        <x:v>0</x:v>
      </x:c>
      <x:c r="G119" s="10" t="n">
        <x:v>0</x:v>
      </x:c>
      <x:c r="H119" s="10" t="n">
        <x:v>34.95</x:v>
      </x:c>
      <x:c r="I119" s="10" t="n">
        <x:v>13.5</x:v>
      </x:c>
      <x:c r="J119" s="10" t="n">
        <x:v>21.45</x:v>
      </x:c>
      <x:c r="K119" s="2" t="n">
        <x:v>1</x:v>
      </x:c>
      <x:c r="L119" s="2" t="n">
        <x:v>0</x:v>
      </x:c>
    </x:row>
    <x:row r="120" ht="20" customHeight="1">
      <x:c r="A120" s="9" t="n">
        <x:v>46268</x:v>
      </x:c>
      <x:c r="B120" s="2" t="str">
        <x:v>MM-1131</x:v>
      </x:c>
      <x:c r="C120" s="2" t="str">
        <x:v>Organic Search</x:v>
      </x:c>
      <x:c r="D120" s="2" t="str">
        <x:v>CUS-110</x:v>
      </x:c>
      <x:c r="E120" s="10" t="n">
        <x:v>32.95</x:v>
      </x:c>
      <x:c r="F120" s="10" t="n">
        <x:v>0</x:v>
      </x:c>
      <x:c r="G120" s="10" t="n">
        <x:v>0</x:v>
      </x:c>
      <x:c r="H120" s="10" t="n">
        <x:v>32.95</x:v>
      </x:c>
      <x:c r="I120" s="10" t="n">
        <x:v>12</x:v>
      </x:c>
      <x:c r="J120" s="10" t="n">
        <x:v>20.95</x:v>
      </x:c>
      <x:c r="K120" s="2" t="n">
        <x:v>1</x:v>
      </x:c>
      <x:c r="L120" s="2" t="n">
        <x:v>0</x:v>
      </x:c>
    </x:row>
    <x:row r="121" ht="20" customHeight="1">
      <x:c r="A121" s="9" t="n">
        <x:v>46268</x:v>
      </x:c>
      <x:c r="B121" s="2" t="str">
        <x:v>MM-1128</x:v>
      </x:c>
      <x:c r="C121" s="2" t="str">
        <x:v>Paid Social</x:v>
      </x:c>
      <x:c r="D121" s="2" t="str">
        <x:v>CUS-132</x:v>
      </x:c>
      <x:c r="E121" s="10" t="n">
        <x:v>73.8</x:v>
      </x:c>
      <x:c r="F121" s="10" t="n">
        <x:v>0</x:v>
      </x:c>
      <x:c r="G121" s="10" t="n">
        <x:v>34.95</x:v>
      </x:c>
      <x:c r="H121" s="10" t="n">
        <x:v>38.85</x:v>
      </x:c>
      <x:c r="I121" s="10" t="n">
        <x:v>10.5</x:v>
      </x:c>
      <x:c r="J121" s="10" t="n">
        <x:v>28.35</x:v>
      </x:c>
      <x:c r="K121" s="2" t="n">
        <x:v>4</x:v>
      </x:c>
      <x:c r="L121" s="2" t="n">
        <x:v>1</x:v>
      </x:c>
    </x:row>
    <x:row r="122" ht="20" customHeight="1">
      <x:c r="A122" s="9" t="n">
        <x:v>46268</x:v>
      </x:c>
      <x:c r="B122" s="2" t="str">
        <x:v>MM-1135</x:v>
      </x:c>
      <x:c r="C122" s="2" t="str">
        <x:v>Direct</x:v>
      </x:c>
      <x:c r="D122" s="2" t="str">
        <x:v>CUS-168</x:v>
      </x:c>
      <x:c r="E122" s="10" t="n">
        <x:v>32.95</x:v>
      </x:c>
      <x:c r="F122" s="10" t="n">
        <x:v>0</x:v>
      </x:c>
      <x:c r="G122" s="10" t="n">
        <x:v>0</x:v>
      </x:c>
      <x:c r="H122" s="10" t="n">
        <x:v>32.95</x:v>
      </x:c>
      <x:c r="I122" s="10" t="n">
        <x:v>12</x:v>
      </x:c>
      <x:c r="J122" s="10" t="n">
        <x:v>20.95</x:v>
      </x:c>
      <x:c r="K122" s="2" t="n">
        <x:v>1</x:v>
      </x:c>
      <x:c r="L122" s="2" t="n">
        <x:v>0</x:v>
      </x:c>
    </x:row>
    <x:row r="123" ht="20" customHeight="1">
      <x:c r="A123" s="9" t="n">
        <x:v>46268</x:v>
      </x:c>
      <x:c r="B123" s="2" t="str">
        <x:v>MM-1122</x:v>
      </x:c>
      <x:c r="C123" s="2" t="str">
        <x:v>Email</x:v>
      </x:c>
      <x:c r="D123" s="2" t="str">
        <x:v>CUS-158</x:v>
      </x:c>
      <x:c r="E123" s="10" t="n">
        <x:v>29.9</x:v>
      </x:c>
      <x:c r="F123" s="10" t="n">
        <x:v>2.98</x:v>
      </x:c>
      <x:c r="G123" s="10" t="n">
        <x:v>0</x:v>
      </x:c>
      <x:c r="H123" s="10" t="n">
        <x:v>26.92</x:v>
      </x:c>
      <x:c r="I123" s="10" t="n">
        <x:v>8.5</x:v>
      </x:c>
      <x:c r="J123" s="10" t="n">
        <x:v>18.42</x:v>
      </x:c>
      <x:c r="K123" s="2" t="n">
        <x:v>2</x:v>
      </x:c>
      <x:c r="L123" s="2" t="n">
        <x:v>0</x:v>
      </x:c>
    </x:row>
    <x:row r="124" ht="20" customHeight="1">
      <x:c r="A124" s="9" t="n">
        <x:v>46268</x:v>
      </x:c>
      <x:c r="B124" s="2" t="str">
        <x:v>MM-1124</x:v>
      </x:c>
      <x:c r="C124" s="2" t="str">
        <x:v>Organic Search</x:v>
      </x:c>
      <x:c r="D124" s="2" t="str">
        <x:v>CUS-150</x:v>
      </x:c>
      <x:c r="E124" s="10" t="n">
        <x:v>58.85</x:v>
      </x:c>
      <x:c r="F124" s="10" t="n">
        <x:v>2.59</x:v>
      </x:c>
      <x:c r="G124" s="10" t="n">
        <x:v>0</x:v>
      </x:c>
      <x:c r="H124" s="10" t="n">
        <x:v>56.26</x:v>
      </x:c>
      <x:c r="I124" s="10" t="n">
        <x:v>19</x:v>
      </x:c>
      <x:c r="J124" s="10" t="n">
        <x:v>37.26</x:v>
      </x:c>
      <x:c r="K124" s="2" t="n">
        <x:v>3</x:v>
      </x:c>
      <x:c r="L124" s="2" t="n">
        <x:v>0</x:v>
      </x:c>
    </x:row>
    <x:row r="125" ht="20" customHeight="1">
      <x:c r="A125" s="9" t="n">
        <x:v>46268</x:v>
      </x:c>
      <x:c r="B125" s="2" t="str">
        <x:v>MM-1132</x:v>
      </x:c>
      <x:c r="C125" s="2" t="str">
        <x:v>Organic Search</x:v>
      </x:c>
      <x:c r="D125" s="2" t="str">
        <x:v>CUS-052</x:v>
      </x:c>
      <x:c r="E125" s="10" t="n">
        <x:v>29.95</x:v>
      </x:c>
      <x:c r="F125" s="10" t="n">
        <x:v>0</x:v>
      </x:c>
      <x:c r="G125" s="10" t="n">
        <x:v>0</x:v>
      </x:c>
      <x:c r="H125" s="10" t="n">
        <x:v>29.95</x:v>
      </x:c>
      <x:c r="I125" s="10" t="n">
        <x:v>10</x:v>
      </x:c>
      <x:c r="J125" s="10" t="n">
        <x:v>19.95</x:v>
      </x:c>
      <x:c r="K125" s="2" t="n">
        <x:v>1</x:v>
      </x:c>
      <x:c r="L125" s="2" t="n">
        <x:v>0</x:v>
      </x:c>
    </x:row>
    <x:row r="126" ht="20" customHeight="1">
      <x:c r="A126" s="9" t="n">
        <x:v>46268</x:v>
      </x:c>
      <x:c r="B126" s="2" t="str">
        <x:v>MM-1140</x:v>
      </x:c>
      <x:c r="C126" s="2" t="str">
        <x:v>Organic Search</x:v>
      </x:c>
      <x:c r="D126" s="2" t="str">
        <x:v>CUS-155</x:v>
      </x:c>
      <x:c r="E126" s="10" t="n">
        <x:v>18.95</x:v>
      </x:c>
      <x:c r="F126" s="10" t="n">
        <x:v>0</x:v>
      </x:c>
      <x:c r="G126" s="10" t="n">
        <x:v>0</x:v>
      </x:c>
      <x:c r="H126" s="10" t="n">
        <x:v>18.95</x:v>
      </x:c>
      <x:c r="I126" s="10" t="n">
        <x:v>6.5</x:v>
      </x:c>
      <x:c r="J126" s="10" t="n">
        <x:v>12.45</x:v>
      </x:c>
      <x:c r="K126" s="2" t="n">
        <x:v>1</x:v>
      </x:c>
      <x:c r="L126" s="2" t="n">
        <x:v>0</x:v>
      </x:c>
    </x:row>
    <x:row r="127" ht="20" customHeight="1">
      <x:c r="A127" s="9" t="n">
        <x:v>46268</x:v>
      </x:c>
      <x:c r="B127" s="2" t="str">
        <x:v>MM-1123</x:v>
      </x:c>
      <x:c r="C127" s="2" t="str">
        <x:v>Organic Search</x:v>
      </x:c>
      <x:c r="D127" s="2" t="str">
        <x:v>CUS-143</x:v>
      </x:c>
      <x:c r="E127" s="10" t="n">
        <x:v>72.9</x:v>
      </x:c>
      <x:c r="F127" s="10" t="n">
        <x:v>0</x:v>
      </x:c>
      <x:c r="G127" s="10" t="n">
        <x:v>0</x:v>
      </x:c>
      <x:c r="H127" s="10" t="n">
        <x:v>72.9</x:v>
      </x:c>
      <x:c r="I127" s="10" t="n">
        <x:v>27.5</x:v>
      </x:c>
      <x:c r="J127" s="10" t="n">
        <x:v>45.4</x:v>
      </x:c>
      <x:c r="K127" s="2" t="n">
        <x:v>2</x:v>
      </x:c>
      <x:c r="L127" s="2" t="n">
        <x:v>0</x:v>
      </x:c>
    </x:row>
    <x:row r="128" ht="20" customHeight="1">
      <x:c r="A128" s="9" t="n">
        <x:v>46268</x:v>
      </x:c>
      <x:c r="B128" s="2" t="str">
        <x:v>MM-1129</x:v>
      </x:c>
      <x:c r="C128" s="2" t="str">
        <x:v>Organic Search</x:v>
      </x:c>
      <x:c r="D128" s="2" t="str">
        <x:v>CUS-068</x:v>
      </x:c>
      <x:c r="E128" s="10" t="n">
        <x:v>24.95</x:v>
      </x:c>
      <x:c r="F128" s="10" t="n">
        <x:v>0</x:v>
      </x:c>
      <x:c r="G128" s="10" t="n">
        <x:v>0</x:v>
      </x:c>
      <x:c r="H128" s="10" t="n">
        <x:v>24.95</x:v>
      </x:c>
      <x:c r="I128" s="10" t="n">
        <x:v>9</x:v>
      </x:c>
      <x:c r="J128" s="10" t="n">
        <x:v>15.95</x:v>
      </x:c>
      <x:c r="K128" s="2" t="n">
        <x:v>1</x:v>
      </x:c>
      <x:c r="L128" s="2" t="n">
        <x:v>0</x:v>
      </x:c>
    </x:row>
    <x:row r="129" ht="20" customHeight="1">
      <x:c r="A129" s="9" t="n">
        <x:v>46268</x:v>
      </x:c>
      <x:c r="B129" s="2" t="str">
        <x:v>MM-1130</x:v>
      </x:c>
      <x:c r="C129" s="2" t="str">
        <x:v>Direct</x:v>
      </x:c>
      <x:c r="D129" s="2" t="str">
        <x:v>CUS-023</x:v>
      </x:c>
      <x:c r="E129" s="10" t="n">
        <x:v>12.95</x:v>
      </x:c>
      <x:c r="F129" s="10" t="n">
        <x:v>1.29</x:v>
      </x:c>
      <x:c r="G129" s="10" t="n">
        <x:v>0</x:v>
      </x:c>
      <x:c r="H129" s="10" t="n">
        <x:v>11.66</x:v>
      </x:c>
      <x:c r="I129" s="10" t="n">
        <x:v>3.5</x:v>
      </x:c>
      <x:c r="J129" s="10" t="n">
        <x:v>8.16</x:v>
      </x:c>
      <x:c r="K129" s="2" t="n">
        <x:v>1</x:v>
      </x:c>
      <x:c r="L129" s="2" t="n">
        <x:v>0</x:v>
      </x:c>
    </x:row>
    <x:row r="130" ht="20" customHeight="1">
      <x:c r="A130" s="9" t="n">
        <x:v>46268</x:v>
      </x:c>
      <x:c r="B130" s="2" t="str">
        <x:v>MM-1133</x:v>
      </x:c>
      <x:c r="C130" s="2" t="str">
        <x:v>Email</x:v>
      </x:c>
      <x:c r="D130" s="2" t="str">
        <x:v>CUS-161</x:v>
      </x:c>
      <x:c r="E130" s="10" t="n">
        <x:v>94.9</x:v>
      </x:c>
      <x:c r="F130" s="10" t="n">
        <x:v>9.48</x:v>
      </x:c>
      <x:c r="G130" s="10" t="n">
        <x:v>0</x:v>
      </x:c>
      <x:c r="H130" s="10" t="n">
        <x:v>85.42</x:v>
      </x:c>
      <x:c r="I130" s="10" t="n">
        <x:v>37</x:v>
      </x:c>
      <x:c r="J130" s="10" t="n">
        <x:v>48.42</x:v>
      </x:c>
      <x:c r="K130" s="2" t="n">
        <x:v>2</x:v>
      </x:c>
      <x:c r="L130" s="2" t="n">
        <x:v>0</x:v>
      </x:c>
    </x:row>
    <x:row r="131" ht="20" customHeight="1">
      <x:c r="A131" s="9" t="n">
        <x:v>46268</x:v>
      </x:c>
      <x:c r="B131" s="2" t="str">
        <x:v>MM-1125</x:v>
      </x:c>
      <x:c r="C131" s="2" t="str">
        <x:v>Direct</x:v>
      </x:c>
      <x:c r="D131" s="2" t="str">
        <x:v>CUS-131</x:v>
      </x:c>
      <x:c r="E131" s="10" t="n">
        <x:v>34.95</x:v>
      </x:c>
      <x:c r="F131" s="10" t="n">
        <x:v>0</x:v>
      </x:c>
      <x:c r="G131" s="10" t="n">
        <x:v>0</x:v>
      </x:c>
      <x:c r="H131" s="10" t="n">
        <x:v>34.95</x:v>
      </x:c>
      <x:c r="I131" s="10" t="n">
        <x:v>13.5</x:v>
      </x:c>
      <x:c r="J131" s="10" t="n">
        <x:v>21.45</x:v>
      </x:c>
      <x:c r="K131" s="2" t="n">
        <x:v>1</x:v>
      </x:c>
      <x:c r="L131" s="2" t="n">
        <x:v>0</x:v>
      </x:c>
    </x:row>
    <x:row r="132" ht="20" customHeight="1">
      <x:c r="A132" s="9" t="n">
        <x:v>46268</x:v>
      </x:c>
      <x:c r="B132" s="2" t="str">
        <x:v>MM-1139</x:v>
      </x:c>
      <x:c r="C132" s="2" t="str">
        <x:v>Organic Search</x:v>
      </x:c>
      <x:c r="D132" s="2" t="str">
        <x:v>CUS-147</x:v>
      </x:c>
      <x:c r="E132" s="10" t="n">
        <x:v>144.85</x:v>
      </x:c>
      <x:c r="F132" s="10" t="n">
        <x:v>0</x:v>
      </x:c>
      <x:c r="G132" s="10" t="n">
        <x:v>0</x:v>
      </x:c>
      <x:c r="H132" s="10" t="n">
        <x:v>144.85</x:v>
      </x:c>
      <x:c r="I132" s="10" t="n">
        <x:v>57</x:v>
      </x:c>
      <x:c r="J132" s="10" t="n">
        <x:v>87.85</x:v>
      </x:c>
      <x:c r="K132" s="2" t="n">
        <x:v>3</x:v>
      </x:c>
      <x:c r="L132" s="2" t="n">
        <x:v>0</x:v>
      </x:c>
    </x:row>
    <x:row r="133" ht="20" customHeight="1">
      <x:c r="A133" s="9" t="n">
        <x:v>46268</x:v>
      </x:c>
      <x:c r="B133" s="2" t="str">
        <x:v>MM-1143</x:v>
      </x:c>
      <x:c r="C133" s="2" t="str">
        <x:v>Email</x:v>
      </x:c>
      <x:c r="D133" s="2" t="str">
        <x:v>CUS-130</x:v>
      </x:c>
      <x:c r="E133" s="10" t="n">
        <x:v>34.95</x:v>
      </x:c>
      <x:c r="F133" s="10" t="n">
        <x:v>3.49</x:v>
      </x:c>
      <x:c r="G133" s="10" t="n">
        <x:v>0</x:v>
      </x:c>
      <x:c r="H133" s="10" t="n">
        <x:v>31.46</x:v>
      </x:c>
      <x:c r="I133" s="10" t="n">
        <x:v>13.5</x:v>
      </x:c>
      <x:c r="J133" s="10" t="n">
        <x:v>17.96</x:v>
      </x:c>
      <x:c r="K133" s="2" t="n">
        <x:v>1</x:v>
      </x:c>
      <x:c r="L133" s="2" t="n">
        <x:v>0</x:v>
      </x:c>
    </x:row>
    <x:row r="134" ht="20" customHeight="1">
      <x:c r="A134" s="9" t="n">
        <x:v>46268</x:v>
      </x:c>
      <x:c r="B134" s="2" t="str">
        <x:v>MM-1126</x:v>
      </x:c>
      <x:c r="C134" s="2" t="str">
        <x:v>Organic Search</x:v>
      </x:c>
      <x:c r="D134" s="2" t="str">
        <x:v>CUS-171</x:v>
      </x:c>
      <x:c r="E134" s="10" t="n">
        <x:v>29.95</x:v>
      </x:c>
      <x:c r="F134" s="10" t="n">
        <x:v>0</x:v>
      </x:c>
      <x:c r="G134" s="10" t="n">
        <x:v>0</x:v>
      </x:c>
      <x:c r="H134" s="10" t="n">
        <x:v>29.95</x:v>
      </x:c>
      <x:c r="I134" s="10" t="n">
        <x:v>10</x:v>
      </x:c>
      <x:c r="J134" s="10" t="n">
        <x:v>19.95</x:v>
      </x:c>
      <x:c r="K134" s="2" t="n">
        <x:v>1</x:v>
      </x:c>
      <x:c r="L134" s="2" t="n">
        <x:v>0</x:v>
      </x:c>
    </x:row>
    <x:row r="135" ht="20" customHeight="1">
      <x:c r="A135" s="9" t="n">
        <x:v>46268</x:v>
      </x:c>
      <x:c r="B135" s="2" t="str">
        <x:v>MM-1134</x:v>
      </x:c>
      <x:c r="C135" s="2" t="str">
        <x:v>Paid Social</x:v>
      </x:c>
      <x:c r="D135" s="2" t="str">
        <x:v>CUS-023</x:v>
      </x:c>
      <x:c r="E135" s="10" t="n">
        <x:v>41.9</x:v>
      </x:c>
      <x:c r="F135" s="10" t="n">
        <x:v>0</x:v>
      </x:c>
      <x:c r="G135" s="10" t="n">
        <x:v>0</x:v>
      </x:c>
      <x:c r="H135" s="10" t="n">
        <x:v>41.9</x:v>
      </x:c>
      <x:c r="I135" s="10" t="n">
        <x:v>15</x:v>
      </x:c>
      <x:c r="J135" s="10" t="n">
        <x:v>26.9</x:v>
      </x:c>
      <x:c r="K135" s="2" t="n">
        <x:v>2</x:v>
      </x:c>
      <x:c r="L135" s="2" t="n">
        <x:v>0</x:v>
      </x:c>
    </x:row>
    <x:row r="136" ht="20" customHeight="1">
      <x:c r="A136" s="9" t="n">
        <x:v>46268</x:v>
      </x:c>
      <x:c r="B136" s="2" t="str">
        <x:v>MM-1136</x:v>
      </x:c>
      <x:c r="C136" s="2" t="str">
        <x:v>Organic Search</x:v>
      </x:c>
      <x:c r="D136" s="2" t="str">
        <x:v>CUS-097</x:v>
      </x:c>
      <x:c r="E136" s="10" t="n">
        <x:v>69.95</x:v>
      </x:c>
      <x:c r="F136" s="10" t="n">
        <x:v>0</x:v>
      </x:c>
      <x:c r="G136" s="10" t="n">
        <x:v>0</x:v>
      </x:c>
      <x:c r="H136" s="10" t="n">
        <x:v>69.95</x:v>
      </x:c>
      <x:c r="I136" s="10" t="n">
        <x:v>28</x:v>
      </x:c>
      <x:c r="J136" s="10" t="n">
        <x:v>41.95</x:v>
      </x:c>
      <x:c r="K136" s="2" t="n">
        <x:v>1</x:v>
      </x:c>
      <x:c r="L136" s="2" t="n">
        <x:v>0</x:v>
      </x:c>
    </x:row>
    <x:row r="137" ht="20" customHeight="1">
      <x:c r="A137" s="9" t="n">
        <x:v>46268</x:v>
      </x:c>
      <x:c r="B137" s="2" t="str">
        <x:v>MM-1138</x:v>
      </x:c>
      <x:c r="C137" s="2" t="str">
        <x:v>Paid Social</x:v>
      </x:c>
      <x:c r="D137" s="2" t="str">
        <x:v>CUS-110</x:v>
      </x:c>
      <x:c r="E137" s="10" t="n">
        <x:v>164.85</x:v>
      </x:c>
      <x:c r="F137" s="10" t="n">
        <x:v>0</x:v>
      </x:c>
      <x:c r="G137" s="10" t="n">
        <x:v>0</x:v>
      </x:c>
      <x:c r="H137" s="10" t="n">
        <x:v>164.85</x:v>
      </x:c>
      <x:c r="I137" s="10" t="n">
        <x:v>66</x:v>
      </x:c>
      <x:c r="J137" s="10" t="n">
        <x:v>98.85</x:v>
      </x:c>
      <x:c r="K137" s="2" t="n">
        <x:v>3</x:v>
      </x:c>
      <x:c r="L137" s="2" t="n">
        <x:v>0</x:v>
      </x:c>
    </x:row>
    <x:row r="138" ht="20" customHeight="1">
      <x:c r="A138" s="9" t="n">
        <x:v>46268</x:v>
      </x:c>
      <x:c r="B138" s="2" t="str">
        <x:v>MM-1141</x:v>
      </x:c>
      <x:c r="C138" s="2" t="str">
        <x:v>Direct</x:v>
      </x:c>
      <x:c r="D138" s="2" t="str">
        <x:v>CUS-092</x:v>
      </x:c>
      <x:c r="E138" s="10" t="n">
        <x:v>12.95</x:v>
      </x:c>
      <x:c r="F138" s="10" t="n">
        <x:v>0</x:v>
      </x:c>
      <x:c r="G138" s="10" t="n">
        <x:v>0</x:v>
      </x:c>
      <x:c r="H138" s="10" t="n">
        <x:v>12.95</x:v>
      </x:c>
      <x:c r="I138" s="10" t="n">
        <x:v>3.5</x:v>
      </x:c>
      <x:c r="J138" s="10" t="n">
        <x:v>9.45</x:v>
      </x:c>
      <x:c r="K138" s="2" t="n">
        <x:v>1</x:v>
      </x:c>
      <x:c r="L138" s="2" t="n">
        <x:v>0</x:v>
      </x:c>
    </x:row>
    <x:row r="139" ht="20" customHeight="1">
      <x:c r="A139" s="9" t="n">
        <x:v>46268</x:v>
      </x:c>
      <x:c r="B139" s="2" t="str">
        <x:v>MM-1142</x:v>
      </x:c>
      <x:c r="C139" s="2" t="str">
        <x:v>Paid Social</x:v>
      </x:c>
      <x:c r="D139" s="2" t="str">
        <x:v>CUS-014</x:v>
      </x:c>
      <x:c r="E139" s="10" t="n">
        <x:v>104.9</x:v>
      </x:c>
      <x:c r="F139" s="10" t="n">
        <x:v>0</x:v>
      </x:c>
      <x:c r="G139" s="10" t="n">
        <x:v>0</x:v>
      </x:c>
      <x:c r="H139" s="10" t="n">
        <x:v>104.9</x:v>
      </x:c>
      <x:c r="I139" s="10" t="n">
        <x:v>41</x:v>
      </x:c>
      <x:c r="J139" s="10" t="n">
        <x:v>63.9</x:v>
      </x:c>
      <x:c r="K139" s="2" t="n">
        <x:v>2</x:v>
      </x:c>
      <x:c r="L139" s="2" t="n">
        <x:v>0</x:v>
      </x:c>
    </x:row>
    <x:row r="140" ht="20" customHeight="1">
      <x:c r="A140" s="9" t="n">
        <x:v>46268</x:v>
      </x:c>
      <x:c r="B140" s="2" t="str">
        <x:v>MM-1127</x:v>
      </x:c>
      <x:c r="C140" s="2" t="str">
        <x:v>Direct</x:v>
      </x:c>
      <x:c r="D140" s="2" t="str">
        <x:v>CUS-047</x:v>
      </x:c>
      <x:c r="E140" s="10" t="n">
        <x:v>54.95</x:v>
      </x:c>
      <x:c r="F140" s="10" t="n">
        <x:v>0</x:v>
      </x:c>
      <x:c r="G140" s="10" t="n">
        <x:v>0</x:v>
      </x:c>
      <x:c r="H140" s="10" t="n">
        <x:v>54.95</x:v>
      </x:c>
      <x:c r="I140" s="10" t="n">
        <x:v>22</x:v>
      </x:c>
      <x:c r="J140" s="10" t="n">
        <x:v>32.95</x:v>
      </x:c>
      <x:c r="K140" s="2" t="n">
        <x:v>1</x:v>
      </x:c>
      <x:c r="L140" s="2" t="n">
        <x:v>0</x:v>
      </x:c>
    </x:row>
    <x:row r="141" ht="20" customHeight="1">
      <x:c r="A141" s="9" t="n">
        <x:v>46269</x:v>
      </x:c>
      <x:c r="B141" s="2" t="str">
        <x:v>MM-1154</x:v>
      </x:c>
      <x:c r="C141" s="2" t="str">
        <x:v>Direct</x:v>
      </x:c>
      <x:c r="D141" s="2" t="str">
        <x:v>CUS-113</x:v>
      </x:c>
      <x:c r="E141" s="10" t="n">
        <x:v>74.85</x:v>
      </x:c>
      <x:c r="F141" s="10" t="n">
        <x:v>4.99</x:v>
      </x:c>
      <x:c r="G141" s="10" t="n">
        <x:v>0</x:v>
      </x:c>
      <x:c r="H141" s="10" t="n">
        <x:v>69.86</x:v>
      </x:c>
      <x:c r="I141" s="10" t="n">
        <x:v>26</x:v>
      </x:c>
      <x:c r="J141" s="10" t="n">
        <x:v>43.86</x:v>
      </x:c>
      <x:c r="K141" s="2" t="n">
        <x:v>3</x:v>
      </x:c>
      <x:c r="L141" s="2" t="n">
        <x:v>0</x:v>
      </x:c>
    </x:row>
    <x:row r="142" ht="20" customHeight="1">
      <x:c r="A142" s="9" t="n">
        <x:v>46269</x:v>
      </x:c>
      <x:c r="B142" s="2" t="str">
        <x:v>MM-1164</x:v>
      </x:c>
      <x:c r="C142" s="2" t="str">
        <x:v>Organic Search</x:v>
      </x:c>
      <x:c r="D142" s="2" t="str">
        <x:v>CUS-051</x:v>
      </x:c>
      <x:c r="E142" s="10" t="n">
        <x:v>74.9</x:v>
      </x:c>
      <x:c r="F142" s="10" t="n">
        <x:v>0</x:v>
      </x:c>
      <x:c r="G142" s="10" t="n">
        <x:v>0</x:v>
      </x:c>
      <x:c r="H142" s="10" t="n">
        <x:v>74.9</x:v>
      </x:c>
      <x:c r="I142" s="10" t="n">
        <x:v>28</x:v>
      </x:c>
      <x:c r="J142" s="10" t="n">
        <x:v>46.9</x:v>
      </x:c>
      <x:c r="K142" s="2" t="n">
        <x:v>2</x:v>
      </x:c>
      <x:c r="L142" s="2" t="n">
        <x:v>0</x:v>
      </x:c>
    </x:row>
    <x:row r="143" ht="20" customHeight="1">
      <x:c r="A143" s="9" t="n">
        <x:v>46269</x:v>
      </x:c>
      <x:c r="B143" s="2" t="str">
        <x:v>MM-1166</x:v>
      </x:c>
      <x:c r="C143" s="2" t="str">
        <x:v>Organic Search</x:v>
      </x:c>
      <x:c r="D143" s="2" t="str">
        <x:v>CUS-161</x:v>
      </x:c>
      <x:c r="E143" s="10" t="n">
        <x:v>34.95</x:v>
      </x:c>
      <x:c r="F143" s="10" t="n">
        <x:v>0</x:v>
      </x:c>
      <x:c r="G143" s="10" t="n">
        <x:v>0</x:v>
      </x:c>
      <x:c r="H143" s="10" t="n">
        <x:v>34.95</x:v>
      </x:c>
      <x:c r="I143" s="10" t="n">
        <x:v>13.5</x:v>
      </x:c>
      <x:c r="J143" s="10" t="n">
        <x:v>21.45</x:v>
      </x:c>
      <x:c r="K143" s="2" t="n">
        <x:v>1</x:v>
      </x:c>
      <x:c r="L143" s="2" t="n">
        <x:v>0</x:v>
      </x:c>
    </x:row>
    <x:row r="144" ht="20" customHeight="1">
      <x:c r="A144" s="9" t="n">
        <x:v>46269</x:v>
      </x:c>
      <x:c r="B144" s="2" t="str">
        <x:v>MM-1144</x:v>
      </x:c>
      <x:c r="C144" s="2" t="str">
        <x:v>Organic Search</x:v>
      </x:c>
      <x:c r="D144" s="2" t="str">
        <x:v>CUS-140</x:v>
      </x:c>
      <x:c r="E144" s="10" t="n">
        <x:v>49.9</x:v>
      </x:c>
      <x:c r="F144" s="10" t="n">
        <x:v>0</x:v>
      </x:c>
      <x:c r="G144" s="10" t="n">
        <x:v>0</x:v>
      </x:c>
      <x:c r="H144" s="10" t="n">
        <x:v>49.9</x:v>
      </x:c>
      <x:c r="I144" s="10" t="n">
        <x:v>18</x:v>
      </x:c>
      <x:c r="J144" s="10" t="n">
        <x:v>31.9</x:v>
      </x:c>
      <x:c r="K144" s="2" t="n">
        <x:v>2</x:v>
      </x:c>
      <x:c r="L144" s="2" t="n">
        <x:v>0</x:v>
      </x:c>
    </x:row>
    <x:row r="145" ht="20" customHeight="1">
      <x:c r="A145" s="9" t="n">
        <x:v>46269</x:v>
      </x:c>
      <x:c r="B145" s="2" t="str">
        <x:v>MM-1145</x:v>
      </x:c>
      <x:c r="C145" s="2" t="str">
        <x:v>Paid Social</x:v>
      </x:c>
      <x:c r="D145" s="2" t="str">
        <x:v>CUS-096</x:v>
      </x:c>
      <x:c r="E145" s="10" t="n">
        <x:v>12.95</x:v>
      </x:c>
      <x:c r="F145" s="10" t="n">
        <x:v>0</x:v>
      </x:c>
      <x:c r="G145" s="10" t="n">
        <x:v>0</x:v>
      </x:c>
      <x:c r="H145" s="10" t="n">
        <x:v>12.95</x:v>
      </x:c>
      <x:c r="I145" s="10" t="n">
        <x:v>3.5</x:v>
      </x:c>
      <x:c r="J145" s="10" t="n">
        <x:v>9.45</x:v>
      </x:c>
      <x:c r="K145" s="2" t="n">
        <x:v>1</x:v>
      </x:c>
      <x:c r="L145" s="2" t="n">
        <x:v>0</x:v>
      </x:c>
    </x:row>
    <x:row r="146" ht="20" customHeight="1">
      <x:c r="A146" s="9" t="n">
        <x:v>46269</x:v>
      </x:c>
      <x:c r="B146" s="2" t="str">
        <x:v>MM-1159</x:v>
      </x:c>
      <x:c r="C146" s="2" t="str">
        <x:v>Email</x:v>
      </x:c>
      <x:c r="D146" s="2" t="str">
        <x:v>CUS-174</x:v>
      </x:c>
      <x:c r="E146" s="10" t="n">
        <x:v>24.95</x:v>
      </x:c>
      <x:c r="F146" s="10" t="n">
        <x:v>2.49</x:v>
      </x:c>
      <x:c r="G146" s="10" t="n">
        <x:v>0</x:v>
      </x:c>
      <x:c r="H146" s="10" t="n">
        <x:v>22.46</x:v>
      </x:c>
      <x:c r="I146" s="10" t="n">
        <x:v>9</x:v>
      </x:c>
      <x:c r="J146" s="10" t="n">
        <x:v>13.46</x:v>
      </x:c>
      <x:c r="K146" s="2" t="n">
        <x:v>1</x:v>
      </x:c>
      <x:c r="L146" s="2" t="n">
        <x:v>0</x:v>
      </x:c>
    </x:row>
    <x:row r="147" ht="20" customHeight="1">
      <x:c r="A147" s="9" t="n">
        <x:v>46269</x:v>
      </x:c>
      <x:c r="B147" s="2" t="str">
        <x:v>MM-1161</x:v>
      </x:c>
      <x:c r="C147" s="2" t="str">
        <x:v>Email</x:v>
      </x:c>
      <x:c r="D147" s="2" t="str">
        <x:v>CUS-146</x:v>
      </x:c>
      <x:c r="E147" s="10" t="n">
        <x:v>22.95</x:v>
      </x:c>
      <x:c r="F147" s="10" t="n">
        <x:v>2.29</x:v>
      </x:c>
      <x:c r="G147" s="10" t="n">
        <x:v>0</x:v>
      </x:c>
      <x:c r="H147" s="10" t="n">
        <x:v>20.66</x:v>
      </x:c>
      <x:c r="I147" s="10" t="n">
        <x:v>8.5</x:v>
      </x:c>
      <x:c r="J147" s="10" t="n">
        <x:v>12.16</x:v>
      </x:c>
      <x:c r="K147" s="2" t="n">
        <x:v>1</x:v>
      </x:c>
      <x:c r="L147" s="2" t="n">
        <x:v>0</x:v>
      </x:c>
    </x:row>
    <x:row r="148" ht="20" customHeight="1">
      <x:c r="A148" s="9" t="n">
        <x:v>46269</x:v>
      </x:c>
      <x:c r="B148" s="2" t="str">
        <x:v>MM-1162</x:v>
      </x:c>
      <x:c r="C148" s="2" t="str">
        <x:v>Organic Search</x:v>
      </x:c>
      <x:c r="D148" s="2" t="str">
        <x:v>CUS-102</x:v>
      </x:c>
      <x:c r="E148" s="10" t="n">
        <x:v>79.9</x:v>
      </x:c>
      <x:c r="F148" s="10" t="n">
        <x:v>0</x:v>
      </x:c>
      <x:c r="G148" s="10" t="n">
        <x:v>0</x:v>
      </x:c>
      <x:c r="H148" s="10" t="n">
        <x:v>79.9</x:v>
      </x:c>
      <x:c r="I148" s="10" t="n">
        <x:v>30.5</x:v>
      </x:c>
      <x:c r="J148" s="10" t="n">
        <x:v>49.4</x:v>
      </x:c>
      <x:c r="K148" s="2" t="n">
        <x:v>2</x:v>
      </x:c>
      <x:c r="L148" s="2" t="n">
        <x:v>0</x:v>
      </x:c>
    </x:row>
    <x:row r="149" ht="20" customHeight="1">
      <x:c r="A149" s="9" t="n">
        <x:v>46269</x:v>
      </x:c>
      <x:c r="B149" s="2" t="str">
        <x:v>MM-1150</x:v>
      </x:c>
      <x:c r="C149" s="2" t="str">
        <x:v>Direct</x:v>
      </x:c>
      <x:c r="D149" s="2" t="str">
        <x:v>CUS-180</x:v>
      </x:c>
      <x:c r="E149" s="10" t="n">
        <x:v>84.9</x:v>
      </x:c>
      <x:c r="F149" s="10" t="n">
        <x:v>0</x:v>
      </x:c>
      <x:c r="G149" s="10" t="n">
        <x:v>0</x:v>
      </x:c>
      <x:c r="H149" s="10" t="n">
        <x:v>84.9</x:v>
      </x:c>
      <x:c r="I149" s="10" t="n">
        <x:v>32.5</x:v>
      </x:c>
      <x:c r="J149" s="10" t="n">
        <x:v>52.4</x:v>
      </x:c>
      <x:c r="K149" s="2" t="n">
        <x:v>2</x:v>
      </x:c>
      <x:c r="L149" s="2" t="n">
        <x:v>0</x:v>
      </x:c>
    </x:row>
    <x:row r="150" ht="20" customHeight="1">
      <x:c r="A150" s="9" t="n">
        <x:v>46269</x:v>
      </x:c>
      <x:c r="B150" s="2" t="str">
        <x:v>MM-1146</x:v>
      </x:c>
      <x:c r="C150" s="2" t="str">
        <x:v>Direct</x:v>
      </x:c>
      <x:c r="D150" s="2" t="str">
        <x:v>CUS-133</x:v>
      </x:c>
      <x:c r="E150" s="10" t="n">
        <x:v>79.95</x:v>
      </x:c>
      <x:c r="F150" s="10" t="n">
        <x:v>0</x:v>
      </x:c>
      <x:c r="G150" s="10" t="n">
        <x:v>0</x:v>
      </x:c>
      <x:c r="H150" s="10" t="n">
        <x:v>79.95</x:v>
      </x:c>
      <x:c r="I150" s="10" t="n">
        <x:v>32</x:v>
      </x:c>
      <x:c r="J150" s="10" t="n">
        <x:v>47.95</x:v>
      </x:c>
      <x:c r="K150" s="2" t="n">
        <x:v>1</x:v>
      </x:c>
      <x:c r="L150" s="2" t="n">
        <x:v>0</x:v>
      </x:c>
    </x:row>
    <x:row r="151" ht="20" customHeight="1">
      <x:c r="A151" s="9" t="n">
        <x:v>46269</x:v>
      </x:c>
      <x:c r="B151" s="2" t="str">
        <x:v>MM-1160</x:v>
      </x:c>
      <x:c r="C151" s="2" t="str">
        <x:v>Paid Social</x:v>
      </x:c>
      <x:c r="D151" s="2" t="str">
        <x:v>CUS-113</x:v>
      </x:c>
      <x:c r="E151" s="10" t="n">
        <x:v>41.9</x:v>
      </x:c>
      <x:c r="F151" s="10" t="n">
        <x:v>0</x:v>
      </x:c>
      <x:c r="G151" s="10" t="n">
        <x:v>0</x:v>
      </x:c>
      <x:c r="H151" s="10" t="n">
        <x:v>41.9</x:v>
      </x:c>
      <x:c r="I151" s="10" t="n">
        <x:v>15</x:v>
      </x:c>
      <x:c r="J151" s="10" t="n">
        <x:v>26.9</x:v>
      </x:c>
      <x:c r="K151" s="2" t="n">
        <x:v>2</x:v>
      </x:c>
      <x:c r="L151" s="2" t="n">
        <x:v>0</x:v>
      </x:c>
    </x:row>
    <x:row r="152" ht="20" customHeight="1">
      <x:c r="A152" s="9" t="n">
        <x:v>46269</x:v>
      </x:c>
      <x:c r="B152" s="2" t="str">
        <x:v>MM-1163</x:v>
      </x:c>
      <x:c r="C152" s="2" t="str">
        <x:v>Paid Social</x:v>
      </x:c>
      <x:c r="D152" s="2" t="str">
        <x:v>CUS-001</x:v>
      </x:c>
      <x:c r="E152" s="10" t="n">
        <x:v>25.9</x:v>
      </x:c>
      <x:c r="F152" s="10" t="n">
        <x:v>0</x:v>
      </x:c>
      <x:c r="G152" s="10" t="n">
        <x:v>0</x:v>
      </x:c>
      <x:c r="H152" s="10" t="n">
        <x:v>25.9</x:v>
      </x:c>
      <x:c r="I152" s="10" t="n">
        <x:v>7</x:v>
      </x:c>
      <x:c r="J152" s="10" t="n">
        <x:v>18.9</x:v>
      </x:c>
      <x:c r="K152" s="2" t="n">
        <x:v>2</x:v>
      </x:c>
      <x:c r="L152" s="2" t="n">
        <x:v>0</x:v>
      </x:c>
    </x:row>
    <x:row r="153" ht="20" customHeight="1">
      <x:c r="A153" s="9" t="n">
        <x:v>46269</x:v>
      </x:c>
      <x:c r="B153" s="2" t="str">
        <x:v>MM-1165</x:v>
      </x:c>
      <x:c r="C153" s="2" t="str">
        <x:v>Paid Social</x:v>
      </x:c>
      <x:c r="D153" s="2" t="str">
        <x:v>CUS-088</x:v>
      </x:c>
      <x:c r="E153" s="10" t="n">
        <x:v>89.9</x:v>
      </x:c>
      <x:c r="F153" s="10" t="n">
        <x:v>0</x:v>
      </x:c>
      <x:c r="G153" s="10" t="n">
        <x:v>0</x:v>
      </x:c>
      <x:c r="H153" s="10" t="n">
        <x:v>89.9</x:v>
      </x:c>
      <x:c r="I153" s="10" t="n">
        <x:v>34.5</x:v>
      </x:c>
      <x:c r="J153" s="10" t="n">
        <x:v>55.4</x:v>
      </x:c>
      <x:c r="K153" s="2" t="n">
        <x:v>2</x:v>
      </x:c>
      <x:c r="L153" s="2" t="n">
        <x:v>0</x:v>
      </x:c>
    </x:row>
    <x:row r="154" ht="20" customHeight="1">
      <x:c r="A154" s="9" t="n">
        <x:v>46269</x:v>
      </x:c>
      <x:c r="B154" s="2" t="str">
        <x:v>MM-1149</x:v>
      </x:c>
      <x:c r="C154" s="2" t="str">
        <x:v>Paid Social</x:v>
      </x:c>
      <x:c r="D154" s="2" t="str">
        <x:v>CUS-175</x:v>
      </x:c>
      <x:c r="E154" s="10" t="n">
        <x:v>79.95</x:v>
      </x:c>
      <x:c r="F154" s="10" t="n">
        <x:v>0</x:v>
      </x:c>
      <x:c r="G154" s="10" t="n">
        <x:v>0</x:v>
      </x:c>
      <x:c r="H154" s="10" t="n">
        <x:v>79.95</x:v>
      </x:c>
      <x:c r="I154" s="10" t="n">
        <x:v>32</x:v>
      </x:c>
      <x:c r="J154" s="10" t="n">
        <x:v>47.95</x:v>
      </x:c>
      <x:c r="K154" s="2" t="n">
        <x:v>1</x:v>
      </x:c>
      <x:c r="L154" s="2" t="n">
        <x:v>0</x:v>
      </x:c>
    </x:row>
    <x:row r="155" ht="20" customHeight="1">
      <x:c r="A155" s="9" t="n">
        <x:v>46269</x:v>
      </x:c>
      <x:c r="B155" s="2" t="str">
        <x:v>MM-1148</x:v>
      </x:c>
      <x:c r="C155" s="2" t="str">
        <x:v>Email</x:v>
      </x:c>
      <x:c r="D155" s="2" t="str">
        <x:v>CUS-060</x:v>
      </x:c>
      <x:c r="E155" s="10" t="n">
        <x:v>49.9</x:v>
      </x:c>
      <x:c r="F155" s="10" t="n">
        <x:v>4.99</x:v>
      </x:c>
      <x:c r="G155" s="10" t="n">
        <x:v>0</x:v>
      </x:c>
      <x:c r="H155" s="10" t="n">
        <x:v>44.91</x:v>
      </x:c>
      <x:c r="I155" s="10" t="n">
        <x:v>18</x:v>
      </x:c>
      <x:c r="J155" s="10" t="n">
        <x:v>26.91</x:v>
      </x:c>
      <x:c r="K155" s="2" t="n">
        <x:v>2</x:v>
      </x:c>
      <x:c r="L155" s="2" t="n">
        <x:v>0</x:v>
      </x:c>
    </x:row>
    <x:row r="156" ht="20" customHeight="1">
      <x:c r="A156" s="9" t="n">
        <x:v>46269</x:v>
      </x:c>
      <x:c r="B156" s="2" t="str">
        <x:v>MM-1147</x:v>
      </x:c>
      <x:c r="C156" s="2" t="str">
        <x:v>Organic Search</x:v>
      </x:c>
      <x:c r="D156" s="2" t="str">
        <x:v>CUS-025</x:v>
      </x:c>
      <x:c r="E156" s="10" t="n">
        <x:v>89.9</x:v>
      </x:c>
      <x:c r="F156" s="10" t="n">
        <x:v>0</x:v>
      </x:c>
      <x:c r="G156" s="10" t="n">
        <x:v>0</x:v>
      </x:c>
      <x:c r="H156" s="10" t="n">
        <x:v>89.9</x:v>
      </x:c>
      <x:c r="I156" s="10" t="n">
        <x:v>34</x:v>
      </x:c>
      <x:c r="J156" s="10" t="n">
        <x:v>55.9</x:v>
      </x:c>
      <x:c r="K156" s="2" t="n">
        <x:v>2</x:v>
      </x:c>
      <x:c r="L156" s="2" t="n">
        <x:v>0</x:v>
      </x:c>
    </x:row>
    <x:row r="157" ht="20" customHeight="1">
      <x:c r="A157" s="9" t="n">
        <x:v>46269</x:v>
      </x:c>
      <x:c r="B157" s="2" t="str">
        <x:v>MM-1155</x:v>
      </x:c>
      <x:c r="C157" s="2" t="str">
        <x:v>Organic Search</x:v>
      </x:c>
      <x:c r="D157" s="2" t="str">
        <x:v>CUS-033</x:v>
      </x:c>
      <x:c r="E157" s="10" t="n">
        <x:v>9.95</x:v>
      </x:c>
      <x:c r="F157" s="10" t="n">
        <x:v>0.99</x:v>
      </x:c>
      <x:c r="G157" s="10" t="n">
        <x:v>0</x:v>
      </x:c>
      <x:c r="H157" s="10" t="n">
        <x:v>8.96</x:v>
      </x:c>
      <x:c r="I157" s="10" t="n">
        <x:v>2.5</x:v>
      </x:c>
      <x:c r="J157" s="10" t="n">
        <x:v>6.46</x:v>
      </x:c>
      <x:c r="K157" s="2" t="n">
        <x:v>1</x:v>
      </x:c>
      <x:c r="L157" s="2" t="n">
        <x:v>0</x:v>
      </x:c>
    </x:row>
    <x:row r="158" ht="20" customHeight="1">
      <x:c r="A158" s="9" t="n">
        <x:v>46269</x:v>
      </x:c>
      <x:c r="B158" s="2" t="str">
        <x:v>MM-1156</x:v>
      </x:c>
      <x:c r="C158" s="2" t="str">
        <x:v>Organic Search</x:v>
      </x:c>
      <x:c r="D158" s="2" t="str">
        <x:v>CUS-168</x:v>
      </x:c>
      <x:c r="E158" s="10" t="n">
        <x:v>34.95</x:v>
      </x:c>
      <x:c r="F158" s="10" t="n">
        <x:v>3.49</x:v>
      </x:c>
      <x:c r="G158" s="10" t="n">
        <x:v>0</x:v>
      </x:c>
      <x:c r="H158" s="10" t="n">
        <x:v>31.46</x:v>
      </x:c>
      <x:c r="I158" s="10" t="n">
        <x:v>13.5</x:v>
      </x:c>
      <x:c r="J158" s="10" t="n">
        <x:v>17.96</x:v>
      </x:c>
      <x:c r="K158" s="2" t="n">
        <x:v>1</x:v>
      </x:c>
      <x:c r="L158" s="2" t="n">
        <x:v>0</x:v>
      </x:c>
    </x:row>
    <x:row r="159" ht="20" customHeight="1">
      <x:c r="A159" s="9" t="n">
        <x:v>46269</x:v>
      </x:c>
      <x:c r="B159" s="2" t="str">
        <x:v>MM-1151</x:v>
      </x:c>
      <x:c r="C159" s="2" t="str">
        <x:v>Organic Search</x:v>
      </x:c>
      <x:c r="D159" s="2" t="str">
        <x:v>CUS-130</x:v>
      </x:c>
      <x:c r="E159" s="10" t="n">
        <x:v>39.9</x:v>
      </x:c>
      <x:c r="F159" s="10" t="n">
        <x:v>0</x:v>
      </x:c>
      <x:c r="G159" s="10" t="n">
        <x:v>0</x:v>
      </x:c>
      <x:c r="H159" s="10" t="n">
        <x:v>39.9</x:v>
      </x:c>
      <x:c r="I159" s="10" t="n">
        <x:v>12</x:v>
      </x:c>
      <x:c r="J159" s="10" t="n">
        <x:v>27.9</x:v>
      </x:c>
      <x:c r="K159" s="2" t="n">
        <x:v>2</x:v>
      </x:c>
      <x:c r="L159" s="2" t="n">
        <x:v>0</x:v>
      </x:c>
    </x:row>
    <x:row r="160" ht="20" customHeight="1">
      <x:c r="A160" s="9" t="n">
        <x:v>46269</x:v>
      </x:c>
      <x:c r="B160" s="2" t="str">
        <x:v>MM-1153</x:v>
      </x:c>
      <x:c r="C160" s="2" t="str">
        <x:v>Email</x:v>
      </x:c>
      <x:c r="D160" s="2" t="str">
        <x:v>CUS-055</x:v>
      </x:c>
      <x:c r="E160" s="10" t="n">
        <x:v>24.95</x:v>
      </x:c>
      <x:c r="F160" s="10" t="n">
        <x:v>2.49</x:v>
      </x:c>
      <x:c r="G160" s="10" t="n">
        <x:v>0</x:v>
      </x:c>
      <x:c r="H160" s="10" t="n">
        <x:v>22.46</x:v>
      </x:c>
      <x:c r="I160" s="10" t="n">
        <x:v>8.5</x:v>
      </x:c>
      <x:c r="J160" s="10" t="n">
        <x:v>13.96</x:v>
      </x:c>
      <x:c r="K160" s="2" t="n">
        <x:v>1</x:v>
      </x:c>
      <x:c r="L160" s="2" t="n">
        <x:v>0</x:v>
      </x:c>
    </x:row>
    <x:row r="161" ht="20" customHeight="1">
      <x:c r="A161" s="9" t="n">
        <x:v>46269</x:v>
      </x:c>
      <x:c r="B161" s="2" t="str">
        <x:v>MM-1157</x:v>
      </x:c>
      <x:c r="C161" s="2" t="str">
        <x:v>Direct</x:v>
      </x:c>
      <x:c r="D161" s="2" t="str">
        <x:v>CUS-124</x:v>
      </x:c>
      <x:c r="E161" s="10" t="n">
        <x:v>34.95</x:v>
      </x:c>
      <x:c r="F161" s="10" t="n">
        <x:v>0</x:v>
      </x:c>
      <x:c r="G161" s="10" t="n">
        <x:v>0</x:v>
      </x:c>
      <x:c r="H161" s="10" t="n">
        <x:v>34.95</x:v>
      </x:c>
      <x:c r="I161" s="10" t="n">
        <x:v>13.5</x:v>
      </x:c>
      <x:c r="J161" s="10" t="n">
        <x:v>21.45</x:v>
      </x:c>
      <x:c r="K161" s="2" t="n">
        <x:v>1</x:v>
      </x:c>
      <x:c r="L161" s="2" t="n">
        <x:v>0</x:v>
      </x:c>
    </x:row>
    <x:row r="162" ht="20" customHeight="1">
      <x:c r="A162" s="9" t="n">
        <x:v>46270</x:v>
      </x:c>
      <x:c r="B162" s="2" t="str">
        <x:v>MM-1179</x:v>
      </x:c>
      <x:c r="C162" s="2" t="str">
        <x:v>Organic Search</x:v>
      </x:c>
      <x:c r="D162" s="2" t="str">
        <x:v>CUS-096</x:v>
      </x:c>
      <x:c r="E162" s="10" t="n">
        <x:v>22.95</x:v>
      </x:c>
      <x:c r="F162" s="10" t="n">
        <x:v>0</x:v>
      </x:c>
      <x:c r="G162" s="10" t="n">
        <x:v>0</x:v>
      </x:c>
      <x:c r="H162" s="10" t="n">
        <x:v>22.95</x:v>
      </x:c>
      <x:c r="I162" s="10" t="n">
        <x:v>8.5</x:v>
      </x:c>
      <x:c r="J162" s="10" t="n">
        <x:v>14.45</x:v>
      </x:c>
      <x:c r="K162" s="2" t="n">
        <x:v>1</x:v>
      </x:c>
      <x:c r="L162" s="2" t="n">
        <x:v>0</x:v>
      </x:c>
    </x:row>
    <x:row r="163" ht="20" customHeight="1">
      <x:c r="A163" s="9" t="n">
        <x:v>46270</x:v>
      </x:c>
      <x:c r="B163" s="2" t="str">
        <x:v>MM-1169</x:v>
      </x:c>
      <x:c r="C163" s="2" t="str">
        <x:v>Email</x:v>
      </x:c>
      <x:c r="D163" s="2" t="str">
        <x:v>CUS-091</x:v>
      </x:c>
      <x:c r="E163" s="10" t="n">
        <x:v>159.9</x:v>
      </x:c>
      <x:c r="F163" s="10" t="n">
        <x:v>15.99</x:v>
      </x:c>
      <x:c r="G163" s="10" t="n">
        <x:v>0</x:v>
      </x:c>
      <x:c r="H163" s="10" t="n">
        <x:v>143.91</x:v>
      </x:c>
      <x:c r="I163" s="10" t="n">
        <x:v>64</x:v>
      </x:c>
      <x:c r="J163" s="10" t="n">
        <x:v>79.91</x:v>
      </x:c>
      <x:c r="K163" s="2" t="n">
        <x:v>2</x:v>
      </x:c>
      <x:c r="L163" s="2" t="n">
        <x:v>0</x:v>
      </x:c>
    </x:row>
    <x:row r="164" ht="20" customHeight="1">
      <x:c r="A164" s="9" t="n">
        <x:v>46270</x:v>
      </x:c>
      <x:c r="B164" s="2" t="str">
        <x:v>MM-1167</x:v>
      </x:c>
      <x:c r="C164" s="2" t="str">
        <x:v>Paid Social</x:v>
      </x:c>
      <x:c r="D164" s="2" t="str">
        <x:v>CUS-113</x:v>
      </x:c>
      <x:c r="E164" s="10" t="n">
        <x:v>59.95</x:v>
      </x:c>
      <x:c r="F164" s="10" t="n">
        <x:v>5.99</x:v>
      </x:c>
      <x:c r="G164" s="10" t="n">
        <x:v>0</x:v>
      </x:c>
      <x:c r="H164" s="10" t="n">
        <x:v>53.96</x:v>
      </x:c>
      <x:c r="I164" s="10" t="n">
        <x:v>24</x:v>
      </x:c>
      <x:c r="J164" s="10" t="n">
        <x:v>29.96</x:v>
      </x:c>
      <x:c r="K164" s="2" t="n">
        <x:v>1</x:v>
      </x:c>
      <x:c r="L164" s="2" t="n">
        <x:v>0</x:v>
      </x:c>
    </x:row>
    <x:row r="165" ht="20" customHeight="1">
      <x:c r="A165" s="9" t="n">
        <x:v>46270</x:v>
      </x:c>
      <x:c r="B165" s="2" t="str">
        <x:v>MM-1186</x:v>
      </x:c>
      <x:c r="C165" s="2" t="str">
        <x:v>Organic Search</x:v>
      </x:c>
      <x:c r="D165" s="2" t="str">
        <x:v>CUS-115</x:v>
      </x:c>
      <x:c r="E165" s="10" t="n">
        <x:v>39.9</x:v>
      </x:c>
      <x:c r="F165" s="10" t="n">
        <x:v>0</x:v>
      </x:c>
      <x:c r="G165" s="10" t="n">
        <x:v>0</x:v>
      </x:c>
      <x:c r="H165" s="10" t="n">
        <x:v>39.9</x:v>
      </x:c>
      <x:c r="I165" s="10" t="n">
        <x:v>12</x:v>
      </x:c>
      <x:c r="J165" s="10" t="n">
        <x:v>27.9</x:v>
      </x:c>
      <x:c r="K165" s="2" t="n">
        <x:v>2</x:v>
      </x:c>
      <x:c r="L165" s="2" t="n">
        <x:v>0</x:v>
      </x:c>
    </x:row>
    <x:row r="166" ht="20" customHeight="1">
      <x:c r="A166" s="9" t="n">
        <x:v>46270</x:v>
      </x:c>
      <x:c r="B166" s="2" t="str">
        <x:v>MM-1174</x:v>
      </x:c>
      <x:c r="C166" s="2" t="str">
        <x:v>Organic Search</x:v>
      </x:c>
      <x:c r="D166" s="2" t="str">
        <x:v>CUS-002</x:v>
      </x:c>
      <x:c r="E166" s="10" t="n">
        <x:v>29.95</x:v>
      </x:c>
      <x:c r="F166" s="10" t="n">
        <x:v>0</x:v>
      </x:c>
      <x:c r="G166" s="10" t="n">
        <x:v>0</x:v>
      </x:c>
      <x:c r="H166" s="10" t="n">
        <x:v>29.95</x:v>
      </x:c>
      <x:c r="I166" s="10" t="n">
        <x:v>10</x:v>
      </x:c>
      <x:c r="J166" s="10" t="n">
        <x:v>19.95</x:v>
      </x:c>
      <x:c r="K166" s="2" t="n">
        <x:v>1</x:v>
      </x:c>
      <x:c r="L166" s="2" t="n">
        <x:v>0</x:v>
      </x:c>
    </x:row>
    <x:row r="167" ht="20" customHeight="1">
      <x:c r="A167" s="9" t="n">
        <x:v>46270</x:v>
      </x:c>
      <x:c r="B167" s="2" t="str">
        <x:v>MM-1178</x:v>
      </x:c>
      <x:c r="C167" s="2" t="str">
        <x:v>Direct</x:v>
      </x:c>
      <x:c r="D167" s="2" t="str">
        <x:v>CUS-058</x:v>
      </x:c>
      <x:c r="E167" s="10" t="n">
        <x:v>44.9</x:v>
      </x:c>
      <x:c r="F167" s="10" t="n">
        <x:v>0</x:v>
      </x:c>
      <x:c r="G167" s="10" t="n">
        <x:v>34.95</x:v>
      </x:c>
      <x:c r="H167" s="10" t="n">
        <x:v>9.95</x:v>
      </x:c>
      <x:c r="I167" s="10" t="n">
        <x:v>2.5</x:v>
      </x:c>
      <x:c r="J167" s="10" t="n">
        <x:v>7.45</x:v>
      </x:c>
      <x:c r="K167" s="2" t="n">
        <x:v>2</x:v>
      </x:c>
      <x:c r="L167" s="2" t="n">
        <x:v>1</x:v>
      </x:c>
    </x:row>
    <x:row r="168" ht="20" customHeight="1">
      <x:c r="A168" s="9" t="n">
        <x:v>46270</x:v>
      </x:c>
      <x:c r="B168" s="2" t="str">
        <x:v>MM-1183</x:v>
      </x:c>
      <x:c r="C168" s="2" t="str">
        <x:v>Organic Search</x:v>
      </x:c>
      <x:c r="D168" s="2" t="str">
        <x:v>CUS-141</x:v>
      </x:c>
      <x:c r="E168" s="10" t="n">
        <x:v>119.9</x:v>
      </x:c>
      <x:c r="F168" s="10" t="n">
        <x:v>0</x:v>
      </x:c>
      <x:c r="G168" s="10" t="n">
        <x:v>0</x:v>
      </x:c>
      <x:c r="H168" s="10" t="n">
        <x:v>119.9</x:v>
      </x:c>
      <x:c r="I168" s="10" t="n">
        <x:v>48</x:v>
      </x:c>
      <x:c r="J168" s="10" t="n">
        <x:v>71.9</x:v>
      </x:c>
      <x:c r="K168" s="2" t="n">
        <x:v>2</x:v>
      </x:c>
      <x:c r="L168" s="2" t="n">
        <x:v>0</x:v>
      </x:c>
    </x:row>
    <x:row r="169" ht="20" customHeight="1">
      <x:c r="A169" s="9" t="n">
        <x:v>46270</x:v>
      </x:c>
      <x:c r="B169" s="2" t="str">
        <x:v>MM-1184</x:v>
      </x:c>
      <x:c r="C169" s="2" t="str">
        <x:v>Email</x:v>
      </x:c>
      <x:c r="D169" s="2" t="str">
        <x:v>CUS-038</x:v>
      </x:c>
      <x:c r="E169" s="10" t="n">
        <x:v>119.9</x:v>
      </x:c>
      <x:c r="F169" s="10" t="n">
        <x:v>11.99</x:v>
      </x:c>
      <x:c r="G169" s="10" t="n">
        <x:v>0</x:v>
      </x:c>
      <x:c r="H169" s="10" t="n">
        <x:v>107.91</x:v>
      </x:c>
      <x:c r="I169" s="10" t="n">
        <x:v>48</x:v>
      </x:c>
      <x:c r="J169" s="10" t="n">
        <x:v>59.91</x:v>
      </x:c>
      <x:c r="K169" s="2" t="n">
        <x:v>2</x:v>
      </x:c>
      <x:c r="L169" s="2" t="n">
        <x:v>0</x:v>
      </x:c>
    </x:row>
    <x:row r="170" ht="20" customHeight="1">
      <x:c r="A170" s="9" t="n">
        <x:v>46270</x:v>
      </x:c>
      <x:c r="B170" s="2" t="str">
        <x:v>MM-1188</x:v>
      </x:c>
      <x:c r="C170" s="2" t="str">
        <x:v>Paid Social</x:v>
      </x:c>
      <x:c r="D170" s="2" t="str">
        <x:v>CUS-081</x:v>
      </x:c>
      <x:c r="E170" s="10" t="n">
        <x:v>12.95</x:v>
      </x:c>
      <x:c r="F170" s="10" t="n">
        <x:v>0</x:v>
      </x:c>
      <x:c r="G170" s="10" t="n">
        <x:v>0</x:v>
      </x:c>
      <x:c r="H170" s="10" t="n">
        <x:v>12.95</x:v>
      </x:c>
      <x:c r="I170" s="10" t="n">
        <x:v>3.5</x:v>
      </x:c>
      <x:c r="J170" s="10" t="n">
        <x:v>9.45</x:v>
      </x:c>
      <x:c r="K170" s="2" t="n">
        <x:v>1</x:v>
      </x:c>
      <x:c r="L170" s="2" t="n">
        <x:v>0</x:v>
      </x:c>
    </x:row>
    <x:row r="171" ht="20" customHeight="1">
      <x:c r="A171" s="9" t="n">
        <x:v>46270</x:v>
      </x:c>
      <x:c r="B171" s="2" t="str">
        <x:v>MM-1168</x:v>
      </x:c>
      <x:c r="C171" s="2" t="str">
        <x:v>Paid Social</x:v>
      </x:c>
      <x:c r="D171" s="2" t="str">
        <x:v>CUS-060</x:v>
      </x:c>
      <x:c r="E171" s="10" t="n">
        <x:v>29.85</x:v>
      </x:c>
      <x:c r="F171" s="10" t="n">
        <x:v>0</x:v>
      </x:c>
      <x:c r="G171" s="10" t="n">
        <x:v>0</x:v>
      </x:c>
      <x:c r="H171" s="10" t="n">
        <x:v>29.85</x:v>
      </x:c>
      <x:c r="I171" s="10" t="n">
        <x:v>7.5</x:v>
      </x:c>
      <x:c r="J171" s="10" t="n">
        <x:v>22.35</x:v>
      </x:c>
      <x:c r="K171" s="2" t="n">
        <x:v>3</x:v>
      </x:c>
      <x:c r="L171" s="2" t="n">
        <x:v>0</x:v>
      </x:c>
    </x:row>
    <x:row r="172" ht="20" customHeight="1">
      <x:c r="A172" s="9" t="n">
        <x:v>46270</x:v>
      </x:c>
      <x:c r="B172" s="2" t="str">
        <x:v>MM-1175</x:v>
      </x:c>
      <x:c r="C172" s="2" t="str">
        <x:v>Email</x:v>
      </x:c>
      <x:c r="D172" s="2" t="str">
        <x:v>CUS-082</x:v>
      </x:c>
      <x:c r="E172" s="10" t="n">
        <x:v>29.95</x:v>
      </x:c>
      <x:c r="F172" s="10" t="n">
        <x:v>2.99</x:v>
      </x:c>
      <x:c r="G172" s="10" t="n">
        <x:v>0</x:v>
      </x:c>
      <x:c r="H172" s="10" t="n">
        <x:v>26.96</x:v>
      </x:c>
      <x:c r="I172" s="10" t="n">
        <x:v>10</x:v>
      </x:c>
      <x:c r="J172" s="10" t="n">
        <x:v>16.96</x:v>
      </x:c>
      <x:c r="K172" s="2" t="n">
        <x:v>1</x:v>
      </x:c>
      <x:c r="L172" s="2" t="n">
        <x:v>0</x:v>
      </x:c>
    </x:row>
    <x:row r="173" ht="20" customHeight="1">
      <x:c r="A173" s="9" t="n">
        <x:v>46270</x:v>
      </x:c>
      <x:c r="B173" s="2" t="str">
        <x:v>MM-1185</x:v>
      </x:c>
      <x:c r="C173" s="2" t="str">
        <x:v>Email</x:v>
      </x:c>
      <x:c r="D173" s="2" t="str">
        <x:v>CUS-156</x:v>
      </x:c>
      <x:c r="E173" s="10" t="n">
        <x:v>9.95</x:v>
      </x:c>
      <x:c r="F173" s="10" t="n">
        <x:v>0.99</x:v>
      </x:c>
      <x:c r="G173" s="10" t="n">
        <x:v>0</x:v>
      </x:c>
      <x:c r="H173" s="10" t="n">
        <x:v>8.96</x:v>
      </x:c>
      <x:c r="I173" s="10" t="n">
        <x:v>2.5</x:v>
      </x:c>
      <x:c r="J173" s="10" t="n">
        <x:v>6.46</x:v>
      </x:c>
      <x:c r="K173" s="2" t="n">
        <x:v>1</x:v>
      </x:c>
      <x:c r="L173" s="2" t="n">
        <x:v>0</x:v>
      </x:c>
    </x:row>
    <x:row r="174" ht="20" customHeight="1">
      <x:c r="A174" s="9" t="n">
        <x:v>46270</x:v>
      </x:c>
      <x:c r="B174" s="2" t="str">
        <x:v>MM-1170</x:v>
      </x:c>
      <x:c r="C174" s="2" t="str">
        <x:v>Paid Social</x:v>
      </x:c>
      <x:c r="D174" s="2" t="str">
        <x:v>CUS-013</x:v>
      </x:c>
      <x:c r="E174" s="10" t="n">
        <x:v>139.75</x:v>
      </x:c>
      <x:c r="F174" s="10" t="n">
        <x:v>0</x:v>
      </x:c>
      <x:c r="G174" s="10" t="n">
        <x:v>0</x:v>
      </x:c>
      <x:c r="H174" s="10" t="n">
        <x:v>139.75</x:v>
      </x:c>
      <x:c r="I174" s="10" t="n">
        <x:v>48</x:v>
      </x:c>
      <x:c r="J174" s="10" t="n">
        <x:v>91.75</x:v>
      </x:c>
      <x:c r="K174" s="2" t="n">
        <x:v>5</x:v>
      </x:c>
      <x:c r="L174" s="2" t="n">
        <x:v>0</x:v>
      </x:c>
    </x:row>
    <x:row r="175" ht="20" customHeight="1">
      <x:c r="A175" s="9" t="n">
        <x:v>46270</x:v>
      </x:c>
      <x:c r="B175" s="2" t="str">
        <x:v>MM-1181</x:v>
      </x:c>
      <x:c r="C175" s="2" t="str">
        <x:v>Organic Search</x:v>
      </x:c>
      <x:c r="D175" s="2" t="str">
        <x:v>CUS-115</x:v>
      </x:c>
      <x:c r="E175" s="10" t="n">
        <x:v>19.95</x:v>
      </x:c>
      <x:c r="F175" s="10" t="n">
        <x:v>0</x:v>
      </x:c>
      <x:c r="G175" s="10" t="n">
        <x:v>19.95</x:v>
      </x:c>
      <x:c r="H175" s="10" t="n">
        <x:v>0</x:v>
      </x:c>
      <x:c r="I175" s="10" t="n">
        <x:v>0</x:v>
      </x:c>
      <x:c r="J175" s="10" t="n">
        <x:v>0</x:v>
      </x:c>
      <x:c r="K175" s="2" t="n">
        <x:v>1</x:v>
      </x:c>
      <x:c r="L175" s="2" t="n">
        <x:v>1</x:v>
      </x:c>
    </x:row>
    <x:row r="176" ht="20" customHeight="1">
      <x:c r="A176" s="9" t="n">
        <x:v>46270</x:v>
      </x:c>
      <x:c r="B176" s="2" t="str">
        <x:v>MM-1176</x:v>
      </x:c>
      <x:c r="C176" s="2" t="str">
        <x:v>Email</x:v>
      </x:c>
      <x:c r="D176" s="2" t="str">
        <x:v>CUS-146</x:v>
      </x:c>
      <x:c r="E176" s="10" t="n">
        <x:v>39.9</x:v>
      </x:c>
      <x:c r="F176" s="10" t="n">
        <x:v>3.99</x:v>
      </x:c>
      <x:c r="G176" s="10" t="n">
        <x:v>0</x:v>
      </x:c>
      <x:c r="H176" s="10" t="n">
        <x:v>35.91</x:v>
      </x:c>
      <x:c r="I176" s="10" t="n">
        <x:v>12</x:v>
      </x:c>
      <x:c r="J176" s="10" t="n">
        <x:v>23.91</x:v>
      </x:c>
      <x:c r="K176" s="2" t="n">
        <x:v>2</x:v>
      </x:c>
      <x:c r="L176" s="2" t="n">
        <x:v>0</x:v>
      </x:c>
    </x:row>
    <x:row r="177" ht="20" customHeight="1">
      <x:c r="A177" s="9" t="n">
        <x:v>46270</x:v>
      </x:c>
      <x:c r="B177" s="2" t="str">
        <x:v>MM-1182</x:v>
      </x:c>
      <x:c r="C177" s="2" t="str">
        <x:v>Email</x:v>
      </x:c>
      <x:c r="D177" s="2" t="str">
        <x:v>CUS-061</x:v>
      </x:c>
      <x:c r="E177" s="10" t="n">
        <x:v>32.95</x:v>
      </x:c>
      <x:c r="F177" s="10" t="n">
        <x:v>3.29</x:v>
      </x:c>
      <x:c r="G177" s="10" t="n">
        <x:v>0</x:v>
      </x:c>
      <x:c r="H177" s="10" t="n">
        <x:v>29.66</x:v>
      </x:c>
      <x:c r="I177" s="10" t="n">
        <x:v>12</x:v>
      </x:c>
      <x:c r="J177" s="10" t="n">
        <x:v>17.66</x:v>
      </x:c>
      <x:c r="K177" s="2" t="n">
        <x:v>1</x:v>
      </x:c>
      <x:c r="L177" s="2" t="n">
        <x:v>0</x:v>
      </x:c>
    </x:row>
    <x:row r="178" ht="20" customHeight="1">
      <x:c r="A178" s="9" t="n">
        <x:v>46270</x:v>
      </x:c>
      <x:c r="B178" s="2" t="str">
        <x:v>MM-1172</x:v>
      </x:c>
      <x:c r="C178" s="2" t="str">
        <x:v>Organic Search</x:v>
      </x:c>
      <x:c r="D178" s="2" t="str">
        <x:v>CUS-036</x:v>
      </x:c>
      <x:c r="E178" s="10" t="n">
        <x:v>67.9</x:v>
      </x:c>
      <x:c r="F178" s="10" t="n">
        <x:v>0</x:v>
      </x:c>
      <x:c r="G178" s="10" t="n">
        <x:v>0</x:v>
      </x:c>
      <x:c r="H178" s="10" t="n">
        <x:v>67.9</x:v>
      </x:c>
      <x:c r="I178" s="10" t="n">
        <x:v>25.5</x:v>
      </x:c>
      <x:c r="J178" s="10" t="n">
        <x:v>42.4</x:v>
      </x:c>
      <x:c r="K178" s="2" t="n">
        <x:v>2</x:v>
      </x:c>
      <x:c r="L178" s="2" t="n">
        <x:v>0</x:v>
      </x:c>
    </x:row>
    <x:row r="179" ht="20" customHeight="1">
      <x:c r="A179" s="9" t="n">
        <x:v>46270</x:v>
      </x:c>
      <x:c r="B179" s="2" t="str">
        <x:v>MM-1173</x:v>
      </x:c>
      <x:c r="C179" s="2" t="str">
        <x:v>Email</x:v>
      </x:c>
      <x:c r="D179" s="2" t="str">
        <x:v>CUS-013</x:v>
      </x:c>
      <x:c r="E179" s="10" t="n">
        <x:v>19.95</x:v>
      </x:c>
      <x:c r="F179" s="10" t="n">
        <x:v>1.99</x:v>
      </x:c>
      <x:c r="G179" s="10" t="n">
        <x:v>0</x:v>
      </x:c>
      <x:c r="H179" s="10" t="n">
        <x:v>17.96</x:v>
      </x:c>
      <x:c r="I179" s="10" t="n">
        <x:v>6</x:v>
      </x:c>
      <x:c r="J179" s="10" t="n">
        <x:v>11.96</x:v>
      </x:c>
      <x:c r="K179" s="2" t="n">
        <x:v>1</x:v>
      </x:c>
      <x:c r="L179" s="2" t="n">
        <x:v>0</x:v>
      </x:c>
    </x:row>
    <x:row r="180" ht="20" customHeight="1">
      <x:c r="A180" s="9" t="n">
        <x:v>46270</x:v>
      </x:c>
      <x:c r="B180" s="2" t="str">
        <x:v>MM-1171</x:v>
      </x:c>
      <x:c r="C180" s="2" t="str">
        <x:v>Email</x:v>
      </x:c>
      <x:c r="D180" s="2" t="str">
        <x:v>CUS-111</x:v>
      </x:c>
      <x:c r="E180" s="10" t="n">
        <x:v>59.85</x:v>
      </x:c>
      <x:c r="F180" s="10" t="n">
        <x:v>5.98</x:v>
      </x:c>
      <x:c r="G180" s="10" t="n">
        <x:v>17.96</x:v>
      </x:c>
      <x:c r="H180" s="10" t="n">
        <x:v>35.91</x:v>
      </x:c>
      <x:c r="I180" s="10" t="n">
        <x:v>12</x:v>
      </x:c>
      <x:c r="J180" s="10" t="n">
        <x:v>23.91</x:v>
      </x:c>
      <x:c r="K180" s="2" t="n">
        <x:v>3</x:v>
      </x:c>
      <x:c r="L180" s="2" t="n">
        <x:v>1</x:v>
      </x:c>
    </x:row>
    <x:row r="181" ht="20" customHeight="1">
      <x:c r="A181" s="9" t="n">
        <x:v>46270</x:v>
      </x:c>
      <x:c r="B181" s="2" t="str">
        <x:v>MM-1177</x:v>
      </x:c>
      <x:c r="C181" s="2" t="str">
        <x:v>Paid Social</x:v>
      </x:c>
      <x:c r="D181" s="2" t="str">
        <x:v>CUS-140</x:v>
      </x:c>
      <x:c r="E181" s="10" t="n">
        <x:v>153.8</x:v>
      </x:c>
      <x:c r="F181" s="10" t="n">
        <x:v>0</x:v>
      </x:c>
      <x:c r="G181" s="10" t="n">
        <x:v>0</x:v>
      </x:c>
      <x:c r="H181" s="10" t="n">
        <x:v>153.8</x:v>
      </x:c>
      <x:c r="I181" s="10" t="n">
        <x:v>58</x:v>
      </x:c>
      <x:c r="J181" s="10" t="n">
        <x:v>95.8</x:v>
      </x:c>
      <x:c r="K181" s="2" t="n">
        <x:v>4</x:v>
      </x:c>
      <x:c r="L181" s="2" t="n">
        <x:v>0</x:v>
      </x:c>
    </x:row>
    <x:row r="182" ht="20" customHeight="1">
      <x:c r="A182" s="9" t="n">
        <x:v>46270</x:v>
      </x:c>
      <x:c r="B182" s="2" t="str">
        <x:v>MM-1180</x:v>
      </x:c>
      <x:c r="C182" s="2" t="str">
        <x:v>Paid Social</x:v>
      </x:c>
      <x:c r="D182" s="2" t="str">
        <x:v>CUS-136</x:v>
      </x:c>
      <x:c r="E182" s="10" t="n">
        <x:v>137.8</x:v>
      </x:c>
      <x:c r="F182" s="10" t="n">
        <x:v>0</x:v>
      </x:c>
      <x:c r="G182" s="10" t="n">
        <x:v>0</x:v>
      </x:c>
      <x:c r="H182" s="10" t="n">
        <x:v>137.8</x:v>
      </x:c>
      <x:c r="I182" s="10" t="n">
        <x:v>52.5</x:v>
      </x:c>
      <x:c r="J182" s="10" t="n">
        <x:v>85.3</x:v>
      </x:c>
      <x:c r="K182" s="2" t="n">
        <x:v>4</x:v>
      </x:c>
      <x:c r="L182" s="2" t="n">
        <x:v>0</x:v>
      </x:c>
    </x:row>
    <x:row r="183" ht="20" customHeight="1">
      <x:c r="A183" s="9" t="n">
        <x:v>46271</x:v>
      </x:c>
      <x:c r="B183" s="2" t="str">
        <x:v>MM-1190</x:v>
      </x:c>
      <x:c r="C183" s="2" t="str">
        <x:v>Organic Search</x:v>
      </x:c>
      <x:c r="D183" s="2" t="str">
        <x:v>CUS-069</x:v>
      </x:c>
      <x:c r="E183" s="10" t="n">
        <x:v>12.95</x:v>
      </x:c>
      <x:c r="F183" s="10" t="n">
        <x:v>1.29</x:v>
      </x:c>
      <x:c r="G183" s="10" t="n">
        <x:v>0</x:v>
      </x:c>
      <x:c r="H183" s="10" t="n">
        <x:v>11.66</x:v>
      </x:c>
      <x:c r="I183" s="10" t="n">
        <x:v>3.5</x:v>
      </x:c>
      <x:c r="J183" s="10" t="n">
        <x:v>8.16</x:v>
      </x:c>
      <x:c r="K183" s="2" t="n">
        <x:v>1</x:v>
      </x:c>
      <x:c r="L183" s="2" t="n">
        <x:v>0</x:v>
      </x:c>
    </x:row>
    <x:row r="184" ht="20" customHeight="1">
      <x:c r="A184" s="9" t="n">
        <x:v>46271</x:v>
      </x:c>
      <x:c r="B184" s="2" t="str">
        <x:v>MM-1209</x:v>
      </x:c>
      <x:c r="C184" s="2" t="str">
        <x:v>Email</x:v>
      </x:c>
      <x:c r="D184" s="2" t="str">
        <x:v>CUS-169</x:v>
      </x:c>
      <x:c r="E184" s="10" t="n">
        <x:v>79.95</x:v>
      </x:c>
      <x:c r="F184" s="10" t="n">
        <x:v>7.99</x:v>
      </x:c>
      <x:c r="G184" s="10" t="n">
        <x:v>0</x:v>
      </x:c>
      <x:c r="H184" s="10" t="n">
        <x:v>71.96</x:v>
      </x:c>
      <x:c r="I184" s="10" t="n">
        <x:v>32</x:v>
      </x:c>
      <x:c r="J184" s="10" t="n">
        <x:v>39.96</x:v>
      </x:c>
      <x:c r="K184" s="2" t="n">
        <x:v>1</x:v>
      </x:c>
      <x:c r="L184" s="2" t="n">
        <x:v>0</x:v>
      </x:c>
    </x:row>
    <x:row r="185" ht="20" customHeight="1">
      <x:c r="A185" s="9" t="n">
        <x:v>46271</x:v>
      </x:c>
      <x:c r="B185" s="2" t="str">
        <x:v>MM-1200</x:v>
      </x:c>
      <x:c r="C185" s="2" t="str">
        <x:v>Paid Social</x:v>
      </x:c>
      <x:c r="D185" s="2" t="str">
        <x:v>CUS-146</x:v>
      </x:c>
      <x:c r="E185" s="10" t="n">
        <x:v>157.7</x:v>
      </x:c>
      <x:c r="F185" s="10" t="n">
        <x:v>6.88</x:v>
      </x:c>
      <x:c r="G185" s="10" t="n">
        <x:v>0</x:v>
      </x:c>
      <x:c r="H185" s="10" t="n">
        <x:v>150.82</x:v>
      </x:c>
      <x:c r="I185" s="10" t="n">
        <x:v>59</x:v>
      </x:c>
      <x:c r="J185" s="10" t="n">
        <x:v>91.82</x:v>
      </x:c>
      <x:c r="K185" s="2" t="n">
        <x:v>6</x:v>
      </x:c>
      <x:c r="L185" s="2" t="n">
        <x:v>0</x:v>
      </x:c>
    </x:row>
    <x:row r="186" ht="20" customHeight="1">
      <x:c r="A186" s="9" t="n">
        <x:v>46271</x:v>
      </x:c>
      <x:c r="B186" s="2" t="str">
        <x:v>MM-1189</x:v>
      </x:c>
      <x:c r="C186" s="2" t="str">
        <x:v>Paid Social</x:v>
      </x:c>
      <x:c r="D186" s="2" t="str">
        <x:v>CUS-155</x:v>
      </x:c>
      <x:c r="E186" s="10" t="n">
        <x:v>79.95</x:v>
      </x:c>
      <x:c r="F186" s="10" t="n">
        <x:v>0</x:v>
      </x:c>
      <x:c r="G186" s="10" t="n">
        <x:v>0</x:v>
      </x:c>
      <x:c r="H186" s="10" t="n">
        <x:v>79.95</x:v>
      </x:c>
      <x:c r="I186" s="10" t="n">
        <x:v>32</x:v>
      </x:c>
      <x:c r="J186" s="10" t="n">
        <x:v>47.95</x:v>
      </x:c>
      <x:c r="K186" s="2" t="n">
        <x:v>1</x:v>
      </x:c>
      <x:c r="L186" s="2" t="n">
        <x:v>0</x:v>
      </x:c>
    </x:row>
    <x:row r="187" ht="20" customHeight="1">
      <x:c r="A187" s="9" t="n">
        <x:v>46271</x:v>
      </x:c>
      <x:c r="B187" s="2" t="str">
        <x:v>MM-1195</x:v>
      </x:c>
      <x:c r="C187" s="2" t="str">
        <x:v>Direct</x:v>
      </x:c>
      <x:c r="D187" s="2" t="str">
        <x:v>CUS-155</x:v>
      </x:c>
      <x:c r="E187" s="10" t="n">
        <x:v>88.9</x:v>
      </x:c>
      <x:c r="F187" s="10" t="n">
        <x:v>0</x:v>
      </x:c>
      <x:c r="G187" s="10" t="n">
        <x:v>0</x:v>
      </x:c>
      <x:c r="H187" s="10" t="n">
        <x:v>88.9</x:v>
      </x:c>
      <x:c r="I187" s="10" t="n">
        <x:v>34.5</x:v>
      </x:c>
      <x:c r="J187" s="10" t="n">
        <x:v>54.4</x:v>
      </x:c>
      <x:c r="K187" s="2" t="n">
        <x:v>2</x:v>
      </x:c>
      <x:c r="L187" s="2" t="n">
        <x:v>0</x:v>
      </x:c>
    </x:row>
    <x:row r="188" ht="20" customHeight="1">
      <x:c r="A188" s="9" t="n">
        <x:v>46271</x:v>
      </x:c>
      <x:c r="B188" s="2" t="str">
        <x:v>MM-1205</x:v>
      </x:c>
      <x:c r="C188" s="2" t="str">
        <x:v>Direct</x:v>
      </x:c>
      <x:c r="D188" s="2" t="str">
        <x:v>CUS-115</x:v>
      </x:c>
      <x:c r="E188" s="10" t="n">
        <x:v>79.95</x:v>
      </x:c>
      <x:c r="F188" s="10" t="n">
        <x:v>0</x:v>
      </x:c>
      <x:c r="G188" s="10" t="n">
        <x:v>0</x:v>
      </x:c>
      <x:c r="H188" s="10" t="n">
        <x:v>79.95</x:v>
      </x:c>
      <x:c r="I188" s="10" t="n">
        <x:v>32</x:v>
      </x:c>
      <x:c r="J188" s="10" t="n">
        <x:v>47.95</x:v>
      </x:c>
      <x:c r="K188" s="2" t="n">
        <x:v>1</x:v>
      </x:c>
      <x:c r="L188" s="2" t="n">
        <x:v>0</x:v>
      </x:c>
    </x:row>
    <x:row r="189" ht="20" customHeight="1">
      <x:c r="A189" s="9" t="n">
        <x:v>46271</x:v>
      </x:c>
      <x:c r="B189" s="2" t="str">
        <x:v>MM-1196</x:v>
      </x:c>
      <x:c r="C189" s="2" t="str">
        <x:v>Organic Search</x:v>
      </x:c>
      <x:c r="D189" s="2" t="str">
        <x:v>CUS-083</x:v>
      </x:c>
      <x:c r="E189" s="10" t="n">
        <x:v>120.75</x:v>
      </x:c>
      <x:c r="F189" s="10" t="n">
        <x:v>0</x:v>
      </x:c>
      <x:c r="G189" s="10" t="n">
        <x:v>0</x:v>
      </x:c>
      <x:c r="H189" s="10" t="n">
        <x:v>120.75</x:v>
      </x:c>
      <x:c r="I189" s="10" t="n">
        <x:v>42.5</x:v>
      </x:c>
      <x:c r="J189" s="10" t="n">
        <x:v>78.25</x:v>
      </x:c>
      <x:c r="K189" s="2" t="n">
        <x:v>5</x:v>
      </x:c>
      <x:c r="L189" s="2" t="n">
        <x:v>0</x:v>
      </x:c>
    </x:row>
    <x:row r="190" ht="20" customHeight="1">
      <x:c r="A190" s="9" t="n">
        <x:v>46271</x:v>
      </x:c>
      <x:c r="B190" s="2" t="str">
        <x:v>MM-1193</x:v>
      </x:c>
      <x:c r="C190" s="2" t="str">
        <x:v>Direct</x:v>
      </x:c>
      <x:c r="D190" s="2" t="str">
        <x:v>CUS-109</x:v>
      </x:c>
      <x:c r="E190" s="10" t="n">
        <x:v>89.9</x:v>
      </x:c>
      <x:c r="F190" s="10" t="n">
        <x:v>0</x:v>
      </x:c>
      <x:c r="G190" s="10" t="n">
        <x:v>0</x:v>
      </x:c>
      <x:c r="H190" s="10" t="n">
        <x:v>89.9</x:v>
      </x:c>
      <x:c r="I190" s="10" t="n">
        <x:v>34.5</x:v>
      </x:c>
      <x:c r="J190" s="10" t="n">
        <x:v>55.4</x:v>
      </x:c>
      <x:c r="K190" s="2" t="n">
        <x:v>2</x:v>
      </x:c>
      <x:c r="L190" s="2" t="n">
        <x:v>0</x:v>
      </x:c>
    </x:row>
    <x:row r="191" ht="20" customHeight="1">
      <x:c r="A191" s="9" t="n">
        <x:v>46271</x:v>
      </x:c>
      <x:c r="B191" s="2" t="str">
        <x:v>MM-1208</x:v>
      </x:c>
      <x:c r="C191" s="2" t="str">
        <x:v>Organic Search</x:v>
      </x:c>
      <x:c r="D191" s="2" t="str">
        <x:v>CUS-126</x:v>
      </x:c>
      <x:c r="E191" s="10" t="n">
        <x:v>115.85</x:v>
      </x:c>
      <x:c r="F191" s="10" t="n">
        <x:v>0</x:v>
      </x:c>
      <x:c r="G191" s="10" t="n">
        <x:v>0</x:v>
      </x:c>
      <x:c r="H191" s="10" t="n">
        <x:v>115.85</x:v>
      </x:c>
      <x:c r="I191" s="10" t="n">
        <x:v>44.5</x:v>
      </x:c>
      <x:c r="J191" s="10" t="n">
        <x:v>71.35</x:v>
      </x:c>
      <x:c r="K191" s="2" t="n">
        <x:v>3</x:v>
      </x:c>
      <x:c r="L191" s="2" t="n">
        <x:v>0</x:v>
      </x:c>
    </x:row>
    <x:row r="192" ht="20" customHeight="1">
      <x:c r="A192" s="9" t="n">
        <x:v>46271</x:v>
      </x:c>
      <x:c r="B192" s="2" t="str">
        <x:v>MM-1191</x:v>
      </x:c>
      <x:c r="C192" s="2" t="str">
        <x:v>Organic Search</x:v>
      </x:c>
      <x:c r="D192" s="2" t="str">
        <x:v>CUS-142</x:v>
      </x:c>
      <x:c r="E192" s="10" t="n">
        <x:v>79.95</x:v>
      </x:c>
      <x:c r="F192" s="10" t="n">
        <x:v>0</x:v>
      </x:c>
      <x:c r="G192" s="10" t="n">
        <x:v>79.95</x:v>
      </x:c>
      <x:c r="H192" s="10" t="n">
        <x:v>0</x:v>
      </x:c>
      <x:c r="I192" s="10" t="n">
        <x:v>0</x:v>
      </x:c>
      <x:c r="J192" s="10" t="n">
        <x:v>0</x:v>
      </x:c>
      <x:c r="K192" s="2" t="n">
        <x:v>1</x:v>
      </x:c>
      <x:c r="L192" s="2" t="n">
        <x:v>1</x:v>
      </x:c>
    </x:row>
    <x:row r="193" ht="20" customHeight="1">
      <x:c r="A193" s="9" t="n">
        <x:v>46271</x:v>
      </x:c>
      <x:c r="B193" s="2" t="str">
        <x:v>MM-1202</x:v>
      </x:c>
      <x:c r="C193" s="2" t="str">
        <x:v>Email</x:v>
      </x:c>
      <x:c r="D193" s="2" t="str">
        <x:v>CUS-116</x:v>
      </x:c>
      <x:c r="E193" s="10" t="n">
        <x:v>22.95</x:v>
      </x:c>
      <x:c r="F193" s="10" t="n">
        <x:v>2.29</x:v>
      </x:c>
      <x:c r="G193" s="10" t="n">
        <x:v>0</x:v>
      </x:c>
      <x:c r="H193" s="10" t="n">
        <x:v>20.66</x:v>
      </x:c>
      <x:c r="I193" s="10" t="n">
        <x:v>8.5</x:v>
      </x:c>
      <x:c r="J193" s="10" t="n">
        <x:v>12.16</x:v>
      </x:c>
      <x:c r="K193" s="2" t="n">
        <x:v>1</x:v>
      </x:c>
      <x:c r="L193" s="2" t="n">
        <x:v>0</x:v>
      </x:c>
    </x:row>
    <x:row r="194" ht="20" customHeight="1">
      <x:c r="A194" s="9" t="n">
        <x:v>46271</x:v>
      </x:c>
      <x:c r="B194" s="2" t="str">
        <x:v>MM-1203</x:v>
      </x:c>
      <x:c r="C194" s="2" t="str">
        <x:v>Email</x:v>
      </x:c>
      <x:c r="D194" s="2" t="str">
        <x:v>CUS-104</x:v>
      </x:c>
      <x:c r="E194" s="10" t="n">
        <x:v>24.95</x:v>
      </x:c>
      <x:c r="F194" s="10" t="n">
        <x:v>2.49</x:v>
      </x:c>
      <x:c r="G194" s="10" t="n">
        <x:v>22.46</x:v>
      </x:c>
      <x:c r="H194" s="10" t="n">
        <x:v>0</x:v>
      </x:c>
      <x:c r="I194" s="10" t="n">
        <x:v>0</x:v>
      </x:c>
      <x:c r="J194" s="10" t="n">
        <x:v>0</x:v>
      </x:c>
      <x:c r="K194" s="2" t="n">
        <x:v>1</x:v>
      </x:c>
      <x:c r="L194" s="2" t="n">
        <x:v>1</x:v>
      </x:c>
    </x:row>
    <x:row r="195" ht="20" customHeight="1">
      <x:c r="A195" s="9" t="n">
        <x:v>46271</x:v>
      </x:c>
      <x:c r="B195" s="2" t="str">
        <x:v>MM-1194</x:v>
      </x:c>
      <x:c r="C195" s="2" t="str">
        <x:v>Email</x:v>
      </x:c>
      <x:c r="D195" s="2" t="str">
        <x:v>CUS-119</x:v>
      </x:c>
      <x:c r="E195" s="10" t="n">
        <x:v>29.95</x:v>
      </x:c>
      <x:c r="F195" s="10" t="n">
        <x:v>2.99</x:v>
      </x:c>
      <x:c r="G195" s="10" t="n">
        <x:v>0</x:v>
      </x:c>
      <x:c r="H195" s="10" t="n">
        <x:v>26.96</x:v>
      </x:c>
      <x:c r="I195" s="10" t="n">
        <x:v>10</x:v>
      </x:c>
      <x:c r="J195" s="10" t="n">
        <x:v>16.96</x:v>
      </x:c>
      <x:c r="K195" s="2" t="n">
        <x:v>1</x:v>
      </x:c>
      <x:c r="L195" s="2" t="n">
        <x:v>0</x:v>
      </x:c>
    </x:row>
    <x:row r="196" ht="20" customHeight="1">
      <x:c r="A196" s="9" t="n">
        <x:v>46271</x:v>
      </x:c>
      <x:c r="B196" s="2" t="str">
        <x:v>MM-1199</x:v>
      </x:c>
      <x:c r="C196" s="2" t="str">
        <x:v>Email</x:v>
      </x:c>
      <x:c r="D196" s="2" t="str">
        <x:v>CUS-040</x:v>
      </x:c>
      <x:c r="E196" s="10" t="n">
        <x:v>32.95</x:v>
      </x:c>
      <x:c r="F196" s="10" t="n">
        <x:v>3.29</x:v>
      </x:c>
      <x:c r="G196" s="10" t="n">
        <x:v>0</x:v>
      </x:c>
      <x:c r="H196" s="10" t="n">
        <x:v>29.66</x:v>
      </x:c>
      <x:c r="I196" s="10" t="n">
        <x:v>12</x:v>
      </x:c>
      <x:c r="J196" s="10" t="n">
        <x:v>17.66</x:v>
      </x:c>
      <x:c r="K196" s="2" t="n">
        <x:v>1</x:v>
      </x:c>
      <x:c r="L196" s="2" t="n">
        <x:v>0</x:v>
      </x:c>
    </x:row>
    <x:row r="197" ht="20" customHeight="1">
      <x:c r="A197" s="9" t="n">
        <x:v>46271</x:v>
      </x:c>
      <x:c r="B197" s="2" t="str">
        <x:v>MM-1207</x:v>
      </x:c>
      <x:c r="C197" s="2" t="str">
        <x:v>Email</x:v>
      </x:c>
      <x:c r="D197" s="2" t="str">
        <x:v>CUS-086</x:v>
      </x:c>
      <x:c r="E197" s="10" t="n">
        <x:v>116.75</x:v>
      </x:c>
      <x:c r="F197" s="10" t="n">
        <x:v>11.66</x:v>
      </x:c>
      <x:c r="G197" s="10" t="n">
        <x:v>0</x:v>
      </x:c>
      <x:c r="H197" s="10" t="n">
        <x:v>105.09</x:v>
      </x:c>
      <x:c r="I197" s="10" t="n">
        <x:v>40.5</x:v>
      </x:c>
      <x:c r="J197" s="10" t="n">
        <x:v>64.59</x:v>
      </x:c>
      <x:c r="K197" s="2" t="n">
        <x:v>5</x:v>
      </x:c>
      <x:c r="L197" s="2" t="n">
        <x:v>0</x:v>
      </x:c>
    </x:row>
    <x:row r="198" ht="20" customHeight="1">
      <x:c r="A198" s="9" t="n">
        <x:v>46271</x:v>
      </x:c>
      <x:c r="B198" s="2" t="str">
        <x:v>MM-1201</x:v>
      </x:c>
      <x:c r="C198" s="2" t="str">
        <x:v>Organic Search</x:v>
      </x:c>
      <x:c r="D198" s="2" t="str">
        <x:v>CUS-115</x:v>
      </x:c>
      <x:c r="E198" s="10" t="n">
        <x:v>79.95</x:v>
      </x:c>
      <x:c r="F198" s="10" t="n">
        <x:v>0</x:v>
      </x:c>
      <x:c r="G198" s="10" t="n">
        <x:v>0</x:v>
      </x:c>
      <x:c r="H198" s="10" t="n">
        <x:v>79.95</x:v>
      </x:c>
      <x:c r="I198" s="10" t="n">
        <x:v>32</x:v>
      </x:c>
      <x:c r="J198" s="10" t="n">
        <x:v>47.95</x:v>
      </x:c>
      <x:c r="K198" s="2" t="n">
        <x:v>1</x:v>
      </x:c>
      <x:c r="L198" s="2" t="n">
        <x:v>0</x:v>
      </x:c>
    </x:row>
    <x:row r="199" ht="20" customHeight="1">
      <x:c r="A199" s="9" t="n">
        <x:v>46271</x:v>
      </x:c>
      <x:c r="B199" s="2" t="str">
        <x:v>MM-1204</x:v>
      </x:c>
      <x:c r="C199" s="2" t="str">
        <x:v>Organic Search</x:v>
      </x:c>
      <x:c r="D199" s="2" t="str">
        <x:v>CUS-003</x:v>
      </x:c>
      <x:c r="E199" s="10" t="n">
        <x:v>34.95</x:v>
      </x:c>
      <x:c r="F199" s="10" t="n">
        <x:v>0</x:v>
      </x:c>
      <x:c r="G199" s="10" t="n">
        <x:v>0</x:v>
      </x:c>
      <x:c r="H199" s="10" t="n">
        <x:v>34.95</x:v>
      </x:c>
      <x:c r="I199" s="10" t="n">
        <x:v>13.5</x:v>
      </x:c>
      <x:c r="J199" s="10" t="n">
        <x:v>21.45</x:v>
      </x:c>
      <x:c r="K199" s="2" t="n">
        <x:v>1</x:v>
      </x:c>
      <x:c r="L199" s="2" t="n">
        <x:v>0</x:v>
      </x:c>
    </x:row>
    <x:row r="200" ht="20" customHeight="1">
      <x:c r="A200" s="9" t="n">
        <x:v>46271</x:v>
      </x:c>
      <x:c r="B200" s="2" t="str">
        <x:v>MM-1197</x:v>
      </x:c>
      <x:c r="C200" s="2" t="str">
        <x:v>Email</x:v>
      </x:c>
      <x:c r="D200" s="2" t="str">
        <x:v>CUS-006</x:v>
      </x:c>
      <x:c r="E200" s="10" t="n">
        <x:v>69.9</x:v>
      </x:c>
      <x:c r="F200" s="10" t="n">
        <x:v>6.99</x:v>
      </x:c>
      <x:c r="G200" s="10" t="n">
        <x:v>31.46</x:v>
      </x:c>
      <x:c r="H200" s="10" t="n">
        <x:v>31.45</x:v>
      </x:c>
      <x:c r="I200" s="10" t="n">
        <x:v>13.5</x:v>
      </x:c>
      <x:c r="J200" s="10" t="n">
        <x:v>17.95</x:v>
      </x:c>
      <x:c r="K200" s="2" t="n">
        <x:v>2</x:v>
      </x:c>
      <x:c r="L200" s="2" t="n">
        <x:v>1</x:v>
      </x:c>
    </x:row>
    <x:row r="201" ht="20" customHeight="1">
      <x:c r="A201" s="9" t="n">
        <x:v>46271</x:v>
      </x:c>
      <x:c r="B201" s="2" t="str">
        <x:v>MM-1211</x:v>
      </x:c>
      <x:c r="C201" s="2" t="str">
        <x:v>Organic Search</x:v>
      </x:c>
      <x:c r="D201" s="2" t="str">
        <x:v>CUS-147</x:v>
      </x:c>
      <x:c r="E201" s="10" t="n">
        <x:v>70.85</x:v>
      </x:c>
      <x:c r="F201" s="10" t="n">
        <x:v>0</x:v>
      </x:c>
      <x:c r="G201" s="10" t="n">
        <x:v>0</x:v>
      </x:c>
      <x:c r="H201" s="10" t="n">
        <x:v>70.85</x:v>
      </x:c>
      <x:c r="I201" s="10" t="n">
        <x:v>26</x:v>
      </x:c>
      <x:c r="J201" s="10" t="n">
        <x:v>44.85</x:v>
      </x:c>
      <x:c r="K201" s="2" t="n">
        <x:v>3</x:v>
      </x:c>
      <x:c r="L201" s="2" t="n">
        <x:v>0</x:v>
      </x:c>
    </x:row>
    <x:row r="202" ht="20" customHeight="1">
      <x:c r="A202" s="9" t="n">
        <x:v>46271</x:v>
      </x:c>
      <x:c r="B202" s="2" t="str">
        <x:v>MM-1198</x:v>
      </x:c>
      <x:c r="C202" s="2" t="str">
        <x:v>Email</x:v>
      </x:c>
      <x:c r="D202" s="2" t="str">
        <x:v>CUS-113</x:v>
      </x:c>
      <x:c r="E202" s="10" t="n">
        <x:v>92.9</x:v>
      </x:c>
      <x:c r="F202" s="10" t="n">
        <x:v>9.28</x:v>
      </x:c>
      <x:c r="G202" s="10" t="n">
        <x:v>0</x:v>
      </x:c>
      <x:c r="H202" s="10" t="n">
        <x:v>83.62</x:v>
      </x:c>
      <x:c r="I202" s="10" t="n">
        <x:v>35.5</x:v>
      </x:c>
      <x:c r="J202" s="10" t="n">
        <x:v>48.12</x:v>
      </x:c>
      <x:c r="K202" s="2" t="n">
        <x:v>2</x:v>
      </x:c>
      <x:c r="L202" s="2" t="n">
        <x:v>0</x:v>
      </x:c>
    </x:row>
    <x:row r="203" ht="20" customHeight="1">
      <x:c r="A203" s="9" t="n">
        <x:v>46271</x:v>
      </x:c>
      <x:c r="B203" s="2" t="str">
        <x:v>MM-1206</x:v>
      </x:c>
      <x:c r="C203" s="2" t="str">
        <x:v>Paid Social</x:v>
      </x:c>
      <x:c r="D203" s="2" t="str">
        <x:v>CUS-160</x:v>
      </x:c>
      <x:c r="E203" s="10" t="n">
        <x:v>101.8</x:v>
      </x:c>
      <x:c r="F203" s="10" t="n">
        <x:v>0</x:v>
      </x:c>
      <x:c r="G203" s="10" t="n">
        <x:v>0</x:v>
      </x:c>
      <x:c r="H203" s="10" t="n">
        <x:v>101.8</x:v>
      </x:c>
      <x:c r="I203" s="10" t="n">
        <x:v>37.5</x:v>
      </x:c>
      <x:c r="J203" s="10" t="n">
        <x:v>64.3</x:v>
      </x:c>
      <x:c r="K203" s="2" t="n">
        <x:v>4</x:v>
      </x:c>
      <x:c r="L203" s="2" t="n">
        <x:v>0</x:v>
      </x:c>
    </x:row>
    <x:row r="204" ht="20" customHeight="1">
      <x:c r="A204" s="9" t="n">
        <x:v>46271</x:v>
      </x:c>
      <x:c r="B204" s="2" t="str">
        <x:v>MM-1210</x:v>
      </x:c>
      <x:c r="C204" s="2" t="str">
        <x:v>Direct</x:v>
      </x:c>
      <x:c r="D204" s="2" t="str">
        <x:v>CUS-079</x:v>
      </x:c>
      <x:c r="E204" s="10" t="n">
        <x:v>239.85</x:v>
      </x:c>
      <x:c r="F204" s="10" t="n">
        <x:v>23.98</x:v>
      </x:c>
      <x:c r="G204" s="10" t="n">
        <x:v>0</x:v>
      </x:c>
      <x:c r="H204" s="10" t="n">
        <x:v>215.87</x:v>
      </x:c>
      <x:c r="I204" s="10" t="n">
        <x:v>96</x:v>
      </x:c>
      <x:c r="J204" s="10" t="n">
        <x:v>119.87</x:v>
      </x:c>
      <x:c r="K204" s="2" t="n">
        <x:v>3</x:v>
      </x:c>
      <x:c r="L204" s="2" t="n">
        <x:v>0</x:v>
      </x:c>
    </x:row>
    <x:row r="205" ht="20" customHeight="1">
      <x:c r="A205" s="9" t="n">
        <x:v>46272</x:v>
      </x:c>
      <x:c r="B205" s="2" t="str">
        <x:v>MM-1220</x:v>
      </x:c>
      <x:c r="C205" s="2" t="str">
        <x:v>Email</x:v>
      </x:c>
      <x:c r="D205" s="2" t="str">
        <x:v>CUS-171</x:v>
      </x:c>
      <x:c r="E205" s="10" t="n">
        <x:v>54.95</x:v>
      </x:c>
      <x:c r="F205" s="10" t="n">
        <x:v>5.49</x:v>
      </x:c>
      <x:c r="G205" s="10" t="n">
        <x:v>0</x:v>
      </x:c>
      <x:c r="H205" s="10" t="n">
        <x:v>49.46</x:v>
      </x:c>
      <x:c r="I205" s="10" t="n">
        <x:v>22</x:v>
      </x:c>
      <x:c r="J205" s="10" t="n">
        <x:v>27.46</x:v>
      </x:c>
      <x:c r="K205" s="2" t="n">
        <x:v>1</x:v>
      </x:c>
      <x:c r="L205" s="2" t="n">
        <x:v>0</x:v>
      </x:c>
    </x:row>
    <x:row r="206" ht="20" customHeight="1">
      <x:c r="A206" s="9" t="n">
        <x:v>46272</x:v>
      </x:c>
      <x:c r="B206" s="2" t="str">
        <x:v>MM-1214</x:v>
      </x:c>
      <x:c r="C206" s="2" t="str">
        <x:v>Organic Search</x:v>
      </x:c>
      <x:c r="D206" s="2" t="str">
        <x:v>CUS-053</x:v>
      </x:c>
      <x:c r="E206" s="10" t="n">
        <x:v>109.9</x:v>
      </x:c>
      <x:c r="F206" s="10" t="n">
        <x:v>0</x:v>
      </x:c>
      <x:c r="G206" s="10" t="n">
        <x:v>0</x:v>
      </x:c>
      <x:c r="H206" s="10" t="n">
        <x:v>109.9</x:v>
      </x:c>
      <x:c r="I206" s="10" t="n">
        <x:v>44</x:v>
      </x:c>
      <x:c r="J206" s="10" t="n">
        <x:v>65.9</x:v>
      </x:c>
      <x:c r="K206" s="2" t="n">
        <x:v>2</x:v>
      </x:c>
      <x:c r="L206" s="2" t="n">
        <x:v>0</x:v>
      </x:c>
    </x:row>
    <x:row r="207" ht="20" customHeight="1">
      <x:c r="A207" s="9" t="n">
        <x:v>46272</x:v>
      </x:c>
      <x:c r="B207" s="2" t="str">
        <x:v>MM-1216</x:v>
      </x:c>
      <x:c r="C207" s="2" t="str">
        <x:v>Paid Social</x:v>
      </x:c>
      <x:c r="D207" s="2" t="str">
        <x:v>CUS-082</x:v>
      </x:c>
      <x:c r="E207" s="10" t="n">
        <x:v>29.95</x:v>
      </x:c>
      <x:c r="F207" s="10" t="n">
        <x:v>2.99</x:v>
      </x:c>
      <x:c r="G207" s="10" t="n">
        <x:v>0</x:v>
      </x:c>
      <x:c r="H207" s="10" t="n">
        <x:v>26.96</x:v>
      </x:c>
      <x:c r="I207" s="10" t="n">
        <x:v>10</x:v>
      </x:c>
      <x:c r="J207" s="10" t="n">
        <x:v>16.96</x:v>
      </x:c>
      <x:c r="K207" s="2" t="n">
        <x:v>1</x:v>
      </x:c>
      <x:c r="L207" s="2" t="n">
        <x:v>0</x:v>
      </x:c>
    </x:row>
    <x:row r="208" ht="20" customHeight="1">
      <x:c r="A208" s="9" t="n">
        <x:v>46272</x:v>
      </x:c>
      <x:c r="B208" s="2" t="str">
        <x:v>MM-1213</x:v>
      </x:c>
      <x:c r="C208" s="2" t="str">
        <x:v>Paid Social</x:v>
      </x:c>
      <x:c r="D208" s="2" t="str">
        <x:v>CUS-063</x:v>
      </x:c>
      <x:c r="E208" s="10" t="n">
        <x:v>185.8</x:v>
      </x:c>
      <x:c r="F208" s="10" t="n">
        <x:v>13.98</x:v>
      </x:c>
      <x:c r="G208" s="10" t="n">
        <x:v>0</x:v>
      </x:c>
      <x:c r="H208" s="10" t="n">
        <x:v>171.82</x:v>
      </x:c>
      <x:c r="I208" s="10" t="n">
        <x:v>73</x:v>
      </x:c>
      <x:c r="J208" s="10" t="n">
        <x:v>98.82</x:v>
      </x:c>
      <x:c r="K208" s="2" t="n">
        <x:v>4</x:v>
      </x:c>
      <x:c r="L208" s="2" t="n">
        <x:v>0</x:v>
      </x:c>
    </x:row>
    <x:row r="209" ht="20" customHeight="1">
      <x:c r="A209" s="9" t="n">
        <x:v>46272</x:v>
      </x:c>
      <x:c r="B209" s="2" t="str">
        <x:v>MM-1212</x:v>
      </x:c>
      <x:c r="C209" s="2" t="str">
        <x:v>Paid Social</x:v>
      </x:c>
      <x:c r="D209" s="2" t="str">
        <x:v>CUS-088</x:v>
      </x:c>
      <x:c r="E209" s="10" t="n">
        <x:v>59.9</x:v>
      </x:c>
      <x:c r="F209" s="10" t="n">
        <x:v>5.99</x:v>
      </x:c>
      <x:c r="G209" s="10" t="n">
        <x:v>0</x:v>
      </x:c>
      <x:c r="H209" s="10" t="n">
        <x:v>53.91</x:v>
      </x:c>
      <x:c r="I209" s="10" t="n">
        <x:v>20</x:v>
      </x:c>
      <x:c r="J209" s="10" t="n">
        <x:v>33.91</x:v>
      </x:c>
      <x:c r="K209" s="2" t="n">
        <x:v>2</x:v>
      </x:c>
      <x:c r="L209" s="2" t="n">
        <x:v>0</x:v>
      </x:c>
    </x:row>
    <x:row r="210" ht="20" customHeight="1">
      <x:c r="A210" s="9" t="n">
        <x:v>46272</x:v>
      </x:c>
      <x:c r="B210" s="2" t="str">
        <x:v>MM-1218</x:v>
      </x:c>
      <x:c r="C210" s="2" t="str">
        <x:v>Direct</x:v>
      </x:c>
      <x:c r="D210" s="2" t="str">
        <x:v>CUS-167</x:v>
      </x:c>
      <x:c r="E210" s="10" t="n">
        <x:v>79.95</x:v>
      </x:c>
      <x:c r="F210" s="10" t="n">
        <x:v>0</x:v>
      </x:c>
      <x:c r="G210" s="10" t="n">
        <x:v>0</x:v>
      </x:c>
      <x:c r="H210" s="10" t="n">
        <x:v>79.95</x:v>
      </x:c>
      <x:c r="I210" s="10" t="n">
        <x:v>32</x:v>
      </x:c>
      <x:c r="J210" s="10" t="n">
        <x:v>47.95</x:v>
      </x:c>
      <x:c r="K210" s="2" t="n">
        <x:v>1</x:v>
      </x:c>
      <x:c r="L210" s="2" t="n">
        <x:v>0</x:v>
      </x:c>
    </x:row>
    <x:row r="211" ht="20" customHeight="1">
      <x:c r="A211" s="9" t="n">
        <x:v>46272</x:v>
      </x:c>
      <x:c r="B211" s="2" t="str">
        <x:v>MM-1219</x:v>
      </x:c>
      <x:c r="C211" s="2" t="str">
        <x:v>Direct</x:v>
      </x:c>
      <x:c r="D211" s="2" t="str">
        <x:v>CUS-151</x:v>
      </x:c>
      <x:c r="E211" s="10" t="n">
        <x:v>50.85</x:v>
      </x:c>
      <x:c r="F211" s="10" t="n">
        <x:v>2.59</x:v>
      </x:c>
      <x:c r="G211" s="10" t="n">
        <x:v>0</x:v>
      </x:c>
      <x:c r="H211" s="10" t="n">
        <x:v>48.26</x:v>
      </x:c>
      <x:c r="I211" s="10" t="n">
        <x:v>15.5</x:v>
      </x:c>
      <x:c r="J211" s="10" t="n">
        <x:v>32.76</x:v>
      </x:c>
      <x:c r="K211" s="2" t="n">
        <x:v>3</x:v>
      </x:c>
      <x:c r="L211" s="2" t="n">
        <x:v>0</x:v>
      </x:c>
    </x:row>
    <x:row r="212" ht="20" customHeight="1">
      <x:c r="A212" s="9" t="n">
        <x:v>46272</x:v>
      </x:c>
      <x:c r="B212" s="2" t="str">
        <x:v>MM-1215</x:v>
      </x:c>
      <x:c r="C212" s="2" t="str">
        <x:v>Direct</x:v>
      </x:c>
      <x:c r="D212" s="2" t="str">
        <x:v>CUS-028</x:v>
      </x:c>
      <x:c r="E212" s="10" t="n">
        <x:v>122.85</x:v>
      </x:c>
      <x:c r="F212" s="10" t="n">
        <x:v>0</x:v>
      </x:c>
      <x:c r="G212" s="10" t="n">
        <x:v>0</x:v>
      </x:c>
      <x:c r="H212" s="10" t="n">
        <x:v>122.85</x:v>
      </x:c>
      <x:c r="I212" s="10" t="n">
        <x:v>47.5</x:v>
      </x:c>
      <x:c r="J212" s="10" t="n">
        <x:v>75.35</x:v>
      </x:c>
      <x:c r="K212" s="2" t="n">
        <x:v>3</x:v>
      </x:c>
      <x:c r="L212" s="2" t="n">
        <x:v>0</x:v>
      </x:c>
    </x:row>
    <x:row r="213" ht="20" customHeight="1">
      <x:c r="A213" s="9" t="n">
        <x:v>46272</x:v>
      </x:c>
      <x:c r="B213" s="2" t="str">
        <x:v>MM-1217</x:v>
      </x:c>
      <x:c r="C213" s="2" t="str">
        <x:v>Organic Search</x:v>
      </x:c>
      <x:c r="D213" s="2" t="str">
        <x:v>CUS-071</x:v>
      </x:c>
      <x:c r="E213" s="10" t="n">
        <x:v>214.85</x:v>
      </x:c>
      <x:c r="F213" s="10" t="n">
        <x:v>0</x:v>
      </x:c>
      <x:c r="G213" s="10" t="n">
        <x:v>0</x:v>
      </x:c>
      <x:c r="H213" s="10" t="n">
        <x:v>214.85</x:v>
      </x:c>
      <x:c r="I213" s="10" t="n">
        <x:v>86</x:v>
      </x:c>
      <x:c r="J213" s="10" t="n">
        <x:v>128.85</x:v>
      </x:c>
      <x:c r="K213" s="2" t="n">
        <x:v>3</x:v>
      </x:c>
      <x:c r="L213" s="2" t="n">
        <x:v>0</x:v>
      </x:c>
    </x:row>
    <x:row r="214" ht="20" customHeight="1">
      <x:c r="A214" s="9" t="n">
        <x:v>46272</x:v>
      </x:c>
      <x:c r="B214" s="2" t="str">
        <x:v>MM-1221</x:v>
      </x:c>
      <x:c r="C214" s="2" t="str">
        <x:v>Organic Search</x:v>
      </x:c>
      <x:c r="D214" s="2" t="str">
        <x:v>CUS-157</x:v>
      </x:c>
      <x:c r="E214" s="10" t="n">
        <x:v>39.9</x:v>
      </x:c>
      <x:c r="F214" s="10" t="n">
        <x:v>0</x:v>
      </x:c>
      <x:c r="G214" s="10" t="n">
        <x:v>0</x:v>
      </x:c>
      <x:c r="H214" s="10" t="n">
        <x:v>39.9</x:v>
      </x:c>
      <x:c r="I214" s="10" t="n">
        <x:v>12</x:v>
      </x:c>
      <x:c r="J214" s="10" t="n">
        <x:v>27.9</x:v>
      </x:c>
      <x:c r="K214" s="2" t="n">
        <x:v>2</x:v>
      </x:c>
      <x:c r="L214" s="2" t="n">
        <x:v>0</x:v>
      </x:c>
    </x:row>
    <x:row r="215" ht="20" customHeight="1">
      <x:c r="A215" s="9" t="n">
        <x:v>46272</x:v>
      </x:c>
      <x:c r="B215" s="2" t="str">
        <x:v>MM-1222</x:v>
      </x:c>
      <x:c r="C215" s="2" t="str">
        <x:v>Direct</x:v>
      </x:c>
      <x:c r="D215" s="2" t="str">
        <x:v>CUS-013</x:v>
      </x:c>
      <x:c r="E215" s="10" t="n">
        <x:v>89.85</x:v>
      </x:c>
      <x:c r="F215" s="10" t="n">
        <x:v>0</x:v>
      </x:c>
      <x:c r="G215" s="10" t="n">
        <x:v>0</x:v>
      </x:c>
      <x:c r="H215" s="10" t="n">
        <x:v>89.85</x:v>
      </x:c>
      <x:c r="I215" s="10" t="n">
        <x:v>30</x:v>
      </x:c>
      <x:c r="J215" s="10" t="n">
        <x:v>59.85</x:v>
      </x:c>
      <x:c r="K215" s="2" t="n">
        <x:v>3</x:v>
      </x:c>
      <x:c r="L215" s="2" t="n">
        <x:v>0</x:v>
      </x:c>
    </x:row>
    <x:row r="216" ht="20" customHeight="1">
      <x:c r="A216" s="9" t="n">
        <x:v>46273</x:v>
      </x:c>
      <x:c r="B216" s="2" t="str">
        <x:v>MM-1232</x:v>
      </x:c>
      <x:c r="C216" s="2" t="str">
        <x:v>Organic Search</x:v>
      </x:c>
      <x:c r="D216" s="2" t="str">
        <x:v>CUS-102</x:v>
      </x:c>
      <x:c r="E216" s="10" t="n">
        <x:v>29.95</x:v>
      </x:c>
      <x:c r="F216" s="10" t="n">
        <x:v>0</x:v>
      </x:c>
      <x:c r="G216" s="10" t="n">
        <x:v>0</x:v>
      </x:c>
      <x:c r="H216" s="10" t="n">
        <x:v>29.95</x:v>
      </x:c>
      <x:c r="I216" s="10" t="n">
        <x:v>10</x:v>
      </x:c>
      <x:c r="J216" s="10" t="n">
        <x:v>19.95</x:v>
      </x:c>
      <x:c r="K216" s="2" t="n">
        <x:v>1</x:v>
      </x:c>
      <x:c r="L216" s="2" t="n">
        <x:v>0</x:v>
      </x:c>
    </x:row>
    <x:row r="217" ht="20" customHeight="1">
      <x:c r="A217" s="9" t="n">
        <x:v>46273</x:v>
      </x:c>
      <x:c r="B217" s="2" t="str">
        <x:v>MM-1228</x:v>
      </x:c>
      <x:c r="C217" s="2" t="str">
        <x:v>Direct</x:v>
      </x:c>
      <x:c r="D217" s="2" t="str">
        <x:v>CUS-166</x:v>
      </x:c>
      <x:c r="E217" s="10" t="n">
        <x:v>29.9</x:v>
      </x:c>
      <x:c r="F217" s="10" t="n">
        <x:v>0.99</x:v>
      </x:c>
      <x:c r="G217" s="10" t="n">
        <x:v>0</x:v>
      </x:c>
      <x:c r="H217" s="10" t="n">
        <x:v>28.91</x:v>
      </x:c>
      <x:c r="I217" s="10" t="n">
        <x:v>8.5</x:v>
      </x:c>
      <x:c r="J217" s="10" t="n">
        <x:v>20.41</x:v>
      </x:c>
      <x:c r="K217" s="2" t="n">
        <x:v>2</x:v>
      </x:c>
      <x:c r="L217" s="2" t="n">
        <x:v>0</x:v>
      </x:c>
    </x:row>
    <x:row r="218" ht="20" customHeight="1">
      <x:c r="A218" s="9" t="n">
        <x:v>46273</x:v>
      </x:c>
      <x:c r="B218" s="2" t="str">
        <x:v>MM-1223</x:v>
      </x:c>
      <x:c r="C218" s="2" t="str">
        <x:v>Email</x:v>
      </x:c>
      <x:c r="D218" s="2" t="str">
        <x:v>CUS-150</x:v>
      </x:c>
      <x:c r="E218" s="10" t="n">
        <x:v>74.85</x:v>
      </x:c>
      <x:c r="F218" s="10" t="n">
        <x:v>7.48</x:v>
      </x:c>
      <x:c r="G218" s="10" t="n">
        <x:v>0</x:v>
      </x:c>
      <x:c r="H218" s="10" t="n">
        <x:v>67.37</x:v>
      </x:c>
      <x:c r="I218" s="10" t="n">
        <x:v>25.5</x:v>
      </x:c>
      <x:c r="J218" s="10" t="n">
        <x:v>41.87</x:v>
      </x:c>
      <x:c r="K218" s="2" t="n">
        <x:v>3</x:v>
      </x:c>
      <x:c r="L218" s="2" t="n">
        <x:v>0</x:v>
      </x:c>
    </x:row>
    <x:row r="219" ht="20" customHeight="1">
      <x:c r="A219" s="9" t="n">
        <x:v>46273</x:v>
      </x:c>
      <x:c r="B219" s="2" t="str">
        <x:v>MM-1226</x:v>
      </x:c>
      <x:c r="C219" s="2" t="str">
        <x:v>Email</x:v>
      </x:c>
      <x:c r="D219" s="2" t="str">
        <x:v>CUS-051</x:v>
      </x:c>
      <x:c r="E219" s="10" t="n">
        <x:v>95.85</x:v>
      </x:c>
      <x:c r="F219" s="10" t="n">
        <x:v>9.58</x:v>
      </x:c>
      <x:c r="G219" s="10" t="n">
        <x:v>0</x:v>
      </x:c>
      <x:c r="H219" s="10" t="n">
        <x:v>86.27</x:v>
      </x:c>
      <x:c r="I219" s="10" t="n">
        <x:v>35</x:v>
      </x:c>
      <x:c r="J219" s="10" t="n">
        <x:v>51.27</x:v>
      </x:c>
      <x:c r="K219" s="2" t="n">
        <x:v>3</x:v>
      </x:c>
      <x:c r="L219" s="2" t="n">
        <x:v>0</x:v>
      </x:c>
    </x:row>
    <x:row r="220" ht="20" customHeight="1">
      <x:c r="A220" s="9" t="n">
        <x:v>46273</x:v>
      </x:c>
      <x:c r="B220" s="2" t="str">
        <x:v>MM-1224</x:v>
      </x:c>
      <x:c r="C220" s="2" t="str">
        <x:v>Organic Search</x:v>
      </x:c>
      <x:c r="D220" s="2" t="str">
        <x:v>CUS-092</x:v>
      </x:c>
      <x:c r="E220" s="10" t="n">
        <x:v>12.95</x:v>
      </x:c>
      <x:c r="F220" s="10" t="n">
        <x:v>0</x:v>
      </x:c>
      <x:c r="G220" s="10" t="n">
        <x:v>0</x:v>
      </x:c>
      <x:c r="H220" s="10" t="n">
        <x:v>12.95</x:v>
      </x:c>
      <x:c r="I220" s="10" t="n">
        <x:v>3.5</x:v>
      </x:c>
      <x:c r="J220" s="10" t="n">
        <x:v>9.45</x:v>
      </x:c>
      <x:c r="K220" s="2" t="n">
        <x:v>1</x:v>
      </x:c>
      <x:c r="L220" s="2" t="n">
        <x:v>0</x:v>
      </x:c>
    </x:row>
    <x:row r="221" ht="20" customHeight="1">
      <x:c r="A221" s="9" t="n">
        <x:v>46273</x:v>
      </x:c>
      <x:c r="B221" s="2" t="str">
        <x:v>MM-1225</x:v>
      </x:c>
      <x:c r="C221" s="2" t="str">
        <x:v>Paid Social</x:v>
      </x:c>
      <x:c r="D221" s="2" t="str">
        <x:v>CUS-043</x:v>
      </x:c>
      <x:c r="E221" s="10" t="n">
        <x:v>19.9</x:v>
      </x:c>
      <x:c r="F221" s="10" t="n">
        <x:v>0</x:v>
      </x:c>
      <x:c r="G221" s="10" t="n">
        <x:v>0</x:v>
      </x:c>
      <x:c r="H221" s="10" t="n">
        <x:v>19.9</x:v>
      </x:c>
      <x:c r="I221" s="10" t="n">
        <x:v>5</x:v>
      </x:c>
      <x:c r="J221" s="10" t="n">
        <x:v>14.9</x:v>
      </x:c>
      <x:c r="K221" s="2" t="n">
        <x:v>2</x:v>
      </x:c>
      <x:c r="L221" s="2" t="n">
        <x:v>0</x:v>
      </x:c>
    </x:row>
    <x:row r="222" ht="20" customHeight="1">
      <x:c r="A222" s="9" t="n">
        <x:v>46273</x:v>
      </x:c>
      <x:c r="B222" s="2" t="str">
        <x:v>MM-1230</x:v>
      </x:c>
      <x:c r="C222" s="2" t="str">
        <x:v>Paid Social</x:v>
      </x:c>
      <x:c r="D222" s="2" t="str">
        <x:v>CUS-160</x:v>
      </x:c>
      <x:c r="E222" s="10" t="n">
        <x:v>24.95</x:v>
      </x:c>
      <x:c r="F222" s="10" t="n">
        <x:v>0</x:v>
      </x:c>
      <x:c r="G222" s="10" t="n">
        <x:v>0</x:v>
      </x:c>
      <x:c r="H222" s="10" t="n">
        <x:v>24.95</x:v>
      </x:c>
      <x:c r="I222" s="10" t="n">
        <x:v>9</x:v>
      </x:c>
      <x:c r="J222" s="10" t="n">
        <x:v>15.95</x:v>
      </x:c>
      <x:c r="K222" s="2" t="n">
        <x:v>1</x:v>
      </x:c>
      <x:c r="L222" s="2" t="n">
        <x:v>0</x:v>
      </x:c>
    </x:row>
    <x:row r="223" ht="20" customHeight="1">
      <x:c r="A223" s="9" t="n">
        <x:v>46273</x:v>
      </x:c>
      <x:c r="B223" s="2" t="str">
        <x:v>MM-1231</x:v>
      </x:c>
      <x:c r="C223" s="2" t="str">
        <x:v>Paid Social</x:v>
      </x:c>
      <x:c r="D223" s="2" t="str">
        <x:v>CUS-176</x:v>
      </x:c>
      <x:c r="E223" s="10" t="n">
        <x:v>174.85</x:v>
      </x:c>
      <x:c r="F223" s="10" t="n">
        <x:v>2.49</x:v>
      </x:c>
      <x:c r="G223" s="10" t="n">
        <x:v>0</x:v>
      </x:c>
      <x:c r="H223" s="10" t="n">
        <x:v>172.36</x:v>
      </x:c>
      <x:c r="I223" s="10" t="n">
        <x:v>68.5</x:v>
      </x:c>
      <x:c r="J223" s="10" t="n">
        <x:v>103.86</x:v>
      </x:c>
      <x:c r="K223" s="2" t="n">
        <x:v>3</x:v>
      </x:c>
      <x:c r="L223" s="2" t="n">
        <x:v>0</x:v>
      </x:c>
    </x:row>
    <x:row r="224" ht="20" customHeight="1">
      <x:c r="A224" s="9" t="n">
        <x:v>46273</x:v>
      </x:c>
      <x:c r="B224" s="2" t="str">
        <x:v>MM-1227</x:v>
      </x:c>
      <x:c r="C224" s="2" t="str">
        <x:v>Email</x:v>
      </x:c>
      <x:c r="D224" s="2" t="str">
        <x:v>CUS-109</x:v>
      </x:c>
      <x:c r="E224" s="10" t="n">
        <x:v>67.9</x:v>
      </x:c>
      <x:c r="F224" s="10" t="n">
        <x:v>6.78</x:v>
      </x:c>
      <x:c r="G224" s="10" t="n">
        <x:v>0</x:v>
      </x:c>
      <x:c r="H224" s="10" t="n">
        <x:v>61.12</x:v>
      </x:c>
      <x:c r="I224" s="10" t="n">
        <x:v>25.5</x:v>
      </x:c>
      <x:c r="J224" s="10" t="n">
        <x:v>35.62</x:v>
      </x:c>
      <x:c r="K224" s="2" t="n">
        <x:v>2</x:v>
      </x:c>
      <x:c r="L224" s="2" t="n">
        <x:v>0</x:v>
      </x:c>
    </x:row>
    <x:row r="225" ht="20" customHeight="1">
      <x:c r="A225" s="9" t="n">
        <x:v>46274</x:v>
      </x:c>
      <x:c r="B225" s="2" t="str">
        <x:v>MM-1241</x:v>
      </x:c>
      <x:c r="C225" s="2" t="str">
        <x:v>Organic Search</x:v>
      </x:c>
      <x:c r="D225" s="2" t="str">
        <x:v>CUS-002</x:v>
      </x:c>
      <x:c r="E225" s="10" t="n">
        <x:v>12.95</x:v>
      </x:c>
      <x:c r="F225" s="10" t="n">
        <x:v>1.29</x:v>
      </x:c>
      <x:c r="G225" s="10" t="n">
        <x:v>0</x:v>
      </x:c>
      <x:c r="H225" s="10" t="n">
        <x:v>11.66</x:v>
      </x:c>
      <x:c r="I225" s="10" t="n">
        <x:v>3.5</x:v>
      </x:c>
      <x:c r="J225" s="10" t="n">
        <x:v>8.16</x:v>
      </x:c>
      <x:c r="K225" s="2" t="n">
        <x:v>1</x:v>
      </x:c>
      <x:c r="L225" s="2" t="n">
        <x:v>0</x:v>
      </x:c>
    </x:row>
    <x:row r="226" ht="20" customHeight="1">
      <x:c r="A226" s="9" t="n">
        <x:v>46274</x:v>
      </x:c>
      <x:c r="B226" s="2" t="str">
        <x:v>MM-1246</x:v>
      </x:c>
      <x:c r="C226" s="2" t="str">
        <x:v>Organic Search</x:v>
      </x:c>
      <x:c r="D226" s="2" t="str">
        <x:v>CUS-028</x:v>
      </x:c>
      <x:c r="E226" s="10" t="n">
        <x:v>19.95</x:v>
      </x:c>
      <x:c r="F226" s="10" t="n">
        <x:v>0</x:v>
      </x:c>
      <x:c r="G226" s="10" t="n">
        <x:v>0</x:v>
      </x:c>
      <x:c r="H226" s="10" t="n">
        <x:v>19.95</x:v>
      </x:c>
      <x:c r="I226" s="10" t="n">
        <x:v>6</x:v>
      </x:c>
      <x:c r="J226" s="10" t="n">
        <x:v>13.95</x:v>
      </x:c>
      <x:c r="K226" s="2" t="n">
        <x:v>1</x:v>
      </x:c>
      <x:c r="L226" s="2" t="n">
        <x:v>0</x:v>
      </x:c>
    </x:row>
    <x:row r="227" ht="20" customHeight="1">
      <x:c r="A227" s="9" t="n">
        <x:v>46274</x:v>
      </x:c>
      <x:c r="B227" s="2" t="str">
        <x:v>MM-1252</x:v>
      </x:c>
      <x:c r="C227" s="2" t="str">
        <x:v>Email</x:v>
      </x:c>
      <x:c r="D227" s="2" t="str">
        <x:v>CUS-031</x:v>
      </x:c>
      <x:c r="E227" s="10" t="n">
        <x:v>69.95</x:v>
      </x:c>
      <x:c r="F227" s="10" t="n">
        <x:v>6.99</x:v>
      </x:c>
      <x:c r="G227" s="10" t="n">
        <x:v>0</x:v>
      </x:c>
      <x:c r="H227" s="10" t="n">
        <x:v>62.96</x:v>
      </x:c>
      <x:c r="I227" s="10" t="n">
        <x:v>28</x:v>
      </x:c>
      <x:c r="J227" s="10" t="n">
        <x:v>34.96</x:v>
      </x:c>
      <x:c r="K227" s="2" t="n">
        <x:v>1</x:v>
      </x:c>
      <x:c r="L227" s="2" t="n">
        <x:v>0</x:v>
      </x:c>
    </x:row>
    <x:row r="228" ht="20" customHeight="1">
      <x:c r="A228" s="9" t="n">
        <x:v>46274</x:v>
      </x:c>
      <x:c r="B228" s="2" t="str">
        <x:v>MM-1234</x:v>
      </x:c>
      <x:c r="C228" s="2" t="str">
        <x:v>Paid Social</x:v>
      </x:c>
      <x:c r="D228" s="2" t="str">
        <x:v>CUS-171</x:v>
      </x:c>
      <x:c r="E228" s="10" t="n">
        <x:v>42.9</x:v>
      </x:c>
      <x:c r="F228" s="10" t="n">
        <x:v>0</x:v>
      </x:c>
      <x:c r="G228" s="10" t="n">
        <x:v>0</x:v>
      </x:c>
      <x:c r="H228" s="10" t="n">
        <x:v>42.9</x:v>
      </x:c>
      <x:c r="I228" s="10" t="n">
        <x:v>13.5</x:v>
      </x:c>
      <x:c r="J228" s="10" t="n">
        <x:v>29.4</x:v>
      </x:c>
      <x:c r="K228" s="2" t="n">
        <x:v>2</x:v>
      </x:c>
      <x:c r="L228" s="2" t="n">
        <x:v>0</x:v>
      </x:c>
    </x:row>
    <x:row r="229" ht="20" customHeight="1">
      <x:c r="A229" s="9" t="n">
        <x:v>46274</x:v>
      </x:c>
      <x:c r="B229" s="2" t="str">
        <x:v>MM-1236</x:v>
      </x:c>
      <x:c r="C229" s="2" t="str">
        <x:v>Paid Social</x:v>
      </x:c>
      <x:c r="D229" s="2" t="str">
        <x:v>CUS-155</x:v>
      </x:c>
      <x:c r="E229" s="10" t="n">
        <x:v>9.95</x:v>
      </x:c>
      <x:c r="F229" s="10" t="n">
        <x:v>0.99</x:v>
      </x:c>
      <x:c r="G229" s="10" t="n">
        <x:v>0</x:v>
      </x:c>
      <x:c r="H229" s="10" t="n">
        <x:v>8.96</x:v>
      </x:c>
      <x:c r="I229" s="10" t="n">
        <x:v>2.5</x:v>
      </x:c>
      <x:c r="J229" s="10" t="n">
        <x:v>6.46</x:v>
      </x:c>
      <x:c r="K229" s="2" t="n">
        <x:v>1</x:v>
      </x:c>
      <x:c r="L229" s="2" t="n">
        <x:v>0</x:v>
      </x:c>
    </x:row>
    <x:row r="230" ht="20" customHeight="1">
      <x:c r="A230" s="9" t="n">
        <x:v>46274</x:v>
      </x:c>
      <x:c r="B230" s="2" t="str">
        <x:v>MM-1237</x:v>
      </x:c>
      <x:c r="C230" s="2" t="str">
        <x:v>Paid Social</x:v>
      </x:c>
      <x:c r="D230" s="2" t="str">
        <x:v>CUS-089</x:v>
      </x:c>
      <x:c r="E230" s="10" t="n">
        <x:v>209.85</x:v>
      </x:c>
      <x:c r="F230" s="10" t="n">
        <x:v>0</x:v>
      </x:c>
      <x:c r="G230" s="10" t="n">
        <x:v>0</x:v>
      </x:c>
      <x:c r="H230" s="10" t="n">
        <x:v>209.85</x:v>
      </x:c>
      <x:c r="I230" s="10" t="n">
        <x:v>84</x:v>
      </x:c>
      <x:c r="J230" s="10" t="n">
        <x:v>125.85</x:v>
      </x:c>
      <x:c r="K230" s="2" t="n">
        <x:v>3</x:v>
      </x:c>
      <x:c r="L230" s="2" t="n">
        <x:v>0</x:v>
      </x:c>
    </x:row>
    <x:row r="231" ht="20" customHeight="1">
      <x:c r="A231" s="9" t="n">
        <x:v>46274</x:v>
      </x:c>
      <x:c r="B231" s="2" t="str">
        <x:v>MM-1238</x:v>
      </x:c>
      <x:c r="C231" s="2" t="str">
        <x:v>Organic Search</x:v>
      </x:c>
      <x:c r="D231" s="2" t="str">
        <x:v>CUS-061</x:v>
      </x:c>
      <x:c r="E231" s="10" t="n">
        <x:v>114.8</x:v>
      </x:c>
      <x:c r="F231" s="10" t="n">
        <x:v>0</x:v>
      </x:c>
      <x:c r="G231" s="10" t="n">
        <x:v>0</x:v>
      </x:c>
      <x:c r="H231" s="10" t="n">
        <x:v>114.8</x:v>
      </x:c>
      <x:c r="I231" s="10" t="n">
        <x:v>39</x:v>
      </x:c>
      <x:c r="J231" s="10" t="n">
        <x:v>75.8</x:v>
      </x:c>
      <x:c r="K231" s="2" t="n">
        <x:v>4</x:v>
      </x:c>
      <x:c r="L231" s="2" t="n">
        <x:v>0</x:v>
      </x:c>
    </x:row>
    <x:row r="232" ht="20" customHeight="1">
      <x:c r="A232" s="9" t="n">
        <x:v>46274</x:v>
      </x:c>
      <x:c r="B232" s="2" t="str">
        <x:v>MM-1242</x:v>
      </x:c>
      <x:c r="C232" s="2" t="str">
        <x:v>Organic Search</x:v>
      </x:c>
      <x:c r="D232" s="2" t="str">
        <x:v>CUS-046</x:v>
      </x:c>
      <x:c r="E232" s="10" t="n">
        <x:v>24.95</x:v>
      </x:c>
      <x:c r="F232" s="10" t="n">
        <x:v>0</x:v>
      </x:c>
      <x:c r="G232" s="10" t="n">
        <x:v>0</x:v>
      </x:c>
      <x:c r="H232" s="10" t="n">
        <x:v>24.95</x:v>
      </x:c>
      <x:c r="I232" s="10" t="n">
        <x:v>9</x:v>
      </x:c>
      <x:c r="J232" s="10" t="n">
        <x:v>15.95</x:v>
      </x:c>
      <x:c r="K232" s="2" t="n">
        <x:v>1</x:v>
      </x:c>
      <x:c r="L232" s="2" t="n">
        <x:v>0</x:v>
      </x:c>
    </x:row>
    <x:row r="233" ht="20" customHeight="1">
      <x:c r="A233" s="9" t="n">
        <x:v>46274</x:v>
      </x:c>
      <x:c r="B233" s="2" t="str">
        <x:v>MM-1245</x:v>
      </x:c>
      <x:c r="C233" s="2" t="str">
        <x:v>Direct</x:v>
      </x:c>
      <x:c r="D233" s="2" t="str">
        <x:v>CUS-177</x:v>
      </x:c>
      <x:c r="E233" s="10" t="n">
        <x:v>72.9</x:v>
      </x:c>
      <x:c r="F233" s="10" t="n">
        <x:v>0</x:v>
      </x:c>
      <x:c r="G233" s="10" t="n">
        <x:v>0</x:v>
      </x:c>
      <x:c r="H233" s="10" t="n">
        <x:v>72.9</x:v>
      </x:c>
      <x:c r="I233" s="10" t="n">
        <x:v>27.5</x:v>
      </x:c>
      <x:c r="J233" s="10" t="n">
        <x:v>45.4</x:v>
      </x:c>
      <x:c r="K233" s="2" t="n">
        <x:v>2</x:v>
      </x:c>
      <x:c r="L233" s="2" t="n">
        <x:v>0</x:v>
      </x:c>
    </x:row>
    <x:row r="234" ht="20" customHeight="1">
      <x:c r="A234" s="9" t="n">
        <x:v>46274</x:v>
      </x:c>
      <x:c r="B234" s="2" t="str">
        <x:v>MM-1240</x:v>
      </x:c>
      <x:c r="C234" s="2" t="str">
        <x:v>Paid Social</x:v>
      </x:c>
      <x:c r="D234" s="2" t="str">
        <x:v>CUS-137</x:v>
      </x:c>
      <x:c r="E234" s="10" t="n">
        <x:v>24.95</x:v>
      </x:c>
      <x:c r="F234" s="10" t="n">
        <x:v>0</x:v>
      </x:c>
      <x:c r="G234" s="10" t="n">
        <x:v>0</x:v>
      </x:c>
      <x:c r="H234" s="10" t="n">
        <x:v>24.95</x:v>
      </x:c>
      <x:c r="I234" s="10" t="n">
        <x:v>8.5</x:v>
      </x:c>
      <x:c r="J234" s="10" t="n">
        <x:v>16.45</x:v>
      </x:c>
      <x:c r="K234" s="2" t="n">
        <x:v>1</x:v>
      </x:c>
      <x:c r="L234" s="2" t="n">
        <x:v>0</x:v>
      </x:c>
    </x:row>
    <x:row r="235" ht="20" customHeight="1">
      <x:c r="A235" s="9" t="n">
        <x:v>46274</x:v>
      </x:c>
      <x:c r="B235" s="2" t="str">
        <x:v>MM-1248</x:v>
      </x:c>
      <x:c r="C235" s="2" t="str">
        <x:v>Organic Search</x:v>
      </x:c>
      <x:c r="D235" s="2" t="str">
        <x:v>CUS-151</x:v>
      </x:c>
      <x:c r="E235" s="10" t="n">
        <x:v>24.95</x:v>
      </x:c>
      <x:c r="F235" s="10" t="n">
        <x:v>0</x:v>
      </x:c>
      <x:c r="G235" s="10" t="n">
        <x:v>0</x:v>
      </x:c>
      <x:c r="H235" s="10" t="n">
        <x:v>24.95</x:v>
      </x:c>
      <x:c r="I235" s="10" t="n">
        <x:v>8.5</x:v>
      </x:c>
      <x:c r="J235" s="10" t="n">
        <x:v>16.45</x:v>
      </x:c>
      <x:c r="K235" s="2" t="n">
        <x:v>1</x:v>
      </x:c>
      <x:c r="L235" s="2" t="n">
        <x:v>0</x:v>
      </x:c>
    </x:row>
    <x:row r="236" ht="20" customHeight="1">
      <x:c r="A236" s="9" t="n">
        <x:v>46274</x:v>
      </x:c>
      <x:c r="B236" s="2" t="str">
        <x:v>MM-1233</x:v>
      </x:c>
      <x:c r="C236" s="2" t="str">
        <x:v>Organic Search</x:v>
      </x:c>
      <x:c r="D236" s="2" t="str">
        <x:v>CUS-102</x:v>
      </x:c>
      <x:c r="E236" s="10" t="n">
        <x:v>24.95</x:v>
      </x:c>
      <x:c r="F236" s="10" t="n">
        <x:v>0</x:v>
      </x:c>
      <x:c r="G236" s="10" t="n">
        <x:v>0</x:v>
      </x:c>
      <x:c r="H236" s="10" t="n">
        <x:v>24.95</x:v>
      </x:c>
      <x:c r="I236" s="10" t="n">
        <x:v>8.5</x:v>
      </x:c>
      <x:c r="J236" s="10" t="n">
        <x:v>16.45</x:v>
      </x:c>
      <x:c r="K236" s="2" t="n">
        <x:v>1</x:v>
      </x:c>
      <x:c r="L236" s="2" t="n">
        <x:v>0</x:v>
      </x:c>
    </x:row>
    <x:row r="237" ht="20" customHeight="1">
      <x:c r="A237" s="9" t="n">
        <x:v>46274</x:v>
      </x:c>
      <x:c r="B237" s="2" t="str">
        <x:v>MM-1244</x:v>
      </x:c>
      <x:c r="C237" s="2" t="str">
        <x:v>Organic Search</x:v>
      </x:c>
      <x:c r="D237" s="2" t="str">
        <x:v>CUS-033</x:v>
      </x:c>
      <x:c r="E237" s="10" t="n">
        <x:v>274.7</x:v>
      </x:c>
      <x:c r="F237" s="10" t="n">
        <x:v>2.49</x:v>
      </x:c>
      <x:c r="G237" s="10" t="n">
        <x:v>0</x:v>
      </x:c>
      <x:c r="H237" s="10" t="n">
        <x:v>272.21</x:v>
      </x:c>
      <x:c r="I237" s="10" t="n">
        <x:v>104.5</x:v>
      </x:c>
      <x:c r="J237" s="10" t="n">
        <x:v>167.71</x:v>
      </x:c>
      <x:c r="K237" s="2" t="n">
        <x:v>6</x:v>
      </x:c>
      <x:c r="L237" s="2" t="n">
        <x:v>0</x:v>
      </x:c>
    </x:row>
    <x:row r="238" ht="20" customHeight="1">
      <x:c r="A238" s="9" t="n">
        <x:v>46274</x:v>
      </x:c>
      <x:c r="B238" s="2" t="str">
        <x:v>MM-1235</x:v>
      </x:c>
      <x:c r="C238" s="2" t="str">
        <x:v>Paid Social</x:v>
      </x:c>
      <x:c r="D238" s="2" t="str">
        <x:v>CUS-161</x:v>
      </x:c>
      <x:c r="E238" s="10" t="n">
        <x:v>45.9</x:v>
      </x:c>
      <x:c r="F238" s="10" t="n">
        <x:v>0</x:v>
      </x:c>
      <x:c r="G238" s="10" t="n">
        <x:v>0</x:v>
      </x:c>
      <x:c r="H238" s="10" t="n">
        <x:v>45.9</x:v>
      </x:c>
      <x:c r="I238" s="10" t="n">
        <x:v>17</x:v>
      </x:c>
      <x:c r="J238" s="10" t="n">
        <x:v>28.9</x:v>
      </x:c>
      <x:c r="K238" s="2" t="n">
        <x:v>2</x:v>
      </x:c>
      <x:c r="L238" s="2" t="n">
        <x:v>0</x:v>
      </x:c>
    </x:row>
    <x:row r="239" ht="20" customHeight="1">
      <x:c r="A239" s="9" t="n">
        <x:v>46274</x:v>
      </x:c>
      <x:c r="B239" s="2" t="str">
        <x:v>MM-1243</x:v>
      </x:c>
      <x:c r="C239" s="2" t="str">
        <x:v>Email</x:v>
      </x:c>
      <x:c r="D239" s="2" t="str">
        <x:v>CUS-163</x:v>
      </x:c>
      <x:c r="E239" s="10" t="n">
        <x:v>69.95</x:v>
      </x:c>
      <x:c r="F239" s="10" t="n">
        <x:v>6.99</x:v>
      </x:c>
      <x:c r="G239" s="10" t="n">
        <x:v>0</x:v>
      </x:c>
      <x:c r="H239" s="10" t="n">
        <x:v>62.96</x:v>
      </x:c>
      <x:c r="I239" s="10" t="n">
        <x:v>28</x:v>
      </x:c>
      <x:c r="J239" s="10" t="n">
        <x:v>34.96</x:v>
      </x:c>
      <x:c r="K239" s="2" t="n">
        <x:v>1</x:v>
      </x:c>
      <x:c r="L239" s="2" t="n">
        <x:v>0</x:v>
      </x:c>
    </x:row>
    <x:row r="240" ht="20" customHeight="1">
      <x:c r="A240" s="9" t="n">
        <x:v>46274</x:v>
      </x:c>
      <x:c r="B240" s="2" t="str">
        <x:v>MM-1250</x:v>
      </x:c>
      <x:c r="C240" s="2" t="str">
        <x:v>Paid Social</x:v>
      </x:c>
      <x:c r="D240" s="2" t="str">
        <x:v>CUS-148</x:v>
      </x:c>
      <x:c r="E240" s="10" t="n">
        <x:v>9.95</x:v>
      </x:c>
      <x:c r="F240" s="10" t="n">
        <x:v>0</x:v>
      </x:c>
      <x:c r="G240" s="10" t="n">
        <x:v>0</x:v>
      </x:c>
      <x:c r="H240" s="10" t="n">
        <x:v>9.95</x:v>
      </x:c>
      <x:c r="I240" s="10" t="n">
        <x:v>2.5</x:v>
      </x:c>
      <x:c r="J240" s="10" t="n">
        <x:v>7.45</x:v>
      </x:c>
      <x:c r="K240" s="2" t="n">
        <x:v>1</x:v>
      </x:c>
      <x:c r="L240" s="2" t="n">
        <x:v>0</x:v>
      </x:c>
    </x:row>
    <x:row r="241" ht="20" customHeight="1">
      <x:c r="A241" s="9" t="n">
        <x:v>46274</x:v>
      </x:c>
      <x:c r="B241" s="2" t="str">
        <x:v>MM-1239</x:v>
      </x:c>
      <x:c r="C241" s="2" t="str">
        <x:v>Direct</x:v>
      </x:c>
      <x:c r="D241" s="2" t="str">
        <x:v>CUS-155</x:v>
      </x:c>
      <x:c r="E241" s="10" t="n">
        <x:v>29.95</x:v>
      </x:c>
      <x:c r="F241" s="10" t="n">
        <x:v>0</x:v>
      </x:c>
      <x:c r="G241" s="10" t="n">
        <x:v>0</x:v>
      </x:c>
      <x:c r="H241" s="10" t="n">
        <x:v>29.95</x:v>
      </x:c>
      <x:c r="I241" s="10" t="n">
        <x:v>10</x:v>
      </x:c>
      <x:c r="J241" s="10" t="n">
        <x:v>19.95</x:v>
      </x:c>
      <x:c r="K241" s="2" t="n">
        <x:v>1</x:v>
      </x:c>
      <x:c r="L241" s="2" t="n">
        <x:v>0</x:v>
      </x:c>
    </x:row>
    <x:row r="242" ht="20" customHeight="1">
      <x:c r="A242" s="9" t="n">
        <x:v>46274</x:v>
      </x:c>
      <x:c r="B242" s="2" t="str">
        <x:v>MM-1247</x:v>
      </x:c>
      <x:c r="C242" s="2" t="str">
        <x:v>Organic Search</x:v>
      </x:c>
      <x:c r="D242" s="2" t="str">
        <x:v>CUS-044</x:v>
      </x:c>
      <x:c r="E242" s="10" t="n">
        <x:v>9.95</x:v>
      </x:c>
      <x:c r="F242" s="10" t="n">
        <x:v>0</x:v>
      </x:c>
      <x:c r="G242" s="10" t="n">
        <x:v>0</x:v>
      </x:c>
      <x:c r="H242" s="10" t="n">
        <x:v>9.95</x:v>
      </x:c>
      <x:c r="I242" s="10" t="n">
        <x:v>2.5</x:v>
      </x:c>
      <x:c r="J242" s="10" t="n">
        <x:v>7.45</x:v>
      </x:c>
      <x:c r="K242" s="2" t="n">
        <x:v>1</x:v>
      </x:c>
      <x:c r="L242" s="2" t="n">
        <x:v>0</x:v>
      </x:c>
    </x:row>
    <x:row r="243" ht="20" customHeight="1">
      <x:c r="A243" s="9" t="n">
        <x:v>46274</x:v>
      </x:c>
      <x:c r="B243" s="2" t="str">
        <x:v>MM-1251</x:v>
      </x:c>
      <x:c r="C243" s="2" t="str">
        <x:v>Organic Search</x:v>
      </x:c>
      <x:c r="D243" s="2" t="str">
        <x:v>CUS-164</x:v>
      </x:c>
      <x:c r="E243" s="10" t="n">
        <x:v>62.9</x:v>
      </x:c>
      <x:c r="F243" s="10" t="n">
        <x:v>2.99</x:v>
      </x:c>
      <x:c r="G243" s="10" t="n">
        <x:v>0</x:v>
      </x:c>
      <x:c r="H243" s="10" t="n">
        <x:v>59.91</x:v>
      </x:c>
      <x:c r="I243" s="10" t="n">
        <x:v>22</x:v>
      </x:c>
      <x:c r="J243" s="10" t="n">
        <x:v>37.91</x:v>
      </x:c>
      <x:c r="K243" s="2" t="n">
        <x:v>2</x:v>
      </x:c>
      <x:c r="L243" s="2" t="n">
        <x:v>0</x:v>
      </x:c>
    </x:row>
    <x:row r="244" ht="20" customHeight="1">
      <x:c r="A244" s="9" t="n">
        <x:v>46275</x:v>
      </x:c>
      <x:c r="B244" s="2" t="str">
        <x:v>MM-1253</x:v>
      </x:c>
      <x:c r="C244" s="2" t="str">
        <x:v>Direct</x:v>
      </x:c>
      <x:c r="D244" s="2" t="str">
        <x:v>CUS-144</x:v>
      </x:c>
      <x:c r="E244" s="10" t="n">
        <x:v>54.95</x:v>
      </x:c>
      <x:c r="F244" s="10" t="n">
        <x:v>0</x:v>
      </x:c>
      <x:c r="G244" s="10" t="n">
        <x:v>0</x:v>
      </x:c>
      <x:c r="H244" s="10" t="n">
        <x:v>54.95</x:v>
      </x:c>
      <x:c r="I244" s="10" t="n">
        <x:v>22</x:v>
      </x:c>
      <x:c r="J244" s="10" t="n">
        <x:v>32.95</x:v>
      </x:c>
      <x:c r="K244" s="2" t="n">
        <x:v>1</x:v>
      </x:c>
      <x:c r="L244" s="2" t="n">
        <x:v>0</x:v>
      </x:c>
    </x:row>
    <x:row r="245" ht="20" customHeight="1">
      <x:c r="A245" s="9" t="n">
        <x:v>46275</x:v>
      </x:c>
      <x:c r="B245" s="2" t="str">
        <x:v>MM-1267</x:v>
      </x:c>
      <x:c r="C245" s="2" t="str">
        <x:v>Organic Search</x:v>
      </x:c>
      <x:c r="D245" s="2" t="str">
        <x:v>CUS-060</x:v>
      </x:c>
      <x:c r="E245" s="10" t="n">
        <x:v>164.85</x:v>
      </x:c>
      <x:c r="F245" s="10" t="n">
        <x:v>0</x:v>
      </x:c>
      <x:c r="G245" s="10" t="n">
        <x:v>0</x:v>
      </x:c>
      <x:c r="H245" s="10" t="n">
        <x:v>164.85</x:v>
      </x:c>
      <x:c r="I245" s="10" t="n">
        <x:v>66</x:v>
      </x:c>
      <x:c r="J245" s="10" t="n">
        <x:v>98.85</x:v>
      </x:c>
      <x:c r="K245" s="2" t="n">
        <x:v>3</x:v>
      </x:c>
      <x:c r="L245" s="2" t="n">
        <x:v>0</x:v>
      </x:c>
    </x:row>
    <x:row r="246" ht="20" customHeight="1">
      <x:c r="A246" s="9" t="n">
        <x:v>46275</x:v>
      </x:c>
      <x:c r="B246" s="2" t="str">
        <x:v>MM-1257</x:v>
      </x:c>
      <x:c r="C246" s="2" t="str">
        <x:v>Email</x:v>
      </x:c>
      <x:c r="D246" s="2" t="str">
        <x:v>CUS-095</x:v>
      </x:c>
      <x:c r="E246" s="10" t="n">
        <x:v>211.8</x:v>
      </x:c>
      <x:c r="F246" s="10" t="n">
        <x:v>21.17</x:v>
      </x:c>
      <x:c r="G246" s="10" t="n">
        <x:v>0</x:v>
      </x:c>
      <x:c r="H246" s="10" t="n">
        <x:v>190.63</x:v>
      </x:c>
      <x:c r="I246" s="10" t="n">
        <x:v>82.5</x:v>
      </x:c>
      <x:c r="J246" s="10" t="n">
        <x:v>108.13</x:v>
      </x:c>
      <x:c r="K246" s="2" t="n">
        <x:v>4</x:v>
      </x:c>
      <x:c r="L246" s="2" t="n">
        <x:v>0</x:v>
      </x:c>
    </x:row>
    <x:row r="247" ht="20" customHeight="1">
      <x:c r="A247" s="9" t="n">
        <x:v>46275</x:v>
      </x:c>
      <x:c r="B247" s="2" t="str">
        <x:v>MM-1254</x:v>
      </x:c>
      <x:c r="C247" s="2" t="str">
        <x:v>Organic Search</x:v>
      </x:c>
      <x:c r="D247" s="2" t="str">
        <x:v>CUS-037</x:v>
      </x:c>
      <x:c r="E247" s="10" t="n">
        <x:v>106.75</x:v>
      </x:c>
      <x:c r="F247" s="10" t="n">
        <x:v>0</x:v>
      </x:c>
      <x:c r="G247" s="10" t="n">
        <x:v>0</x:v>
      </x:c>
      <x:c r="H247" s="10" t="n">
        <x:v>106.75</x:v>
      </x:c>
      <x:c r="I247" s="10" t="n">
        <x:v>35.5</x:v>
      </x:c>
      <x:c r="J247" s="10" t="n">
        <x:v>71.25</x:v>
      </x:c>
      <x:c r="K247" s="2" t="n">
        <x:v>5</x:v>
      </x:c>
      <x:c r="L247" s="2" t="n">
        <x:v>0</x:v>
      </x:c>
    </x:row>
    <x:row r="248" ht="20" customHeight="1">
      <x:c r="A248" s="9" t="n">
        <x:v>46275</x:v>
      </x:c>
      <x:c r="B248" s="2" t="str">
        <x:v>MM-1268</x:v>
      </x:c>
      <x:c r="C248" s="2" t="str">
        <x:v>Paid Social</x:v>
      </x:c>
      <x:c r="D248" s="2" t="str">
        <x:v>CUS-100</x:v>
      </x:c>
      <x:c r="E248" s="10" t="n">
        <x:v>114.85</x:v>
      </x:c>
      <x:c r="F248" s="10" t="n">
        <x:v>0.99</x:v>
      </x:c>
      <x:c r="G248" s="10" t="n">
        <x:v>0</x:v>
      </x:c>
      <x:c r="H248" s="10" t="n">
        <x:v>113.86</x:v>
      </x:c>
      <x:c r="I248" s="10" t="n">
        <x:v>43.5</x:v>
      </x:c>
      <x:c r="J248" s="10" t="n">
        <x:v>70.36</x:v>
      </x:c>
      <x:c r="K248" s="2" t="n">
        <x:v>3</x:v>
      </x:c>
      <x:c r="L248" s="2" t="n">
        <x:v>0</x:v>
      </x:c>
    </x:row>
    <x:row r="249" ht="20" customHeight="1">
      <x:c r="A249" s="9" t="n">
        <x:v>46275</x:v>
      </x:c>
      <x:c r="B249" s="2" t="str">
        <x:v>MM-1256</x:v>
      </x:c>
      <x:c r="C249" s="2" t="str">
        <x:v>Paid Social</x:v>
      </x:c>
      <x:c r="D249" s="2" t="str">
        <x:v>CUS-072</x:v>
      </x:c>
      <x:c r="E249" s="10" t="n">
        <x:v>139.9</x:v>
      </x:c>
      <x:c r="F249" s="10" t="n">
        <x:v>0</x:v>
      </x:c>
      <x:c r="G249" s="10" t="n">
        <x:v>0</x:v>
      </x:c>
      <x:c r="H249" s="10" t="n">
        <x:v>139.9</x:v>
      </x:c>
      <x:c r="I249" s="10" t="n">
        <x:v>56</x:v>
      </x:c>
      <x:c r="J249" s="10" t="n">
        <x:v>83.9</x:v>
      </x:c>
      <x:c r="K249" s="2" t="n">
        <x:v>2</x:v>
      </x:c>
      <x:c r="L249" s="2" t="n">
        <x:v>0</x:v>
      </x:c>
    </x:row>
    <x:row r="250" ht="20" customHeight="1">
      <x:c r="A250" s="9" t="n">
        <x:v>46275</x:v>
      </x:c>
      <x:c r="B250" s="2" t="str">
        <x:v>MM-1259</x:v>
      </x:c>
      <x:c r="C250" s="2" t="str">
        <x:v>Direct</x:v>
      </x:c>
      <x:c r="D250" s="2" t="str">
        <x:v>CUS-093</x:v>
      </x:c>
      <x:c r="E250" s="10" t="n">
        <x:v>69.95</x:v>
      </x:c>
      <x:c r="F250" s="10" t="n">
        <x:v>6.99</x:v>
      </x:c>
      <x:c r="G250" s="10" t="n">
        <x:v>0</x:v>
      </x:c>
      <x:c r="H250" s="10" t="n">
        <x:v>62.96</x:v>
      </x:c>
      <x:c r="I250" s="10" t="n">
        <x:v>28</x:v>
      </x:c>
      <x:c r="J250" s="10" t="n">
        <x:v>34.96</x:v>
      </x:c>
      <x:c r="K250" s="2" t="n">
        <x:v>1</x:v>
      </x:c>
      <x:c r="L250" s="2" t="n">
        <x:v>0</x:v>
      </x:c>
    </x:row>
    <x:row r="251" ht="20" customHeight="1">
      <x:c r="A251" s="9" t="n">
        <x:v>46275</x:v>
      </x:c>
      <x:c r="B251" s="2" t="str">
        <x:v>MM-1264</x:v>
      </x:c>
      <x:c r="C251" s="2" t="str">
        <x:v>Direct</x:v>
      </x:c>
      <x:c r="D251" s="2" t="str">
        <x:v>CUS-079</x:v>
      </x:c>
      <x:c r="E251" s="10" t="n">
        <x:v>49.9</x:v>
      </x:c>
      <x:c r="F251" s="10" t="n">
        <x:v>0</x:v>
      </x:c>
      <x:c r="G251" s="10" t="n">
        <x:v>0</x:v>
      </x:c>
      <x:c r="H251" s="10" t="n">
        <x:v>49.9</x:v>
      </x:c>
      <x:c r="I251" s="10" t="n">
        <x:v>18</x:v>
      </x:c>
      <x:c r="J251" s="10" t="n">
        <x:v>31.9</x:v>
      </x:c>
      <x:c r="K251" s="2" t="n">
        <x:v>2</x:v>
      </x:c>
      <x:c r="L251" s="2" t="n">
        <x:v>0</x:v>
      </x:c>
    </x:row>
    <x:row r="252" ht="20" customHeight="1">
      <x:c r="A252" s="9" t="n">
        <x:v>46275</x:v>
      </x:c>
      <x:c r="B252" s="2" t="str">
        <x:v>MM-1265</x:v>
      </x:c>
      <x:c r="C252" s="2" t="str">
        <x:v>Organic Search</x:v>
      </x:c>
      <x:c r="D252" s="2" t="str">
        <x:v>CUS-037</x:v>
      </x:c>
      <x:c r="E252" s="10" t="n">
        <x:v>12.95</x:v>
      </x:c>
      <x:c r="F252" s="10" t="n">
        <x:v>0</x:v>
      </x:c>
      <x:c r="G252" s="10" t="n">
        <x:v>0</x:v>
      </x:c>
      <x:c r="H252" s="10" t="n">
        <x:v>12.95</x:v>
      </x:c>
      <x:c r="I252" s="10" t="n">
        <x:v>3.5</x:v>
      </x:c>
      <x:c r="J252" s="10" t="n">
        <x:v>9.45</x:v>
      </x:c>
      <x:c r="K252" s="2" t="n">
        <x:v>1</x:v>
      </x:c>
      <x:c r="L252" s="2" t="n">
        <x:v>0</x:v>
      </x:c>
    </x:row>
    <x:row r="253" ht="20" customHeight="1">
      <x:c r="A253" s="9" t="n">
        <x:v>46275</x:v>
      </x:c>
      <x:c r="B253" s="2" t="str">
        <x:v>MM-1261</x:v>
      </x:c>
      <x:c r="C253" s="2" t="str">
        <x:v>Paid Social</x:v>
      </x:c>
      <x:c r="D253" s="2" t="str">
        <x:v>CUS-163</x:v>
      </x:c>
      <x:c r="E253" s="10" t="n">
        <x:v>43.9</x:v>
      </x:c>
      <x:c r="F253" s="10" t="n">
        <x:v>0</x:v>
      </x:c>
      <x:c r="G253" s="10" t="n">
        <x:v>0</x:v>
      </x:c>
      <x:c r="H253" s="10" t="n">
        <x:v>43.9</x:v>
      </x:c>
      <x:c r="I253" s="10" t="n">
        <x:v>15</x:v>
      </x:c>
      <x:c r="J253" s="10" t="n">
        <x:v>28.9</x:v>
      </x:c>
      <x:c r="K253" s="2" t="n">
        <x:v>2</x:v>
      </x:c>
      <x:c r="L253" s="2" t="n">
        <x:v>0</x:v>
      </x:c>
    </x:row>
    <x:row r="254" ht="20" customHeight="1">
      <x:c r="A254" s="9" t="n">
        <x:v>46275</x:v>
      </x:c>
      <x:c r="B254" s="2" t="str">
        <x:v>MM-1263</x:v>
      </x:c>
      <x:c r="C254" s="2" t="str">
        <x:v>Email</x:v>
      </x:c>
      <x:c r="D254" s="2" t="str">
        <x:v>CUS-035</x:v>
      </x:c>
      <x:c r="E254" s="10" t="n">
        <x:v>19.95</x:v>
      </x:c>
      <x:c r="F254" s="10" t="n">
        <x:v>1.99</x:v>
      </x:c>
      <x:c r="G254" s="10" t="n">
        <x:v>0</x:v>
      </x:c>
      <x:c r="H254" s="10" t="n">
        <x:v>17.96</x:v>
      </x:c>
      <x:c r="I254" s="10" t="n">
        <x:v>6</x:v>
      </x:c>
      <x:c r="J254" s="10" t="n">
        <x:v>11.96</x:v>
      </x:c>
      <x:c r="K254" s="2" t="n">
        <x:v>1</x:v>
      </x:c>
      <x:c r="L254" s="2" t="n">
        <x:v>0</x:v>
      </x:c>
    </x:row>
    <x:row r="255" ht="20" customHeight="1">
      <x:c r="A255" s="9" t="n">
        <x:v>46275</x:v>
      </x:c>
      <x:c r="B255" s="2" t="str">
        <x:v>MM-1258</x:v>
      </x:c>
      <x:c r="C255" s="2" t="str">
        <x:v>Organic Search</x:v>
      </x:c>
      <x:c r="D255" s="2" t="str">
        <x:v>CUS-129</x:v>
      </x:c>
      <x:c r="E255" s="10" t="n">
        <x:v>145.8</x:v>
      </x:c>
      <x:c r="F255" s="10" t="n">
        <x:v>0</x:v>
      </x:c>
      <x:c r="G255" s="10" t="n">
        <x:v>0</x:v>
      </x:c>
      <x:c r="H255" s="10" t="n">
        <x:v>145.8</x:v>
      </x:c>
      <x:c r="I255" s="10" t="n">
        <x:v>55</x:v>
      </x:c>
      <x:c r="J255" s="10" t="n">
        <x:v>90.8</x:v>
      </x:c>
      <x:c r="K255" s="2" t="n">
        <x:v>4</x:v>
      </x:c>
      <x:c r="L255" s="2" t="n">
        <x:v>0</x:v>
      </x:c>
    </x:row>
    <x:row r="256" ht="20" customHeight="1">
      <x:c r="A256" s="9" t="n">
        <x:v>46275</x:v>
      </x:c>
      <x:c r="B256" s="2" t="str">
        <x:v>MM-1260</x:v>
      </x:c>
      <x:c r="C256" s="2" t="str">
        <x:v>Paid Social</x:v>
      </x:c>
      <x:c r="D256" s="2" t="str">
        <x:v>CUS-034</x:v>
      </x:c>
      <x:c r="E256" s="10" t="n">
        <x:v>119.85</x:v>
      </x:c>
      <x:c r="F256" s="10" t="n">
        <x:v>0</x:v>
      </x:c>
      <x:c r="G256" s="10" t="n">
        <x:v>0</x:v>
      </x:c>
      <x:c r="H256" s="10" t="n">
        <x:v>119.85</x:v>
      </x:c>
      <x:c r="I256" s="10" t="n">
        <x:v>46.5</x:v>
      </x:c>
      <x:c r="J256" s="10" t="n">
        <x:v>73.35</x:v>
      </x:c>
      <x:c r="K256" s="2" t="n">
        <x:v>3</x:v>
      </x:c>
      <x:c r="L256" s="2" t="n">
        <x:v>0</x:v>
      </x:c>
    </x:row>
    <x:row r="257" ht="20" customHeight="1">
      <x:c r="A257" s="9" t="n">
        <x:v>46275</x:v>
      </x:c>
      <x:c r="B257" s="2" t="str">
        <x:v>MM-1255</x:v>
      </x:c>
      <x:c r="C257" s="2" t="str">
        <x:v>Email</x:v>
      </x:c>
      <x:c r="D257" s="2" t="str">
        <x:v>CUS-103</x:v>
      </x:c>
      <x:c r="E257" s="10" t="n">
        <x:v>79.95</x:v>
      </x:c>
      <x:c r="F257" s="10" t="n">
        <x:v>7.99</x:v>
      </x:c>
      <x:c r="G257" s="10" t="n">
        <x:v>0</x:v>
      </x:c>
      <x:c r="H257" s="10" t="n">
        <x:v>71.96</x:v>
      </x:c>
      <x:c r="I257" s="10" t="n">
        <x:v>32</x:v>
      </x:c>
      <x:c r="J257" s="10" t="n">
        <x:v>39.96</x:v>
      </x:c>
      <x:c r="K257" s="2" t="n">
        <x:v>1</x:v>
      </x:c>
      <x:c r="L257" s="2" t="n">
        <x:v>0</x:v>
      </x:c>
    </x:row>
    <x:row r="258" ht="20" customHeight="1">
      <x:c r="A258" s="9" t="n">
        <x:v>46275</x:v>
      </x:c>
      <x:c r="B258" s="2" t="str">
        <x:v>MM-1262</x:v>
      </x:c>
      <x:c r="C258" s="2" t="str">
        <x:v>Paid Social</x:v>
      </x:c>
      <x:c r="D258" s="2" t="str">
        <x:v>CUS-120</x:v>
      </x:c>
      <x:c r="E258" s="10" t="n">
        <x:v>34.9</x:v>
      </x:c>
      <x:c r="F258" s="10" t="n">
        <x:v>0</x:v>
      </x:c>
      <x:c r="G258" s="10" t="n">
        <x:v>0</x:v>
      </x:c>
      <x:c r="H258" s="10" t="n">
        <x:v>34.9</x:v>
      </x:c>
      <x:c r="I258" s="10" t="n">
        <x:v>11</x:v>
      </x:c>
      <x:c r="J258" s="10" t="n">
        <x:v>23.9</x:v>
      </x:c>
      <x:c r="K258" s="2" t="n">
        <x:v>2</x:v>
      </x:c>
      <x:c r="L258" s="2" t="n">
        <x:v>0</x:v>
      </x:c>
    </x:row>
    <x:row r="259" ht="20" customHeight="1">
      <x:c r="A259" s="9" t="n">
        <x:v>46275</x:v>
      </x:c>
      <x:c r="B259" s="2" t="str">
        <x:v>MM-1266</x:v>
      </x:c>
      <x:c r="C259" s="2" t="str">
        <x:v>Direct</x:v>
      </x:c>
      <x:c r="D259" s="2" t="str">
        <x:v>CUS-086</x:v>
      </x:c>
      <x:c r="E259" s="10" t="n">
        <x:v>19.9</x:v>
      </x:c>
      <x:c r="F259" s="10" t="n">
        <x:v>0</x:v>
      </x:c>
      <x:c r="G259" s="10" t="n">
        <x:v>0</x:v>
      </x:c>
      <x:c r="H259" s="10" t="n">
        <x:v>19.9</x:v>
      </x:c>
      <x:c r="I259" s="10" t="n">
        <x:v>5</x:v>
      </x:c>
      <x:c r="J259" s="10" t="n">
        <x:v>14.9</x:v>
      </x:c>
      <x:c r="K259" s="2" t="n">
        <x:v>2</x:v>
      </x:c>
      <x:c r="L259" s="2" t="n">
        <x:v>0</x:v>
      </x:c>
    </x:row>
    <x:row r="260" ht="20" customHeight="1">
      <x:c r="A260" s="9" t="n">
        <x:v>46276</x:v>
      </x:c>
      <x:c r="B260" s="2" t="str">
        <x:v>MM-1271</x:v>
      </x:c>
      <x:c r="C260" s="2" t="str">
        <x:v>Paid Social</x:v>
      </x:c>
      <x:c r="D260" s="2" t="str">
        <x:v>CUS-176</x:v>
      </x:c>
      <x:c r="E260" s="10" t="n">
        <x:v>124.85</x:v>
      </x:c>
      <x:c r="F260" s="10" t="n">
        <x:v>0</x:v>
      </x:c>
      <x:c r="G260" s="10" t="n">
        <x:v>0</x:v>
      </x:c>
      <x:c r="H260" s="10" t="n">
        <x:v>124.85</x:v>
      </x:c>
      <x:c r="I260" s="10" t="n">
        <x:v>47</x:v>
      </x:c>
      <x:c r="J260" s="10" t="n">
        <x:v>77.85</x:v>
      </x:c>
      <x:c r="K260" s="2" t="n">
        <x:v>3</x:v>
      </x:c>
      <x:c r="L260" s="2" t="n">
        <x:v>0</x:v>
      </x:c>
    </x:row>
    <x:row r="261" ht="20" customHeight="1">
      <x:c r="A261" s="9" t="n">
        <x:v>46276</x:v>
      </x:c>
      <x:c r="B261" s="2" t="str">
        <x:v>MM-1276</x:v>
      </x:c>
      <x:c r="C261" s="2" t="str">
        <x:v>Paid Social</x:v>
      </x:c>
      <x:c r="D261" s="2" t="str">
        <x:v>CUS-167</x:v>
      </x:c>
      <x:c r="E261" s="10" t="n">
        <x:v>139.9</x:v>
      </x:c>
      <x:c r="F261" s="10" t="n">
        <x:v>0</x:v>
      </x:c>
      <x:c r="G261" s="10" t="n">
        <x:v>0</x:v>
      </x:c>
      <x:c r="H261" s="10" t="n">
        <x:v>139.9</x:v>
      </x:c>
      <x:c r="I261" s="10" t="n">
        <x:v>56</x:v>
      </x:c>
      <x:c r="J261" s="10" t="n">
        <x:v>83.9</x:v>
      </x:c>
      <x:c r="K261" s="2" t="n">
        <x:v>2</x:v>
      </x:c>
      <x:c r="L261" s="2" t="n">
        <x:v>0</x:v>
      </x:c>
    </x:row>
    <x:row r="262" ht="20" customHeight="1">
      <x:c r="A262" s="9" t="n">
        <x:v>46276</x:v>
      </x:c>
      <x:c r="B262" s="2" t="str">
        <x:v>MM-1275</x:v>
      </x:c>
      <x:c r="C262" s="2" t="str">
        <x:v>Organic Search</x:v>
      </x:c>
      <x:c r="D262" s="2" t="str">
        <x:v>CUS-146</x:v>
      </x:c>
      <x:c r="E262" s="10" t="n">
        <x:v>12.95</x:v>
      </x:c>
      <x:c r="F262" s="10" t="n">
        <x:v>0</x:v>
      </x:c>
      <x:c r="G262" s="10" t="n">
        <x:v>0</x:v>
      </x:c>
      <x:c r="H262" s="10" t="n">
        <x:v>12.95</x:v>
      </x:c>
      <x:c r="I262" s="10" t="n">
        <x:v>3.5</x:v>
      </x:c>
      <x:c r="J262" s="10" t="n">
        <x:v>9.45</x:v>
      </x:c>
      <x:c r="K262" s="2" t="n">
        <x:v>1</x:v>
      </x:c>
      <x:c r="L262" s="2" t="n">
        <x:v>0</x:v>
      </x:c>
    </x:row>
    <x:row r="263" ht="20" customHeight="1">
      <x:c r="A263" s="9" t="n">
        <x:v>46276</x:v>
      </x:c>
      <x:c r="B263" s="2" t="str">
        <x:v>MM-1274</x:v>
      </x:c>
      <x:c r="C263" s="2" t="str">
        <x:v>Email</x:v>
      </x:c>
      <x:c r="D263" s="2" t="str">
        <x:v>CUS-055</x:v>
      </x:c>
      <x:c r="E263" s="10" t="n">
        <x:v>18.95</x:v>
      </x:c>
      <x:c r="F263" s="10" t="n">
        <x:v>1.89</x:v>
      </x:c>
      <x:c r="G263" s="10" t="n">
        <x:v>0</x:v>
      </x:c>
      <x:c r="H263" s="10" t="n">
        <x:v>17.06</x:v>
      </x:c>
      <x:c r="I263" s="10" t="n">
        <x:v>6.5</x:v>
      </x:c>
      <x:c r="J263" s="10" t="n">
        <x:v>10.56</x:v>
      </x:c>
      <x:c r="K263" s="2" t="n">
        <x:v>1</x:v>
      </x:c>
      <x:c r="L263" s="2" t="n">
        <x:v>0</x:v>
      </x:c>
    </x:row>
    <x:row r="264" ht="20" customHeight="1">
      <x:c r="A264" s="9" t="n">
        <x:v>46276</x:v>
      </x:c>
      <x:c r="B264" s="2" t="str">
        <x:v>MM-1278</x:v>
      </x:c>
      <x:c r="C264" s="2" t="str">
        <x:v>Organic Search</x:v>
      </x:c>
      <x:c r="D264" s="2" t="str">
        <x:v>CUS-018</x:v>
      </x:c>
      <x:c r="E264" s="10" t="n">
        <x:v>29.95</x:v>
      </x:c>
      <x:c r="F264" s="10" t="n">
        <x:v>0</x:v>
      </x:c>
      <x:c r="G264" s="10" t="n">
        <x:v>0</x:v>
      </x:c>
      <x:c r="H264" s="10" t="n">
        <x:v>29.95</x:v>
      </x:c>
      <x:c r="I264" s="10" t="n">
        <x:v>10</x:v>
      </x:c>
      <x:c r="J264" s="10" t="n">
        <x:v>19.95</x:v>
      </x:c>
      <x:c r="K264" s="2" t="n">
        <x:v>1</x:v>
      </x:c>
      <x:c r="L264" s="2" t="n">
        <x:v>0</x:v>
      </x:c>
    </x:row>
    <x:row r="265" ht="20" customHeight="1">
      <x:c r="A265" s="9" t="n">
        <x:v>46276</x:v>
      </x:c>
      <x:c r="B265" s="2" t="str">
        <x:v>MM-1269</x:v>
      </x:c>
      <x:c r="C265" s="2" t="str">
        <x:v>Direct</x:v>
      </x:c>
      <x:c r="D265" s="2" t="str">
        <x:v>CUS-086</x:v>
      </x:c>
      <x:c r="E265" s="10" t="n">
        <x:v>218.7</x:v>
      </x:c>
      <x:c r="F265" s="10" t="n">
        <x:v>0</x:v>
      </x:c>
      <x:c r="G265" s="10" t="n">
        <x:v>0</x:v>
      </x:c>
      <x:c r="H265" s="10" t="n">
        <x:v>218.7</x:v>
      </x:c>
      <x:c r="I265" s="10" t="n">
        <x:v>80.5</x:v>
      </x:c>
      <x:c r="J265" s="10" t="n">
        <x:v>138.2</x:v>
      </x:c>
      <x:c r="K265" s="2" t="n">
        <x:v>6</x:v>
      </x:c>
      <x:c r="L265" s="2" t="n">
        <x:v>0</x:v>
      </x:c>
    </x:row>
    <x:row r="266" ht="20" customHeight="1">
      <x:c r="A266" s="9" t="n">
        <x:v>46276</x:v>
      </x:c>
      <x:c r="B266" s="2" t="str">
        <x:v>MM-1277</x:v>
      </x:c>
      <x:c r="C266" s="2" t="str">
        <x:v>Organic Search</x:v>
      </x:c>
      <x:c r="D266" s="2" t="str">
        <x:v>CUS-096</x:v>
      </x:c>
      <x:c r="E266" s="10" t="n">
        <x:v>43.9</x:v>
      </x:c>
      <x:c r="F266" s="10" t="n">
        <x:v>0</x:v>
      </x:c>
      <x:c r="G266" s="10" t="n">
        <x:v>0</x:v>
      </x:c>
      <x:c r="H266" s="10" t="n">
        <x:v>43.9</x:v>
      </x:c>
      <x:c r="I266" s="10" t="n">
        <x:v>15.5</x:v>
      </x:c>
      <x:c r="J266" s="10" t="n">
        <x:v>28.4</x:v>
      </x:c>
      <x:c r="K266" s="2" t="n">
        <x:v>2</x:v>
      </x:c>
      <x:c r="L266" s="2" t="n">
        <x:v>0</x:v>
      </x:c>
    </x:row>
    <x:row r="267" ht="20" customHeight="1">
      <x:c r="A267" s="9" t="n">
        <x:v>46276</x:v>
      </x:c>
      <x:c r="B267" s="2" t="str">
        <x:v>MM-1280</x:v>
      </x:c>
      <x:c r="C267" s="2" t="str">
        <x:v>Paid Social</x:v>
      </x:c>
      <x:c r="D267" s="2" t="str">
        <x:v>CUS-098</x:v>
      </x:c>
      <x:c r="E267" s="10" t="n">
        <x:v>159.9</x:v>
      </x:c>
      <x:c r="F267" s="10" t="n">
        <x:v>0</x:v>
      </x:c>
      <x:c r="G267" s="10" t="n">
        <x:v>0</x:v>
      </x:c>
      <x:c r="H267" s="10" t="n">
        <x:v>159.9</x:v>
      </x:c>
      <x:c r="I267" s="10" t="n">
        <x:v>64</x:v>
      </x:c>
      <x:c r="J267" s="10" t="n">
        <x:v>95.9</x:v>
      </x:c>
      <x:c r="K267" s="2" t="n">
        <x:v>2</x:v>
      </x:c>
      <x:c r="L267" s="2" t="n">
        <x:v>0</x:v>
      </x:c>
    </x:row>
    <x:row r="268" ht="20" customHeight="1">
      <x:c r="A268" s="9" t="n">
        <x:v>46276</x:v>
      </x:c>
      <x:c r="B268" s="2" t="str">
        <x:v>MM-1273</x:v>
      </x:c>
      <x:c r="C268" s="2" t="str">
        <x:v>Direct</x:v>
      </x:c>
      <x:c r="D268" s="2" t="str">
        <x:v>CUS-085</x:v>
      </x:c>
      <x:c r="E268" s="10" t="n">
        <x:v>59.95</x:v>
      </x:c>
      <x:c r="F268" s="10" t="n">
        <x:v>0</x:v>
      </x:c>
      <x:c r="G268" s="10" t="n">
        <x:v>0</x:v>
      </x:c>
      <x:c r="H268" s="10" t="n">
        <x:v>59.95</x:v>
      </x:c>
      <x:c r="I268" s="10" t="n">
        <x:v>24</x:v>
      </x:c>
      <x:c r="J268" s="10" t="n">
        <x:v>35.95</x:v>
      </x:c>
      <x:c r="K268" s="2" t="n">
        <x:v>1</x:v>
      </x:c>
      <x:c r="L268" s="2" t="n">
        <x:v>0</x:v>
      </x:c>
    </x:row>
    <x:row r="269" ht="20" customHeight="1">
      <x:c r="A269" s="9" t="n">
        <x:v>46276</x:v>
      </x:c>
      <x:c r="B269" s="2" t="str">
        <x:v>MM-1279</x:v>
      </x:c>
      <x:c r="C269" s="2" t="str">
        <x:v>Organic Search</x:v>
      </x:c>
      <x:c r="D269" s="2" t="str">
        <x:v>CUS-024</x:v>
      </x:c>
      <x:c r="E269" s="10" t="n">
        <x:v>34.95</x:v>
      </x:c>
      <x:c r="F269" s="10" t="n">
        <x:v>0</x:v>
      </x:c>
      <x:c r="G269" s="10" t="n">
        <x:v>0</x:v>
      </x:c>
      <x:c r="H269" s="10" t="n">
        <x:v>34.95</x:v>
      </x:c>
      <x:c r="I269" s="10" t="n">
        <x:v>13.5</x:v>
      </x:c>
      <x:c r="J269" s="10" t="n">
        <x:v>21.45</x:v>
      </x:c>
      <x:c r="K269" s="2" t="n">
        <x:v>1</x:v>
      </x:c>
      <x:c r="L269" s="2" t="n">
        <x:v>0</x:v>
      </x:c>
    </x:row>
    <x:row r="270" ht="20" customHeight="1">
      <x:c r="A270" s="9" t="n">
        <x:v>46277</x:v>
      </x:c>
      <x:c r="B270" s="2" t="str">
        <x:v>MM-1286</x:v>
      </x:c>
      <x:c r="C270" s="2" t="str">
        <x:v>Organic Search</x:v>
      </x:c>
      <x:c r="D270" s="2" t="str">
        <x:v>CUS-024</x:v>
      </x:c>
      <x:c r="E270" s="10" t="n">
        <x:v>34.95</x:v>
      </x:c>
      <x:c r="F270" s="10" t="n">
        <x:v>3.49</x:v>
      </x:c>
      <x:c r="G270" s="10" t="n">
        <x:v>0</x:v>
      </x:c>
      <x:c r="H270" s="10" t="n">
        <x:v>31.46</x:v>
      </x:c>
      <x:c r="I270" s="10" t="n">
        <x:v>13.5</x:v>
      </x:c>
      <x:c r="J270" s="10" t="n">
        <x:v>17.96</x:v>
      </x:c>
      <x:c r="K270" s="2" t="n">
        <x:v>1</x:v>
      </x:c>
      <x:c r="L270" s="2" t="n">
        <x:v>0</x:v>
      </x:c>
    </x:row>
    <x:row r="271" ht="20" customHeight="1">
      <x:c r="A271" s="9" t="n">
        <x:v>46277</x:v>
      </x:c>
      <x:c r="B271" s="2" t="str">
        <x:v>MM-1290</x:v>
      </x:c>
      <x:c r="C271" s="2" t="str">
        <x:v>Organic Search</x:v>
      </x:c>
      <x:c r="D271" s="2" t="str">
        <x:v>CUS-061</x:v>
      </x:c>
      <x:c r="E271" s="10" t="n">
        <x:v>179.85</x:v>
      </x:c>
      <x:c r="F271" s="10" t="n">
        <x:v>0</x:v>
      </x:c>
      <x:c r="G271" s="10" t="n">
        <x:v>0</x:v>
      </x:c>
      <x:c r="H271" s="10" t="n">
        <x:v>179.85</x:v>
      </x:c>
      <x:c r="I271" s="10" t="n">
        <x:v>72</x:v>
      </x:c>
      <x:c r="J271" s="10" t="n">
        <x:v>107.85</x:v>
      </x:c>
      <x:c r="K271" s="2" t="n">
        <x:v>3</x:v>
      </x:c>
      <x:c r="L271" s="2" t="n">
        <x:v>0</x:v>
      </x:c>
    </x:row>
    <x:row r="272" ht="20" customHeight="1">
      <x:c r="A272" s="9" t="n">
        <x:v>46277</x:v>
      </x:c>
      <x:c r="B272" s="2" t="str">
        <x:v>MM-1285</x:v>
      </x:c>
      <x:c r="C272" s="2" t="str">
        <x:v>Paid Social</x:v>
      </x:c>
      <x:c r="D272" s="2" t="str">
        <x:v>CUS-026</x:v>
      </x:c>
      <x:c r="E272" s="10" t="n">
        <x:v>194.75</x:v>
      </x:c>
      <x:c r="F272" s="10" t="n">
        <x:v>5.99</x:v>
      </x:c>
      <x:c r="G272" s="10" t="n">
        <x:v>0</x:v>
      </x:c>
      <x:c r="H272" s="10" t="n">
        <x:v>188.76</x:v>
      </x:c>
      <x:c r="I272" s="10" t="n">
        <x:v>74.5</x:v>
      </x:c>
      <x:c r="J272" s="10" t="n">
        <x:v>114.26</x:v>
      </x:c>
      <x:c r="K272" s="2" t="n">
        <x:v>5</x:v>
      </x:c>
      <x:c r="L272" s="2" t="n">
        <x:v>0</x:v>
      </x:c>
    </x:row>
    <x:row r="273" ht="20" customHeight="1">
      <x:c r="A273" s="9" t="n">
        <x:v>46277</x:v>
      </x:c>
      <x:c r="B273" s="2" t="str">
        <x:v>MM-1288</x:v>
      </x:c>
      <x:c r="C273" s="2" t="str">
        <x:v>Organic Search</x:v>
      </x:c>
      <x:c r="D273" s="2" t="str">
        <x:v>CUS-003</x:v>
      </x:c>
      <x:c r="E273" s="10" t="n">
        <x:v>102.9</x:v>
      </x:c>
      <x:c r="F273" s="10" t="n">
        <x:v>2.29</x:v>
      </x:c>
      <x:c r="G273" s="10" t="n">
        <x:v>0</x:v>
      </x:c>
      <x:c r="H273" s="10" t="n">
        <x:v>100.61</x:v>
      </x:c>
      <x:c r="I273" s="10" t="n">
        <x:v>40.5</x:v>
      </x:c>
      <x:c r="J273" s="10" t="n">
        <x:v>60.11</x:v>
      </x:c>
      <x:c r="K273" s="2" t="n">
        <x:v>2</x:v>
      </x:c>
      <x:c r="L273" s="2" t="n">
        <x:v>0</x:v>
      </x:c>
    </x:row>
    <x:row r="274" ht="20" customHeight="1">
      <x:c r="A274" s="9" t="n">
        <x:v>46277</x:v>
      </x:c>
      <x:c r="B274" s="2" t="str">
        <x:v>MM-1281</x:v>
      </x:c>
      <x:c r="C274" s="2" t="str">
        <x:v>Email</x:v>
      </x:c>
      <x:c r="D274" s="2" t="str">
        <x:v>CUS-069</x:v>
      </x:c>
      <x:c r="E274" s="10" t="n">
        <x:v>19.95</x:v>
      </x:c>
      <x:c r="F274" s="10" t="n">
        <x:v>1.99</x:v>
      </x:c>
      <x:c r="G274" s="10" t="n">
        <x:v>0</x:v>
      </x:c>
      <x:c r="H274" s="10" t="n">
        <x:v>17.96</x:v>
      </x:c>
      <x:c r="I274" s="10" t="n">
        <x:v>6</x:v>
      </x:c>
      <x:c r="J274" s="10" t="n">
        <x:v>11.96</x:v>
      </x:c>
      <x:c r="K274" s="2" t="n">
        <x:v>1</x:v>
      </x:c>
      <x:c r="L274" s="2" t="n">
        <x:v>0</x:v>
      </x:c>
    </x:row>
    <x:row r="275" ht="20" customHeight="1">
      <x:c r="A275" s="9" t="n">
        <x:v>46277</x:v>
      </x:c>
      <x:c r="B275" s="2" t="str">
        <x:v>MM-1284</x:v>
      </x:c>
      <x:c r="C275" s="2" t="str">
        <x:v>Organic Search</x:v>
      </x:c>
      <x:c r="D275" s="2" t="str">
        <x:v>CUS-049</x:v>
      </x:c>
      <x:c r="E275" s="10" t="n">
        <x:v>269.75</x:v>
      </x:c>
      <x:c r="F275" s="10" t="n">
        <x:v>16.48</x:v>
      </x:c>
      <x:c r="G275" s="10" t="n">
        <x:v>0</x:v>
      </x:c>
      <x:c r="H275" s="10" t="n">
        <x:v>253.27</x:v>
      </x:c>
      <x:c r="I275" s="10" t="n">
        <x:v>106.5</x:v>
      </x:c>
      <x:c r="J275" s="10" t="n">
        <x:v>146.77</x:v>
      </x:c>
      <x:c r="K275" s="2" t="n">
        <x:v>5</x:v>
      </x:c>
      <x:c r="L275" s="2" t="n">
        <x:v>0</x:v>
      </x:c>
    </x:row>
    <x:row r="276" ht="20" customHeight="1">
      <x:c r="A276" s="9" t="n">
        <x:v>46277</x:v>
      </x:c>
      <x:c r="B276" s="2" t="str">
        <x:v>MM-1289</x:v>
      </x:c>
      <x:c r="C276" s="2" t="str">
        <x:v>Email</x:v>
      </x:c>
      <x:c r="D276" s="2" t="str">
        <x:v>CUS-109</x:v>
      </x:c>
      <x:c r="E276" s="10" t="n">
        <x:v>18.95</x:v>
      </x:c>
      <x:c r="F276" s="10" t="n">
        <x:v>1.89</x:v>
      </x:c>
      <x:c r="G276" s="10" t="n">
        <x:v>0</x:v>
      </x:c>
      <x:c r="H276" s="10" t="n">
        <x:v>17.06</x:v>
      </x:c>
      <x:c r="I276" s="10" t="n">
        <x:v>6.5</x:v>
      </x:c>
      <x:c r="J276" s="10" t="n">
        <x:v>10.56</x:v>
      </x:c>
      <x:c r="K276" s="2" t="n">
        <x:v>1</x:v>
      </x:c>
      <x:c r="L276" s="2" t="n">
        <x:v>0</x:v>
      </x:c>
    </x:row>
    <x:row r="277" ht="20" customHeight="1">
      <x:c r="A277" s="9" t="n">
        <x:v>46277</x:v>
      </x:c>
      <x:c r="B277" s="2" t="str">
        <x:v>MM-1283</x:v>
      </x:c>
      <x:c r="C277" s="2" t="str">
        <x:v>Email</x:v>
      </x:c>
      <x:c r="D277" s="2" t="str">
        <x:v>CUS-178</x:v>
      </x:c>
      <x:c r="E277" s="10" t="n">
        <x:v>117.85</x:v>
      </x:c>
      <x:c r="F277" s="10" t="n">
        <x:v>11.77</x:v>
      </x:c>
      <x:c r="G277" s="10" t="n">
        <x:v>0</x:v>
      </x:c>
      <x:c r="H277" s="10" t="n">
        <x:v>106.08</x:v>
      </x:c>
      <x:c r="I277" s="10" t="n">
        <x:v>46</x:v>
      </x:c>
      <x:c r="J277" s="10" t="n">
        <x:v>60.08</x:v>
      </x:c>
      <x:c r="K277" s="2" t="n">
        <x:v>3</x:v>
      </x:c>
      <x:c r="L277" s="2" t="n">
        <x:v>0</x:v>
      </x:c>
    </x:row>
    <x:row r="278" ht="20" customHeight="1">
      <x:c r="A278" s="9" t="n">
        <x:v>46277</x:v>
      </x:c>
      <x:c r="B278" s="2" t="str">
        <x:v>MM-1291</x:v>
      </x:c>
      <x:c r="C278" s="2" t="str">
        <x:v>Email</x:v>
      </x:c>
      <x:c r="D278" s="2" t="str">
        <x:v>CUS-010</x:v>
      </x:c>
      <x:c r="E278" s="10" t="n">
        <x:v>49.85</x:v>
      </x:c>
      <x:c r="F278" s="10" t="n">
        <x:v>4.98</x:v>
      </x:c>
      <x:c r="G278" s="10" t="n">
        <x:v>0</x:v>
      </x:c>
      <x:c r="H278" s="10" t="n">
        <x:v>44.87</x:v>
      </x:c>
      <x:c r="I278" s="10" t="n">
        <x:v>15</x:v>
      </x:c>
      <x:c r="J278" s="10" t="n">
        <x:v>29.87</x:v>
      </x:c>
      <x:c r="K278" s="2" t="n">
        <x:v>3</x:v>
      </x:c>
      <x:c r="L278" s="2" t="n">
        <x:v>0</x:v>
      </x:c>
    </x:row>
    <x:row r="279" ht="20" customHeight="1">
      <x:c r="A279" s="9" t="n">
        <x:v>46277</x:v>
      </x:c>
      <x:c r="B279" s="2" t="str">
        <x:v>MM-1287</x:v>
      </x:c>
      <x:c r="C279" s="2" t="str">
        <x:v>Organic Search</x:v>
      </x:c>
      <x:c r="D279" s="2" t="str">
        <x:v>CUS-136</x:v>
      </x:c>
      <x:c r="E279" s="10" t="n">
        <x:v>19.95</x:v>
      </x:c>
      <x:c r="F279" s="10" t="n">
        <x:v>0</x:v>
      </x:c>
      <x:c r="G279" s="10" t="n">
        <x:v>0</x:v>
      </x:c>
      <x:c r="H279" s="10" t="n">
        <x:v>19.95</x:v>
      </x:c>
      <x:c r="I279" s="10" t="n">
        <x:v>6</x:v>
      </x:c>
      <x:c r="J279" s="10" t="n">
        <x:v>13.95</x:v>
      </x:c>
      <x:c r="K279" s="2" t="n">
        <x:v>1</x:v>
      </x:c>
      <x:c r="L279" s="2" t="n">
        <x:v>0</x:v>
      </x:c>
    </x:row>
    <x:row r="280" ht="20" customHeight="1">
      <x:c r="A280" s="9" t="n">
        <x:v>46278</x:v>
      </x:c>
      <x:c r="B280" s="2" t="str">
        <x:v>MM-1298</x:v>
      </x:c>
      <x:c r="C280" s="2" t="str">
        <x:v>Organic Search</x:v>
      </x:c>
      <x:c r="D280" s="2" t="str">
        <x:v>CUS-012</x:v>
      </x:c>
      <x:c r="E280" s="10" t="n">
        <x:v>24.95</x:v>
      </x:c>
      <x:c r="F280" s="10" t="n">
        <x:v>0</x:v>
      </x:c>
      <x:c r="G280" s="10" t="n">
        <x:v>0</x:v>
      </x:c>
      <x:c r="H280" s="10" t="n">
        <x:v>24.95</x:v>
      </x:c>
      <x:c r="I280" s="10" t="n">
        <x:v>8.5</x:v>
      </x:c>
      <x:c r="J280" s="10" t="n">
        <x:v>16.45</x:v>
      </x:c>
      <x:c r="K280" s="2" t="n">
        <x:v>1</x:v>
      </x:c>
      <x:c r="L280" s="2" t="n">
        <x:v>0</x:v>
      </x:c>
    </x:row>
    <x:row r="281" ht="20" customHeight="1">
      <x:c r="A281" s="9" t="n">
        <x:v>46278</x:v>
      </x:c>
      <x:c r="B281" s="2" t="str">
        <x:v>MM-1293</x:v>
      </x:c>
      <x:c r="C281" s="2" t="str">
        <x:v>Organic Search</x:v>
      </x:c>
      <x:c r="D281" s="2" t="str">
        <x:v>CUS-125</x:v>
      </x:c>
      <x:c r="E281" s="10" t="n">
        <x:v>49.9</x:v>
      </x:c>
      <x:c r="F281" s="10" t="n">
        <x:v>1.99</x:v>
      </x:c>
      <x:c r="G281" s="10" t="n">
        <x:v>0</x:v>
      </x:c>
      <x:c r="H281" s="10" t="n">
        <x:v>47.91</x:v>
      </x:c>
      <x:c r="I281" s="10" t="n">
        <x:v>16</x:v>
      </x:c>
      <x:c r="J281" s="10" t="n">
        <x:v>31.91</x:v>
      </x:c>
      <x:c r="K281" s="2" t="n">
        <x:v>2</x:v>
      </x:c>
      <x:c r="L281" s="2" t="n">
        <x:v>0</x:v>
      </x:c>
    </x:row>
    <x:row r="282" ht="20" customHeight="1">
      <x:c r="A282" s="9" t="n">
        <x:v>46278</x:v>
      </x:c>
      <x:c r="B282" s="2" t="str">
        <x:v>MM-1302</x:v>
      </x:c>
      <x:c r="C282" s="2" t="str">
        <x:v>Email</x:v>
      </x:c>
      <x:c r="D282" s="2" t="str">
        <x:v>CUS-144</x:v>
      </x:c>
      <x:c r="E282" s="10" t="n">
        <x:v>24.95</x:v>
      </x:c>
      <x:c r="F282" s="10" t="n">
        <x:v>2.49</x:v>
      </x:c>
      <x:c r="G282" s="10" t="n">
        <x:v>0</x:v>
      </x:c>
      <x:c r="H282" s="10" t="n">
        <x:v>22.46</x:v>
      </x:c>
      <x:c r="I282" s="10" t="n">
        <x:v>9</x:v>
      </x:c>
      <x:c r="J282" s="10" t="n">
        <x:v>13.46</x:v>
      </x:c>
      <x:c r="K282" s="2" t="n">
        <x:v>1</x:v>
      </x:c>
      <x:c r="L282" s="2" t="n">
        <x:v>0</x:v>
      </x:c>
    </x:row>
    <x:row r="283" ht="20" customHeight="1">
      <x:c r="A283" s="9" t="n">
        <x:v>46278</x:v>
      </x:c>
      <x:c r="B283" s="2" t="str">
        <x:v>MM-1305</x:v>
      </x:c>
      <x:c r="C283" s="2" t="str">
        <x:v>Organic Search</x:v>
      </x:c>
      <x:c r="D283" s="2" t="str">
        <x:v>CUS-017</x:v>
      </x:c>
      <x:c r="E283" s="10" t="n">
        <x:v>37.9</x:v>
      </x:c>
      <x:c r="F283" s="10" t="n">
        <x:v>0</x:v>
      </x:c>
      <x:c r="G283" s="10" t="n">
        <x:v>0</x:v>
      </x:c>
      <x:c r="H283" s="10" t="n">
        <x:v>37.9</x:v>
      </x:c>
      <x:c r="I283" s="10" t="n">
        <x:v>13</x:v>
      </x:c>
      <x:c r="J283" s="10" t="n">
        <x:v>24.9</x:v>
      </x:c>
      <x:c r="K283" s="2" t="n">
        <x:v>2</x:v>
      </x:c>
      <x:c r="L283" s="2" t="n">
        <x:v>0</x:v>
      </x:c>
    </x:row>
    <x:row r="284" ht="20" customHeight="1">
      <x:c r="A284" s="9" t="n">
        <x:v>46278</x:v>
      </x:c>
      <x:c r="B284" s="2" t="str">
        <x:v>MM-1294</x:v>
      </x:c>
      <x:c r="C284" s="2" t="str">
        <x:v>Paid Social</x:v>
      </x:c>
      <x:c r="D284" s="2" t="str">
        <x:v>CUS-058</x:v>
      </x:c>
      <x:c r="E284" s="10" t="n">
        <x:v>39.9</x:v>
      </x:c>
      <x:c r="F284" s="10" t="n">
        <x:v>0</x:v>
      </x:c>
      <x:c r="G284" s="10" t="n">
        <x:v>0</x:v>
      </x:c>
      <x:c r="H284" s="10" t="n">
        <x:v>39.9</x:v>
      </x:c>
      <x:c r="I284" s="10" t="n">
        <x:v>12</x:v>
      </x:c>
      <x:c r="J284" s="10" t="n">
        <x:v>27.9</x:v>
      </x:c>
      <x:c r="K284" s="2" t="n">
        <x:v>2</x:v>
      </x:c>
      <x:c r="L284" s="2" t="n">
        <x:v>0</x:v>
      </x:c>
    </x:row>
    <x:row r="285" ht="20" customHeight="1">
      <x:c r="A285" s="9" t="n">
        <x:v>46278</x:v>
      </x:c>
      <x:c r="B285" s="2" t="str">
        <x:v>MM-1292</x:v>
      </x:c>
      <x:c r="C285" s="2" t="str">
        <x:v>Direct</x:v>
      </x:c>
      <x:c r="D285" s="2" t="str">
        <x:v>CUS-048</x:v>
      </x:c>
      <x:c r="E285" s="10" t="n">
        <x:v>22.95</x:v>
      </x:c>
      <x:c r="F285" s="10" t="n">
        <x:v>2.29</x:v>
      </x:c>
      <x:c r="G285" s="10" t="n">
        <x:v>0</x:v>
      </x:c>
      <x:c r="H285" s="10" t="n">
        <x:v>20.66</x:v>
      </x:c>
      <x:c r="I285" s="10" t="n">
        <x:v>8.5</x:v>
      </x:c>
      <x:c r="J285" s="10" t="n">
        <x:v>12.16</x:v>
      </x:c>
      <x:c r="K285" s="2" t="n">
        <x:v>1</x:v>
      </x:c>
      <x:c r="L285" s="2" t="n">
        <x:v>0</x:v>
      </x:c>
    </x:row>
    <x:row r="286" ht="20" customHeight="1">
      <x:c r="A286" s="9" t="n">
        <x:v>46278</x:v>
      </x:c>
      <x:c r="B286" s="2" t="str">
        <x:v>MM-1304</x:v>
      </x:c>
      <x:c r="C286" s="2" t="str">
        <x:v>Organic Search</x:v>
      </x:c>
      <x:c r="D286" s="2" t="str">
        <x:v>CUS-041</x:v>
      </x:c>
      <x:c r="E286" s="10" t="n">
        <x:v>278.7</x:v>
      </x:c>
      <x:c r="F286" s="10" t="n">
        <x:v>0</x:v>
      </x:c>
      <x:c r="G286" s="10" t="n">
        <x:v>59.95</x:v>
      </x:c>
      <x:c r="H286" s="10" t="n">
        <x:v>218.75</x:v>
      </x:c>
      <x:c r="I286" s="10" t="n">
        <x:v>84</x:v>
      </x:c>
      <x:c r="J286" s="10" t="n">
        <x:v>134.75</x:v>
      </x:c>
      <x:c r="K286" s="2" t="n">
        <x:v>6</x:v>
      </x:c>
      <x:c r="L286" s="2" t="n">
        <x:v>1</x:v>
      </x:c>
    </x:row>
    <x:row r="287" ht="20" customHeight="1">
      <x:c r="A287" s="9" t="n">
        <x:v>46278</x:v>
      </x:c>
      <x:c r="B287" s="2" t="str">
        <x:v>MM-1299</x:v>
      </x:c>
      <x:c r="C287" s="2" t="str">
        <x:v>Organic Search</x:v>
      </x:c>
      <x:c r="D287" s="2" t="str">
        <x:v>CUS-130</x:v>
      </x:c>
      <x:c r="E287" s="10" t="n">
        <x:v>42.9</x:v>
      </x:c>
      <x:c r="F287" s="10" t="n">
        <x:v>0.99</x:v>
      </x:c>
      <x:c r="G287" s="10" t="n">
        <x:v>0</x:v>
      </x:c>
      <x:c r="H287" s="10" t="n">
        <x:v>41.91</x:v>
      </x:c>
      <x:c r="I287" s="10" t="n">
        <x:v>14.5</x:v>
      </x:c>
      <x:c r="J287" s="10" t="n">
        <x:v>27.41</x:v>
      </x:c>
      <x:c r="K287" s="2" t="n">
        <x:v>2</x:v>
      </x:c>
      <x:c r="L287" s="2" t="n">
        <x:v>0</x:v>
      </x:c>
    </x:row>
    <x:row r="288" ht="20" customHeight="1">
      <x:c r="A288" s="9" t="n">
        <x:v>46278</x:v>
      </x:c>
      <x:c r="B288" s="2" t="str">
        <x:v>MM-1300</x:v>
      </x:c>
      <x:c r="C288" s="2" t="str">
        <x:v>Organic Search</x:v>
      </x:c>
      <x:c r="D288" s="2" t="str">
        <x:v>CUS-052</x:v>
      </x:c>
      <x:c r="E288" s="10" t="n">
        <x:v>22.95</x:v>
      </x:c>
      <x:c r="F288" s="10" t="n">
        <x:v>0</x:v>
      </x:c>
      <x:c r="G288" s="10" t="n">
        <x:v>0</x:v>
      </x:c>
      <x:c r="H288" s="10" t="n">
        <x:v>22.95</x:v>
      </x:c>
      <x:c r="I288" s="10" t="n">
        <x:v>8.5</x:v>
      </x:c>
      <x:c r="J288" s="10" t="n">
        <x:v>14.45</x:v>
      </x:c>
      <x:c r="K288" s="2" t="n">
        <x:v>1</x:v>
      </x:c>
      <x:c r="L288" s="2" t="n">
        <x:v>0</x:v>
      </x:c>
    </x:row>
    <x:row r="289" ht="20" customHeight="1">
      <x:c r="A289" s="9" t="n">
        <x:v>46278</x:v>
      </x:c>
      <x:c r="B289" s="2" t="str">
        <x:v>MM-1301</x:v>
      </x:c>
      <x:c r="C289" s="2" t="str">
        <x:v>Paid Social</x:v>
      </x:c>
      <x:c r="D289" s="2" t="str">
        <x:v>CUS-114</x:v>
      </x:c>
      <x:c r="E289" s="10" t="n">
        <x:v>87.9</x:v>
      </x:c>
      <x:c r="F289" s="10" t="n">
        <x:v>0</x:v>
      </x:c>
      <x:c r="G289" s="10" t="n">
        <x:v>0</x:v>
      </x:c>
      <x:c r="H289" s="10" t="n">
        <x:v>87.9</x:v>
      </x:c>
      <x:c r="I289" s="10" t="n">
        <x:v>34</x:v>
      </x:c>
      <x:c r="J289" s="10" t="n">
        <x:v>53.9</x:v>
      </x:c>
      <x:c r="K289" s="2" t="n">
        <x:v>2</x:v>
      </x:c>
      <x:c r="L289" s="2" t="n">
        <x:v>0</x:v>
      </x:c>
    </x:row>
    <x:row r="290" ht="20" customHeight="1">
      <x:c r="A290" s="9" t="n">
        <x:v>46278</x:v>
      </x:c>
      <x:c r="B290" s="2" t="str">
        <x:v>MM-1295</x:v>
      </x:c>
      <x:c r="C290" s="2" t="str">
        <x:v>Organic Search</x:v>
      </x:c>
      <x:c r="D290" s="2" t="str">
        <x:v>CUS-059</x:v>
      </x:c>
      <x:c r="E290" s="10" t="n">
        <x:v>9.95</x:v>
      </x:c>
      <x:c r="F290" s="10" t="n">
        <x:v>0</x:v>
      </x:c>
      <x:c r="G290" s="10" t="n">
        <x:v>0</x:v>
      </x:c>
      <x:c r="H290" s="10" t="n">
        <x:v>9.95</x:v>
      </x:c>
      <x:c r="I290" s="10" t="n">
        <x:v>2.5</x:v>
      </x:c>
      <x:c r="J290" s="10" t="n">
        <x:v>7.45</x:v>
      </x:c>
      <x:c r="K290" s="2" t="n">
        <x:v>1</x:v>
      </x:c>
      <x:c r="L290" s="2" t="n">
        <x:v>0</x:v>
      </x:c>
    </x:row>
    <x:row r="291" ht="20" customHeight="1">
      <x:c r="A291" s="9" t="n">
        <x:v>46278</x:v>
      </x:c>
      <x:c r="B291" s="2" t="str">
        <x:v>MM-1303</x:v>
      </x:c>
      <x:c r="C291" s="2" t="str">
        <x:v>Email</x:v>
      </x:c>
      <x:c r="D291" s="2" t="str">
        <x:v>CUS-133</x:v>
      </x:c>
      <x:c r="E291" s="10" t="n">
        <x:v>32.95</x:v>
      </x:c>
      <x:c r="F291" s="10" t="n">
        <x:v>3.29</x:v>
      </x:c>
      <x:c r="G291" s="10" t="n">
        <x:v>0</x:v>
      </x:c>
      <x:c r="H291" s="10" t="n">
        <x:v>29.66</x:v>
      </x:c>
      <x:c r="I291" s="10" t="n">
        <x:v>12</x:v>
      </x:c>
      <x:c r="J291" s="10" t="n">
        <x:v>17.66</x:v>
      </x:c>
      <x:c r="K291" s="2" t="n">
        <x:v>1</x:v>
      </x:c>
      <x:c r="L291" s="2" t="n">
        <x:v>0</x:v>
      </x:c>
    </x:row>
    <x:row r="292" ht="20" customHeight="1">
      <x:c r="A292" s="9" t="n">
        <x:v>46278</x:v>
      </x:c>
      <x:c r="B292" s="2" t="str">
        <x:v>MM-1296</x:v>
      </x:c>
      <x:c r="C292" s="2" t="str">
        <x:v>Organic Search</x:v>
      </x:c>
      <x:c r="D292" s="2" t="str">
        <x:v>CUS-130</x:v>
      </x:c>
      <x:c r="E292" s="10" t="n">
        <x:v>59.95</x:v>
      </x:c>
      <x:c r="F292" s="10" t="n">
        <x:v>0</x:v>
      </x:c>
      <x:c r="G292" s="10" t="n">
        <x:v>0</x:v>
      </x:c>
      <x:c r="H292" s="10" t="n">
        <x:v>59.95</x:v>
      </x:c>
      <x:c r="I292" s="10" t="n">
        <x:v>24</x:v>
      </x:c>
      <x:c r="J292" s="10" t="n">
        <x:v>35.95</x:v>
      </x:c>
      <x:c r="K292" s="2" t="n">
        <x:v>1</x:v>
      </x:c>
      <x:c r="L292" s="2" t="n">
        <x:v>0</x:v>
      </x:c>
    </x:row>
    <x:row r="293" ht="20" customHeight="1">
      <x:c r="A293" s="9" t="n">
        <x:v>46278</x:v>
      </x:c>
      <x:c r="B293" s="2" t="str">
        <x:v>MM-1297</x:v>
      </x:c>
      <x:c r="C293" s="2" t="str">
        <x:v>Organic Search</x:v>
      </x:c>
      <x:c r="D293" s="2" t="str">
        <x:v>CUS-024</x:v>
      </x:c>
      <x:c r="E293" s="10" t="n">
        <x:v>19.9</x:v>
      </x:c>
      <x:c r="F293" s="10" t="n">
        <x:v>0</x:v>
      </x:c>
      <x:c r="G293" s="10" t="n">
        <x:v>0</x:v>
      </x:c>
      <x:c r="H293" s="10" t="n">
        <x:v>19.9</x:v>
      </x:c>
      <x:c r="I293" s="10" t="n">
        <x:v>5</x:v>
      </x:c>
      <x:c r="J293" s="10" t="n">
        <x:v>14.9</x:v>
      </x:c>
      <x:c r="K293" s="2" t="n">
        <x:v>2</x:v>
      </x:c>
      <x:c r="L293" s="2" t="n">
        <x:v>0</x:v>
      </x:c>
    </x:row>
    <x:row r="294" ht="20" customHeight="1">
      <x:c r="A294" s="9" t="n">
        <x:v>46278</x:v>
      </x:c>
      <x:c r="B294" s="2" t="str">
        <x:v>MM-1306</x:v>
      </x:c>
      <x:c r="C294" s="2" t="str">
        <x:v>Email</x:v>
      </x:c>
      <x:c r="D294" s="2" t="str">
        <x:v>CUS-136</x:v>
      </x:c>
      <x:c r="E294" s="10" t="n">
        <x:v>69.95</x:v>
      </x:c>
      <x:c r="F294" s="10" t="n">
        <x:v>6.99</x:v>
      </x:c>
      <x:c r="G294" s="10" t="n">
        <x:v>0</x:v>
      </x:c>
      <x:c r="H294" s="10" t="n">
        <x:v>62.96</x:v>
      </x:c>
      <x:c r="I294" s="10" t="n">
        <x:v>28</x:v>
      </x:c>
      <x:c r="J294" s="10" t="n">
        <x:v>34.96</x:v>
      </x:c>
      <x:c r="K294" s="2" t="n">
        <x:v>1</x:v>
      </x:c>
      <x:c r="L294" s="2" t="n">
        <x:v>0</x:v>
      </x:c>
    </x:row>
    <x:row r="295" ht="20" customHeight="1">
      <x:c r="A295" s="9" t="n">
        <x:v>46279</x:v>
      </x:c>
      <x:c r="B295" s="2" t="str">
        <x:v>MM-1315</x:v>
      </x:c>
      <x:c r="C295" s="2" t="str">
        <x:v>Paid Social</x:v>
      </x:c>
      <x:c r="D295" s="2" t="str">
        <x:v>CUS-078</x:v>
      </x:c>
      <x:c r="E295" s="10" t="n">
        <x:v>24.95</x:v>
      </x:c>
      <x:c r="F295" s="10" t="n">
        <x:v>0</x:v>
      </x:c>
      <x:c r="G295" s="10" t="n">
        <x:v>24.95</x:v>
      </x:c>
      <x:c r="H295" s="10" t="n">
        <x:v>0</x:v>
      </x:c>
      <x:c r="I295" s="10" t="n">
        <x:v>0</x:v>
      </x:c>
      <x:c r="J295" s="10" t="n">
        <x:v>0</x:v>
      </x:c>
      <x:c r="K295" s="2" t="n">
        <x:v>1</x:v>
      </x:c>
      <x:c r="L295" s="2" t="n">
        <x:v>1</x:v>
      </x:c>
    </x:row>
    <x:row r="296" ht="20" customHeight="1">
      <x:c r="A296" s="9" t="n">
        <x:v>46279</x:v>
      </x:c>
      <x:c r="B296" s="2" t="str">
        <x:v>MM-1317</x:v>
      </x:c>
      <x:c r="C296" s="2" t="str">
        <x:v>Organic Search</x:v>
      </x:c>
      <x:c r="D296" s="2" t="str">
        <x:v>CUS-115</x:v>
      </x:c>
      <x:c r="E296" s="10" t="n">
        <x:v>172.85</x:v>
      </x:c>
      <x:c r="F296" s="10" t="n">
        <x:v>0</x:v>
      </x:c>
      <x:c r="G296" s="10" t="n">
        <x:v>0</x:v>
      </x:c>
      <x:c r="H296" s="10" t="n">
        <x:v>172.85</x:v>
      </x:c>
      <x:c r="I296" s="10" t="n">
        <x:v>67.5</x:v>
      </x:c>
      <x:c r="J296" s="10" t="n">
        <x:v>105.35</x:v>
      </x:c>
      <x:c r="K296" s="2" t="n">
        <x:v>3</x:v>
      </x:c>
      <x:c r="L296" s="2" t="n">
        <x:v>0</x:v>
      </x:c>
    </x:row>
    <x:row r="297" ht="20" customHeight="1">
      <x:c r="A297" s="9" t="n">
        <x:v>46279</x:v>
      </x:c>
      <x:c r="B297" s="2" t="str">
        <x:v>MM-1316</x:v>
      </x:c>
      <x:c r="C297" s="2" t="str">
        <x:v>Email</x:v>
      </x:c>
      <x:c r="D297" s="2" t="str">
        <x:v>CUS-128</x:v>
      </x:c>
      <x:c r="E297" s="10" t="n">
        <x:v>18.95</x:v>
      </x:c>
      <x:c r="F297" s="10" t="n">
        <x:v>1.89</x:v>
      </x:c>
      <x:c r="G297" s="10" t="n">
        <x:v>0</x:v>
      </x:c>
      <x:c r="H297" s="10" t="n">
        <x:v>17.06</x:v>
      </x:c>
      <x:c r="I297" s="10" t="n">
        <x:v>6.5</x:v>
      </x:c>
      <x:c r="J297" s="10" t="n">
        <x:v>10.56</x:v>
      </x:c>
      <x:c r="K297" s="2" t="n">
        <x:v>1</x:v>
      </x:c>
      <x:c r="L297" s="2" t="n">
        <x:v>0</x:v>
      </x:c>
    </x:row>
    <x:row r="298" ht="20" customHeight="1">
      <x:c r="A298" s="9" t="n">
        <x:v>46279</x:v>
      </x:c>
      <x:c r="B298" s="2" t="str">
        <x:v>MM-1308</x:v>
      </x:c>
      <x:c r="C298" s="2" t="str">
        <x:v>Organic Search</x:v>
      </x:c>
      <x:c r="D298" s="2" t="str">
        <x:v>CUS-025</x:v>
      </x:c>
      <x:c r="E298" s="10" t="n">
        <x:v>168.85</x:v>
      </x:c>
      <x:c r="F298" s="10" t="n">
        <x:v>6.99</x:v>
      </x:c>
      <x:c r="G298" s="10" t="n">
        <x:v>0</x:v>
      </x:c>
      <x:c r="H298" s="10" t="n">
        <x:v>161.86</x:v>
      </x:c>
      <x:c r="I298" s="10" t="n">
        <x:v>66.5</x:v>
      </x:c>
      <x:c r="J298" s="10" t="n">
        <x:v>95.36</x:v>
      </x:c>
      <x:c r="K298" s="2" t="n">
        <x:v>3</x:v>
      </x:c>
      <x:c r="L298" s="2" t="n">
        <x:v>0</x:v>
      </x:c>
    </x:row>
    <x:row r="299" ht="20" customHeight="1">
      <x:c r="A299" s="9" t="n">
        <x:v>46279</x:v>
      </x:c>
      <x:c r="B299" s="2" t="str">
        <x:v>MM-1309</x:v>
      </x:c>
      <x:c r="C299" s="2" t="str">
        <x:v>Email</x:v>
      </x:c>
      <x:c r="D299" s="2" t="str">
        <x:v>CUS-106</x:v>
      </x:c>
      <x:c r="E299" s="10" t="n">
        <x:v>19.95</x:v>
      </x:c>
      <x:c r="F299" s="10" t="n">
        <x:v>1.99</x:v>
      </x:c>
      <x:c r="G299" s="10" t="n">
        <x:v>0</x:v>
      </x:c>
      <x:c r="H299" s="10" t="n">
        <x:v>17.96</x:v>
      </x:c>
      <x:c r="I299" s="10" t="n">
        <x:v>6</x:v>
      </x:c>
      <x:c r="J299" s="10" t="n">
        <x:v>11.96</x:v>
      </x:c>
      <x:c r="K299" s="2" t="n">
        <x:v>1</x:v>
      </x:c>
      <x:c r="L299" s="2" t="n">
        <x:v>0</x:v>
      </x:c>
    </x:row>
    <x:row r="300" ht="20" customHeight="1">
      <x:c r="A300" s="9" t="n">
        <x:v>46279</x:v>
      </x:c>
      <x:c r="B300" s="2" t="str">
        <x:v>MM-1312</x:v>
      </x:c>
      <x:c r="C300" s="2" t="str">
        <x:v>Email</x:v>
      </x:c>
      <x:c r="D300" s="2" t="str">
        <x:v>CUS-117</x:v>
      </x:c>
      <x:c r="E300" s="10" t="n">
        <x:v>25.9</x:v>
      </x:c>
      <x:c r="F300" s="10" t="n">
        <x:v>2.59</x:v>
      </x:c>
      <x:c r="G300" s="10" t="n">
        <x:v>0</x:v>
      </x:c>
      <x:c r="H300" s="10" t="n">
        <x:v>23.31</x:v>
      </x:c>
      <x:c r="I300" s="10" t="n">
        <x:v>7</x:v>
      </x:c>
      <x:c r="J300" s="10" t="n">
        <x:v>16.31</x:v>
      </x:c>
      <x:c r="K300" s="2" t="n">
        <x:v>2</x:v>
      </x:c>
      <x:c r="L300" s="2" t="n">
        <x:v>0</x:v>
      </x:c>
    </x:row>
    <x:row r="301" ht="20" customHeight="1">
      <x:c r="A301" s="9" t="n">
        <x:v>46279</x:v>
      </x:c>
      <x:c r="B301" s="2" t="str">
        <x:v>MM-1320</x:v>
      </x:c>
      <x:c r="C301" s="2" t="str">
        <x:v>Email</x:v>
      </x:c>
      <x:c r="D301" s="2" t="str">
        <x:v>CUS-088</x:v>
      </x:c>
      <x:c r="E301" s="10" t="n">
        <x:v>19.95</x:v>
      </x:c>
      <x:c r="F301" s="10" t="n">
        <x:v>1.99</x:v>
      </x:c>
      <x:c r="G301" s="10" t="n">
        <x:v>0</x:v>
      </x:c>
      <x:c r="H301" s="10" t="n">
        <x:v>17.96</x:v>
      </x:c>
      <x:c r="I301" s="10" t="n">
        <x:v>6</x:v>
      </x:c>
      <x:c r="J301" s="10" t="n">
        <x:v>11.96</x:v>
      </x:c>
      <x:c r="K301" s="2" t="n">
        <x:v>1</x:v>
      </x:c>
      <x:c r="L301" s="2" t="n">
        <x:v>0</x:v>
      </x:c>
    </x:row>
    <x:row r="302" ht="20" customHeight="1">
      <x:c r="A302" s="9" t="n">
        <x:v>46279</x:v>
      </x:c>
      <x:c r="B302" s="2" t="str">
        <x:v>MM-1311</x:v>
      </x:c>
      <x:c r="C302" s="2" t="str">
        <x:v>Organic Search</x:v>
      </x:c>
      <x:c r="D302" s="2" t="str">
        <x:v>CUS-008</x:v>
      </x:c>
      <x:c r="E302" s="10" t="n">
        <x:v>9.95</x:v>
      </x:c>
      <x:c r="F302" s="10" t="n">
        <x:v>0</x:v>
      </x:c>
      <x:c r="G302" s="10" t="n">
        <x:v>0</x:v>
      </x:c>
      <x:c r="H302" s="10" t="n">
        <x:v>9.95</x:v>
      </x:c>
      <x:c r="I302" s="10" t="n">
        <x:v>2.5</x:v>
      </x:c>
      <x:c r="J302" s="10" t="n">
        <x:v>7.45</x:v>
      </x:c>
      <x:c r="K302" s="2" t="n">
        <x:v>1</x:v>
      </x:c>
      <x:c r="L302" s="2" t="n">
        <x:v>0</x:v>
      </x:c>
    </x:row>
    <x:row r="303" ht="20" customHeight="1">
      <x:c r="A303" s="9" t="n">
        <x:v>46279</x:v>
      </x:c>
      <x:c r="B303" s="2" t="str">
        <x:v>MM-1322</x:v>
      </x:c>
      <x:c r="C303" s="2" t="str">
        <x:v>Email</x:v>
      </x:c>
      <x:c r="D303" s="2" t="str">
        <x:v>CUS-039</x:v>
      </x:c>
      <x:c r="E303" s="10" t="n">
        <x:v>34.95</x:v>
      </x:c>
      <x:c r="F303" s="10" t="n">
        <x:v>3.49</x:v>
      </x:c>
      <x:c r="G303" s="10" t="n">
        <x:v>0</x:v>
      </x:c>
      <x:c r="H303" s="10" t="n">
        <x:v>31.46</x:v>
      </x:c>
      <x:c r="I303" s="10" t="n">
        <x:v>13.5</x:v>
      </x:c>
      <x:c r="J303" s="10" t="n">
        <x:v>17.96</x:v>
      </x:c>
      <x:c r="K303" s="2" t="n">
        <x:v>1</x:v>
      </x:c>
      <x:c r="L303" s="2" t="n">
        <x:v>0</x:v>
      </x:c>
    </x:row>
    <x:row r="304" ht="20" customHeight="1">
      <x:c r="A304" s="9" t="n">
        <x:v>46279</x:v>
      </x:c>
      <x:c r="B304" s="2" t="str">
        <x:v>MM-1307</x:v>
      </x:c>
      <x:c r="C304" s="2" t="str">
        <x:v>Organic Search</x:v>
      </x:c>
      <x:c r="D304" s="2" t="str">
        <x:v>CUS-172</x:v>
      </x:c>
      <x:c r="E304" s="10" t="n">
        <x:v>29.95</x:v>
      </x:c>
      <x:c r="F304" s="10" t="n">
        <x:v>0</x:v>
      </x:c>
      <x:c r="G304" s="10" t="n">
        <x:v>0</x:v>
      </x:c>
      <x:c r="H304" s="10" t="n">
        <x:v>29.95</x:v>
      </x:c>
      <x:c r="I304" s="10" t="n">
        <x:v>10</x:v>
      </x:c>
      <x:c r="J304" s="10" t="n">
        <x:v>19.95</x:v>
      </x:c>
      <x:c r="K304" s="2" t="n">
        <x:v>1</x:v>
      </x:c>
      <x:c r="L304" s="2" t="n">
        <x:v>0</x:v>
      </x:c>
    </x:row>
    <x:row r="305" ht="20" customHeight="1">
      <x:c r="A305" s="9" t="n">
        <x:v>46279</x:v>
      </x:c>
      <x:c r="B305" s="2" t="str">
        <x:v>MM-1319</x:v>
      </x:c>
      <x:c r="C305" s="2" t="str">
        <x:v>Paid Social</x:v>
      </x:c>
      <x:c r="D305" s="2" t="str">
        <x:v>CUS-126</x:v>
      </x:c>
      <x:c r="E305" s="10" t="n">
        <x:v>404.7</x:v>
      </x:c>
      <x:c r="F305" s="10" t="n">
        <x:v>0</x:v>
      </x:c>
      <x:c r="G305" s="10" t="n">
        <x:v>0</x:v>
      </x:c>
      <x:c r="H305" s="10" t="n">
        <x:v>404.7</x:v>
      </x:c>
      <x:c r="I305" s="10" t="n">
        <x:v>161.5</x:v>
      </x:c>
      <x:c r="J305" s="10" t="n">
        <x:v>243.2</x:v>
      </x:c>
      <x:c r="K305" s="2" t="n">
        <x:v>6</x:v>
      </x:c>
      <x:c r="L305" s="2" t="n">
        <x:v>0</x:v>
      </x:c>
    </x:row>
    <x:row r="306" ht="20" customHeight="1">
      <x:c r="A306" s="9" t="n">
        <x:v>46279</x:v>
      </x:c>
      <x:c r="B306" s="2" t="str">
        <x:v>MM-1313</x:v>
      </x:c>
      <x:c r="C306" s="2" t="str">
        <x:v>Direct</x:v>
      </x:c>
      <x:c r="D306" s="2" t="str">
        <x:v>CUS-078</x:v>
      </x:c>
      <x:c r="E306" s="10" t="n">
        <x:v>120.8</x:v>
      </x:c>
      <x:c r="F306" s="10" t="n">
        <x:v>0</x:v>
      </x:c>
      <x:c r="G306" s="10" t="n">
        <x:v>18.95</x:v>
      </x:c>
      <x:c r="H306" s="10" t="n">
        <x:v>101.85</x:v>
      </x:c>
      <x:c r="I306" s="10" t="n">
        <x:v>39</x:v>
      </x:c>
      <x:c r="J306" s="10" t="n">
        <x:v>62.85</x:v>
      </x:c>
      <x:c r="K306" s="2" t="n">
        <x:v>4</x:v>
      </x:c>
      <x:c r="L306" s="2" t="n">
        <x:v>1</x:v>
      </x:c>
    </x:row>
    <x:row r="307" ht="20" customHeight="1">
      <x:c r="A307" s="9" t="n">
        <x:v>46279</x:v>
      </x:c>
      <x:c r="B307" s="2" t="str">
        <x:v>MM-1318</x:v>
      </x:c>
      <x:c r="C307" s="2" t="str">
        <x:v>Organic Search</x:v>
      </x:c>
      <x:c r="D307" s="2" t="str">
        <x:v>CUS-007</x:v>
      </x:c>
      <x:c r="E307" s="10" t="n">
        <x:v>24.95</x:v>
      </x:c>
      <x:c r="F307" s="10" t="n">
        <x:v>0</x:v>
      </x:c>
      <x:c r="G307" s="10" t="n">
        <x:v>0</x:v>
      </x:c>
      <x:c r="H307" s="10" t="n">
        <x:v>24.95</x:v>
      </x:c>
      <x:c r="I307" s="10" t="n">
        <x:v>8.5</x:v>
      </x:c>
      <x:c r="J307" s="10" t="n">
        <x:v>16.45</x:v>
      </x:c>
      <x:c r="K307" s="2" t="n">
        <x:v>1</x:v>
      </x:c>
      <x:c r="L307" s="2" t="n">
        <x:v>0</x:v>
      </x:c>
    </x:row>
    <x:row r="308" ht="20" customHeight="1">
      <x:c r="A308" s="9" t="n">
        <x:v>46279</x:v>
      </x:c>
      <x:c r="B308" s="2" t="str">
        <x:v>MM-1314</x:v>
      </x:c>
      <x:c r="C308" s="2" t="str">
        <x:v>Paid Social</x:v>
      </x:c>
      <x:c r="D308" s="2" t="str">
        <x:v>CUS-070</x:v>
      </x:c>
      <x:c r="E308" s="10" t="n">
        <x:v>79.95</x:v>
      </x:c>
      <x:c r="F308" s="10" t="n">
        <x:v>0</x:v>
      </x:c>
      <x:c r="G308" s="10" t="n">
        <x:v>79.95</x:v>
      </x:c>
      <x:c r="H308" s="10" t="n">
        <x:v>0</x:v>
      </x:c>
      <x:c r="I308" s="10" t="n">
        <x:v>0</x:v>
      </x:c>
      <x:c r="J308" s="10" t="n">
        <x:v>0</x:v>
      </x:c>
      <x:c r="K308" s="2" t="n">
        <x:v>1</x:v>
      </x:c>
      <x:c r="L308" s="2" t="n">
        <x:v>1</x:v>
      </x:c>
    </x:row>
    <x:row r="309" ht="20" customHeight="1">
      <x:c r="A309" s="9" t="n">
        <x:v>46279</x:v>
      </x:c>
      <x:c r="B309" s="2" t="str">
        <x:v>MM-1310</x:v>
      </x:c>
      <x:c r="C309" s="2" t="str">
        <x:v>Paid Social</x:v>
      </x:c>
      <x:c r="D309" s="2" t="str">
        <x:v>CUS-025</x:v>
      </x:c>
      <x:c r="E309" s="10" t="n">
        <x:v>159.9</x:v>
      </x:c>
      <x:c r="F309" s="10" t="n">
        <x:v>0</x:v>
      </x:c>
      <x:c r="G309" s="10" t="n">
        <x:v>0</x:v>
      </x:c>
      <x:c r="H309" s="10" t="n">
        <x:v>159.9</x:v>
      </x:c>
      <x:c r="I309" s="10" t="n">
        <x:v>64</x:v>
      </x:c>
      <x:c r="J309" s="10" t="n">
        <x:v>95.9</x:v>
      </x:c>
      <x:c r="K309" s="2" t="n">
        <x:v>2</x:v>
      </x:c>
      <x:c r="L309" s="2" t="n">
        <x:v>0</x:v>
      </x:c>
    </x:row>
    <x:row r="310" ht="20" customHeight="1">
      <x:c r="A310" s="9" t="n">
        <x:v>46279</x:v>
      </x:c>
      <x:c r="B310" s="2" t="str">
        <x:v>MM-1321</x:v>
      </x:c>
      <x:c r="C310" s="2" t="str">
        <x:v>Organic Search</x:v>
      </x:c>
      <x:c r="D310" s="2" t="str">
        <x:v>CUS-033</x:v>
      </x:c>
      <x:c r="E310" s="10" t="n">
        <x:v>18.95</x:v>
      </x:c>
      <x:c r="F310" s="10" t="n">
        <x:v>0</x:v>
      </x:c>
      <x:c r="G310" s="10" t="n">
        <x:v>0</x:v>
      </x:c>
      <x:c r="H310" s="10" t="n">
        <x:v>18.95</x:v>
      </x:c>
      <x:c r="I310" s="10" t="n">
        <x:v>6.5</x:v>
      </x:c>
      <x:c r="J310" s="10" t="n">
        <x:v>12.45</x:v>
      </x:c>
      <x:c r="K310" s="2" t="n">
        <x:v>1</x:v>
      </x:c>
      <x:c r="L310" s="2" t="n">
        <x:v>0</x:v>
      </x:c>
    </x:row>
    <x:row r="311" ht="20" customHeight="1">
      <x:c r="A311" s="9" t="n">
        <x:v>46280</x:v>
      </x:c>
      <x:c r="B311" s="2" t="str">
        <x:v>MM-1323</x:v>
      </x:c>
      <x:c r="C311" s="2" t="str">
        <x:v>Paid Social</x:v>
      </x:c>
      <x:c r="D311" s="2" t="str">
        <x:v>CUS-172</x:v>
      </x:c>
      <x:c r="E311" s="10" t="n">
        <x:v>12.95</x:v>
      </x:c>
      <x:c r="F311" s="10" t="n">
        <x:v>0</x:v>
      </x:c>
      <x:c r="G311" s="10" t="n">
        <x:v>0</x:v>
      </x:c>
      <x:c r="H311" s="10" t="n">
        <x:v>12.95</x:v>
      </x:c>
      <x:c r="I311" s="10" t="n">
        <x:v>3.5</x:v>
      </x:c>
      <x:c r="J311" s="10" t="n">
        <x:v>9.45</x:v>
      </x:c>
      <x:c r="K311" s="2" t="n">
        <x:v>1</x:v>
      </x:c>
      <x:c r="L311" s="2" t="n">
        <x:v>0</x:v>
      </x:c>
    </x:row>
    <x:row r="312" ht="20" customHeight="1">
      <x:c r="A312" s="9" t="n">
        <x:v>46280</x:v>
      </x:c>
      <x:c r="B312" s="2" t="str">
        <x:v>MM-1338</x:v>
      </x:c>
      <x:c r="C312" s="2" t="str">
        <x:v>Organic Search</x:v>
      </x:c>
      <x:c r="D312" s="2" t="str">
        <x:v>CUS-047</x:v>
      </x:c>
      <x:c r="E312" s="10" t="n">
        <x:v>34.95</x:v>
      </x:c>
      <x:c r="F312" s="10" t="n">
        <x:v>0</x:v>
      </x:c>
      <x:c r="G312" s="10" t="n">
        <x:v>0</x:v>
      </x:c>
      <x:c r="H312" s="10" t="n">
        <x:v>34.95</x:v>
      </x:c>
      <x:c r="I312" s="10" t="n">
        <x:v>13.5</x:v>
      </x:c>
      <x:c r="J312" s="10" t="n">
        <x:v>21.45</x:v>
      </x:c>
      <x:c r="K312" s="2" t="n">
        <x:v>1</x:v>
      </x:c>
      <x:c r="L312" s="2" t="n">
        <x:v>0</x:v>
      </x:c>
    </x:row>
    <x:row r="313" ht="20" customHeight="1">
      <x:c r="A313" s="9" t="n">
        <x:v>46280</x:v>
      </x:c>
      <x:c r="B313" s="2" t="str">
        <x:v>MM-1325</x:v>
      </x:c>
      <x:c r="C313" s="2" t="str">
        <x:v>Email</x:v>
      </x:c>
      <x:c r="D313" s="2" t="str">
        <x:v>CUS-024</x:v>
      </x:c>
      <x:c r="E313" s="10" t="n">
        <x:v>184.65</x:v>
      </x:c>
      <x:c r="F313" s="10" t="n">
        <x:v>18.46</x:v>
      </x:c>
      <x:c r="G313" s="10" t="n">
        <x:v>0</x:v>
      </x:c>
      <x:c r="H313" s="10" t="n">
        <x:v>166.19</x:v>
      </x:c>
      <x:c r="I313" s="10" t="n">
        <x:v>64</x:v>
      </x:c>
      <x:c r="J313" s="10" t="n">
        <x:v>102.19</x:v>
      </x:c>
      <x:c r="K313" s="2" t="n">
        <x:v>7</x:v>
      </x:c>
      <x:c r="L313" s="2" t="n">
        <x:v>0</x:v>
      </x:c>
    </x:row>
    <x:row r="314" ht="20" customHeight="1">
      <x:c r="A314" s="9" t="n">
        <x:v>46280</x:v>
      </x:c>
      <x:c r="B314" s="2" t="str">
        <x:v>MM-1328</x:v>
      </x:c>
      <x:c r="C314" s="2" t="str">
        <x:v>Paid Social</x:v>
      </x:c>
      <x:c r="D314" s="2" t="str">
        <x:v>CUS-126</x:v>
      </x:c>
      <x:c r="E314" s="10" t="n">
        <x:v>159.9</x:v>
      </x:c>
      <x:c r="F314" s="10" t="n">
        <x:v>0</x:v>
      </x:c>
      <x:c r="G314" s="10" t="n">
        <x:v>0</x:v>
      </x:c>
      <x:c r="H314" s="10" t="n">
        <x:v>159.9</x:v>
      </x:c>
      <x:c r="I314" s="10" t="n">
        <x:v>64</x:v>
      </x:c>
      <x:c r="J314" s="10" t="n">
        <x:v>95.9</x:v>
      </x:c>
      <x:c r="K314" s="2" t="n">
        <x:v>2</x:v>
      </x:c>
      <x:c r="L314" s="2" t="n">
        <x:v>0</x:v>
      </x:c>
    </x:row>
    <x:row r="315" ht="20" customHeight="1">
      <x:c r="A315" s="9" t="n">
        <x:v>46280</x:v>
      </x:c>
      <x:c r="B315" s="2" t="str">
        <x:v>MM-1335</x:v>
      </x:c>
      <x:c r="C315" s="2" t="str">
        <x:v>Email</x:v>
      </x:c>
      <x:c r="D315" s="2" t="str">
        <x:v>CUS-145</x:v>
      </x:c>
      <x:c r="E315" s="10" t="n">
        <x:v>104.9</x:v>
      </x:c>
      <x:c r="F315" s="10" t="n">
        <x:v>10.48</x:v>
      </x:c>
      <x:c r="G315" s="10" t="n">
        <x:v>0</x:v>
      </x:c>
      <x:c r="H315" s="10" t="n">
        <x:v>94.42</x:v>
      </x:c>
      <x:c r="I315" s="10" t="n">
        <x:v>41</x:v>
      </x:c>
      <x:c r="J315" s="10" t="n">
        <x:v>53.42</x:v>
      </x:c>
      <x:c r="K315" s="2" t="n">
        <x:v>2</x:v>
      </x:c>
      <x:c r="L315" s="2" t="n">
        <x:v>0</x:v>
      </x:c>
    </x:row>
    <x:row r="316" ht="20" customHeight="1">
      <x:c r="A316" s="9" t="n">
        <x:v>46280</x:v>
      </x:c>
      <x:c r="B316" s="2" t="str">
        <x:v>MM-1342</x:v>
      </x:c>
      <x:c r="C316" s="2" t="str">
        <x:v>Organic Search</x:v>
      </x:c>
      <x:c r="D316" s="2" t="str">
        <x:v>CUS-150</x:v>
      </x:c>
      <x:c r="E316" s="10" t="n">
        <x:v>63.85</x:v>
      </x:c>
      <x:c r="F316" s="10" t="n">
        <x:v>0</x:v>
      </x:c>
      <x:c r="G316" s="10" t="n">
        <x:v>0</x:v>
      </x:c>
      <x:c r="H316" s="10" t="n">
        <x:v>63.85</x:v>
      </x:c>
      <x:c r="I316" s="10" t="n">
        <x:v>22.5</x:v>
      </x:c>
      <x:c r="J316" s="10" t="n">
        <x:v>41.35</x:v>
      </x:c>
      <x:c r="K316" s="2" t="n">
        <x:v>3</x:v>
      </x:c>
      <x:c r="L316" s="2" t="n">
        <x:v>0</x:v>
      </x:c>
    </x:row>
    <x:row r="317" ht="20" customHeight="1">
      <x:c r="A317" s="9" t="n">
        <x:v>46280</x:v>
      </x:c>
      <x:c r="B317" s="2" t="str">
        <x:v>MM-1330</x:v>
      </x:c>
      <x:c r="C317" s="2" t="str">
        <x:v>Organic Search</x:v>
      </x:c>
      <x:c r="D317" s="2" t="str">
        <x:v>CUS-133</x:v>
      </x:c>
      <x:c r="E317" s="10" t="n">
        <x:v>29.95</x:v>
      </x:c>
      <x:c r="F317" s="10" t="n">
        <x:v>0</x:v>
      </x:c>
      <x:c r="G317" s="10" t="n">
        <x:v>0</x:v>
      </x:c>
      <x:c r="H317" s="10" t="n">
        <x:v>29.95</x:v>
      </x:c>
      <x:c r="I317" s="10" t="n">
        <x:v>10</x:v>
      </x:c>
      <x:c r="J317" s="10" t="n">
        <x:v>19.95</x:v>
      </x:c>
      <x:c r="K317" s="2" t="n">
        <x:v>1</x:v>
      </x:c>
      <x:c r="L317" s="2" t="n">
        <x:v>0</x:v>
      </x:c>
    </x:row>
    <x:row r="318" ht="20" customHeight="1">
      <x:c r="A318" s="9" t="n">
        <x:v>46280</x:v>
      </x:c>
      <x:c r="B318" s="2" t="str">
        <x:v>MM-1344</x:v>
      </x:c>
      <x:c r="C318" s="2" t="str">
        <x:v>Email</x:v>
      </x:c>
      <x:c r="D318" s="2" t="str">
        <x:v>CUS-103</x:v>
      </x:c>
      <x:c r="E318" s="10" t="n">
        <x:v>45.9</x:v>
      </x:c>
      <x:c r="F318" s="10" t="n">
        <x:v>4.59</x:v>
      </x:c>
      <x:c r="G318" s="10" t="n">
        <x:v>0</x:v>
      </x:c>
      <x:c r="H318" s="10" t="n">
        <x:v>41.31</x:v>
      </x:c>
      <x:c r="I318" s="10" t="n">
        <x:v>17</x:v>
      </x:c>
      <x:c r="J318" s="10" t="n">
        <x:v>24.31</x:v>
      </x:c>
      <x:c r="K318" s="2" t="n">
        <x:v>2</x:v>
      </x:c>
      <x:c r="L318" s="2" t="n">
        <x:v>0</x:v>
      </x:c>
    </x:row>
    <x:row r="319" ht="20" customHeight="1">
      <x:c r="A319" s="9" t="n">
        <x:v>46280</x:v>
      </x:c>
      <x:c r="B319" s="2" t="str">
        <x:v>MM-1327</x:v>
      </x:c>
      <x:c r="C319" s="2" t="str">
        <x:v>Organic Search</x:v>
      </x:c>
      <x:c r="D319" s="2" t="str">
        <x:v>CUS-046</x:v>
      </x:c>
      <x:c r="E319" s="10" t="n">
        <x:v>24.95</x:v>
      </x:c>
      <x:c r="F319" s="10" t="n">
        <x:v>0</x:v>
      </x:c>
      <x:c r="G319" s="10" t="n">
        <x:v>24.95</x:v>
      </x:c>
      <x:c r="H319" s="10" t="n">
        <x:v>0</x:v>
      </x:c>
      <x:c r="I319" s="10" t="n">
        <x:v>0</x:v>
      </x:c>
      <x:c r="J319" s="10" t="n">
        <x:v>0</x:v>
      </x:c>
      <x:c r="K319" s="2" t="n">
        <x:v>1</x:v>
      </x:c>
      <x:c r="L319" s="2" t="n">
        <x:v>1</x:v>
      </x:c>
    </x:row>
    <x:row r="320" ht="20" customHeight="1">
      <x:c r="A320" s="9" t="n">
        <x:v>46280</x:v>
      </x:c>
      <x:c r="B320" s="2" t="str">
        <x:v>MM-1332</x:v>
      </x:c>
      <x:c r="C320" s="2" t="str">
        <x:v>Organic Search</x:v>
      </x:c>
      <x:c r="D320" s="2" t="str">
        <x:v>CUS-056</x:v>
      </x:c>
      <x:c r="E320" s="10" t="n">
        <x:v>54.95</x:v>
      </x:c>
      <x:c r="F320" s="10" t="n">
        <x:v>0</x:v>
      </x:c>
      <x:c r="G320" s="10" t="n">
        <x:v>0</x:v>
      </x:c>
      <x:c r="H320" s="10" t="n">
        <x:v>54.95</x:v>
      </x:c>
      <x:c r="I320" s="10" t="n">
        <x:v>22</x:v>
      </x:c>
      <x:c r="J320" s="10" t="n">
        <x:v>32.95</x:v>
      </x:c>
      <x:c r="K320" s="2" t="n">
        <x:v>1</x:v>
      </x:c>
      <x:c r="L320" s="2" t="n">
        <x:v>0</x:v>
      </x:c>
    </x:row>
    <x:row r="321" ht="20" customHeight="1">
      <x:c r="A321" s="9" t="n">
        <x:v>46280</x:v>
      </x:c>
      <x:c r="B321" s="2" t="str">
        <x:v>MM-1343</x:v>
      </x:c>
      <x:c r="C321" s="2" t="str">
        <x:v>Paid Social</x:v>
      </x:c>
      <x:c r="D321" s="2" t="str">
        <x:v>CUS-066</x:v>
      </x:c>
      <x:c r="E321" s="10" t="n">
        <x:v>54.95</x:v>
      </x:c>
      <x:c r="F321" s="10" t="n">
        <x:v>0</x:v>
      </x:c>
      <x:c r="G321" s="10" t="n">
        <x:v>0</x:v>
      </x:c>
      <x:c r="H321" s="10" t="n">
        <x:v>54.95</x:v>
      </x:c>
      <x:c r="I321" s="10" t="n">
        <x:v>22</x:v>
      </x:c>
      <x:c r="J321" s="10" t="n">
        <x:v>32.95</x:v>
      </x:c>
      <x:c r="K321" s="2" t="n">
        <x:v>1</x:v>
      </x:c>
      <x:c r="L321" s="2" t="n">
        <x:v>0</x:v>
      </x:c>
    </x:row>
    <x:row r="322" ht="20" customHeight="1">
      <x:c r="A322" s="9" t="n">
        <x:v>46280</x:v>
      </x:c>
      <x:c r="B322" s="2" t="str">
        <x:v>MM-1326</x:v>
      </x:c>
      <x:c r="C322" s="2" t="str">
        <x:v>Organic Search</x:v>
      </x:c>
      <x:c r="D322" s="2" t="str">
        <x:v>CUS-042</x:v>
      </x:c>
      <x:c r="E322" s="10" t="n">
        <x:v>79.95</x:v>
      </x:c>
      <x:c r="F322" s="10" t="n">
        <x:v>0</x:v>
      </x:c>
      <x:c r="G322" s="10" t="n">
        <x:v>0</x:v>
      </x:c>
      <x:c r="H322" s="10" t="n">
        <x:v>79.95</x:v>
      </x:c>
      <x:c r="I322" s="10" t="n">
        <x:v>32</x:v>
      </x:c>
      <x:c r="J322" s="10" t="n">
        <x:v>47.95</x:v>
      </x:c>
      <x:c r="K322" s="2" t="n">
        <x:v>1</x:v>
      </x:c>
      <x:c r="L322" s="2" t="n">
        <x:v>0</x:v>
      </x:c>
    </x:row>
    <x:row r="323" ht="20" customHeight="1">
      <x:c r="A323" s="9" t="n">
        <x:v>46280</x:v>
      </x:c>
      <x:c r="B323" s="2" t="str">
        <x:v>MM-1329</x:v>
      </x:c>
      <x:c r="C323" s="2" t="str">
        <x:v>Direct</x:v>
      </x:c>
      <x:c r="D323" s="2" t="str">
        <x:v>CUS-049</x:v>
      </x:c>
      <x:c r="E323" s="10" t="n">
        <x:v>129.8</x:v>
      </x:c>
      <x:c r="F323" s="10" t="n">
        <x:v>0</x:v>
      </x:c>
      <x:c r="G323" s="10" t="n">
        <x:v>19.95</x:v>
      </x:c>
      <x:c r="H323" s="10" t="n">
        <x:v>109.85</x:v>
      </x:c>
      <x:c r="I323" s="10" t="n">
        <x:v>40</x:v>
      </x:c>
      <x:c r="J323" s="10" t="n">
        <x:v>69.85</x:v>
      </x:c>
      <x:c r="K323" s="2" t="n">
        <x:v>4</x:v>
      </x:c>
      <x:c r="L323" s="2" t="n">
        <x:v>1</x:v>
      </x:c>
    </x:row>
    <x:row r="324" ht="20" customHeight="1">
      <x:c r="A324" s="9" t="n">
        <x:v>46280</x:v>
      </x:c>
      <x:c r="B324" s="2" t="str">
        <x:v>MM-1336</x:v>
      </x:c>
      <x:c r="C324" s="2" t="str">
        <x:v>Organic Search</x:v>
      </x:c>
      <x:c r="D324" s="2" t="str">
        <x:v>CUS-109</x:v>
      </x:c>
      <x:c r="E324" s="10" t="n">
        <x:v>104.9</x:v>
      </x:c>
      <x:c r="F324" s="10" t="n">
        <x:v>0</x:v>
      </x:c>
      <x:c r="G324" s="10" t="n">
        <x:v>0</x:v>
      </x:c>
      <x:c r="H324" s="10" t="n">
        <x:v>104.9</x:v>
      </x:c>
      <x:c r="I324" s="10" t="n">
        <x:v>40.5</x:v>
      </x:c>
      <x:c r="J324" s="10" t="n">
        <x:v>64.4</x:v>
      </x:c>
      <x:c r="K324" s="2" t="n">
        <x:v>2</x:v>
      </x:c>
      <x:c r="L324" s="2" t="n">
        <x:v>0</x:v>
      </x:c>
    </x:row>
    <x:row r="325" ht="20" customHeight="1">
      <x:c r="A325" s="9" t="n">
        <x:v>46280</x:v>
      </x:c>
      <x:c r="B325" s="2" t="str">
        <x:v>MM-1334</x:v>
      </x:c>
      <x:c r="C325" s="2" t="str">
        <x:v>Paid Social</x:v>
      </x:c>
      <x:c r="D325" s="2" t="str">
        <x:v>CUS-005</x:v>
      </x:c>
      <x:c r="E325" s="10" t="n">
        <x:v>54.95</x:v>
      </x:c>
      <x:c r="F325" s="10" t="n">
        <x:v>0</x:v>
      </x:c>
      <x:c r="G325" s="10" t="n">
        <x:v>0</x:v>
      </x:c>
      <x:c r="H325" s="10" t="n">
        <x:v>54.95</x:v>
      </x:c>
      <x:c r="I325" s="10" t="n">
        <x:v>22</x:v>
      </x:c>
      <x:c r="J325" s="10" t="n">
        <x:v>32.95</x:v>
      </x:c>
      <x:c r="K325" s="2" t="n">
        <x:v>1</x:v>
      </x:c>
      <x:c r="L325" s="2" t="n">
        <x:v>0</x:v>
      </x:c>
    </x:row>
    <x:row r="326" ht="20" customHeight="1">
      <x:c r="A326" s="9" t="n">
        <x:v>46280</x:v>
      </x:c>
      <x:c r="B326" s="2" t="str">
        <x:v>MM-1340</x:v>
      </x:c>
      <x:c r="C326" s="2" t="str">
        <x:v>Email</x:v>
      </x:c>
      <x:c r="D326" s="2" t="str">
        <x:v>CUS-093</x:v>
      </x:c>
      <x:c r="E326" s="10" t="n">
        <x:v>65.9</x:v>
      </x:c>
      <x:c r="F326" s="10" t="n">
        <x:v>6.59</x:v>
      </x:c>
      <x:c r="G326" s="10" t="n">
        <x:v>0</x:v>
      </x:c>
      <x:c r="H326" s="10" t="n">
        <x:v>59.31</x:v>
      </x:c>
      <x:c r="I326" s="10" t="n">
        <x:v>24</x:v>
      </x:c>
      <x:c r="J326" s="10" t="n">
        <x:v>35.31</x:v>
      </x:c>
      <x:c r="K326" s="2" t="n">
        <x:v>2</x:v>
      </x:c>
      <x:c r="L326" s="2" t="n">
        <x:v>0</x:v>
      </x:c>
    </x:row>
    <x:row r="327" ht="20" customHeight="1">
      <x:c r="A327" s="9" t="n">
        <x:v>46280</x:v>
      </x:c>
      <x:c r="B327" s="2" t="str">
        <x:v>MM-1324</x:v>
      </x:c>
      <x:c r="C327" s="2" t="str">
        <x:v>Organic Search</x:v>
      </x:c>
      <x:c r="D327" s="2" t="str">
        <x:v>CUS-047</x:v>
      </x:c>
      <x:c r="E327" s="10" t="n">
        <x:v>12.95</x:v>
      </x:c>
      <x:c r="F327" s="10" t="n">
        <x:v>1.29</x:v>
      </x:c>
      <x:c r="G327" s="10" t="n">
        <x:v>0</x:v>
      </x:c>
      <x:c r="H327" s="10" t="n">
        <x:v>11.66</x:v>
      </x:c>
      <x:c r="I327" s="10" t="n">
        <x:v>3.5</x:v>
      </x:c>
      <x:c r="J327" s="10" t="n">
        <x:v>8.16</x:v>
      </x:c>
      <x:c r="K327" s="2" t="n">
        <x:v>1</x:v>
      </x:c>
      <x:c r="L327" s="2" t="n">
        <x:v>0</x:v>
      </x:c>
    </x:row>
    <x:row r="328" ht="20" customHeight="1">
      <x:c r="A328" s="9" t="n">
        <x:v>46280</x:v>
      </x:c>
      <x:c r="B328" s="2" t="str">
        <x:v>MM-1331</x:v>
      </x:c>
      <x:c r="C328" s="2" t="str">
        <x:v>Email</x:v>
      </x:c>
      <x:c r="D328" s="2" t="str">
        <x:v>CUS-087</x:v>
      </x:c>
      <x:c r="E328" s="10" t="n">
        <x:v>32.9</x:v>
      </x:c>
      <x:c r="F328" s="10" t="n">
        <x:v>3.28</x:v>
      </x:c>
      <x:c r="G328" s="10" t="n">
        <x:v>0</x:v>
      </x:c>
      <x:c r="H328" s="10" t="n">
        <x:v>29.62</x:v>
      </x:c>
      <x:c r="I328" s="10" t="n">
        <x:v>9.5</x:v>
      </x:c>
      <x:c r="J328" s="10" t="n">
        <x:v>20.12</x:v>
      </x:c>
      <x:c r="K328" s="2" t="n">
        <x:v>2</x:v>
      </x:c>
      <x:c r="L328" s="2" t="n">
        <x:v>0</x:v>
      </x:c>
    </x:row>
    <x:row r="329" ht="20" customHeight="1">
      <x:c r="A329" s="9" t="n">
        <x:v>46280</x:v>
      </x:c>
      <x:c r="B329" s="2" t="str">
        <x:v>MM-1337</x:v>
      </x:c>
      <x:c r="C329" s="2" t="str">
        <x:v>Email</x:v>
      </x:c>
      <x:c r="D329" s="2" t="str">
        <x:v>CUS-122</x:v>
      </x:c>
      <x:c r="E329" s="10" t="n">
        <x:v>64.9</x:v>
      </x:c>
      <x:c r="F329" s="10" t="n">
        <x:v>6.48</x:v>
      </x:c>
      <x:c r="G329" s="10" t="n">
        <x:v>0</x:v>
      </x:c>
      <x:c r="H329" s="10" t="n">
        <x:v>58.42</x:v>
      </x:c>
      <x:c r="I329" s="10" t="n">
        <x:v>23.5</x:v>
      </x:c>
      <x:c r="J329" s="10" t="n">
        <x:v>34.92</x:v>
      </x:c>
      <x:c r="K329" s="2" t="n">
        <x:v>2</x:v>
      </x:c>
      <x:c r="L329" s="2" t="n">
        <x:v>0</x:v>
      </x:c>
    </x:row>
    <x:row r="330" ht="20" customHeight="1">
      <x:c r="A330" s="9" t="n">
        <x:v>46280</x:v>
      </x:c>
      <x:c r="B330" s="2" t="str">
        <x:v>MM-1333</x:v>
      </x:c>
      <x:c r="C330" s="2" t="str">
        <x:v>Paid Social</x:v>
      </x:c>
      <x:c r="D330" s="2" t="str">
        <x:v>CUS-157</x:v>
      </x:c>
      <x:c r="E330" s="10" t="n">
        <x:v>104.9</x:v>
      </x:c>
      <x:c r="F330" s="10" t="n">
        <x:v>0</x:v>
      </x:c>
      <x:c r="G330" s="10" t="n">
        <x:v>0</x:v>
      </x:c>
      <x:c r="H330" s="10" t="n">
        <x:v>104.9</x:v>
      </x:c>
      <x:c r="I330" s="10" t="n">
        <x:v>41.5</x:v>
      </x:c>
      <x:c r="J330" s="10" t="n">
        <x:v>63.4</x:v>
      </x:c>
      <x:c r="K330" s="2" t="n">
        <x:v>2</x:v>
      </x:c>
      <x:c r="L330" s="2" t="n">
        <x:v>0</x:v>
      </x:c>
    </x:row>
    <x:row r="331" ht="20" customHeight="1">
      <x:c r="A331" s="9" t="n">
        <x:v>46280</x:v>
      </x:c>
      <x:c r="B331" s="2" t="str">
        <x:v>MM-1341</x:v>
      </x:c>
      <x:c r="C331" s="2" t="str">
        <x:v>Email</x:v>
      </x:c>
      <x:c r="D331" s="2" t="str">
        <x:v>CUS-051</x:v>
      </x:c>
      <x:c r="E331" s="10" t="n">
        <x:v>18.95</x:v>
      </x:c>
      <x:c r="F331" s="10" t="n">
        <x:v>1.89</x:v>
      </x:c>
      <x:c r="G331" s="10" t="n">
        <x:v>0</x:v>
      </x:c>
      <x:c r="H331" s="10" t="n">
        <x:v>17.06</x:v>
      </x:c>
      <x:c r="I331" s="10" t="n">
        <x:v>6.5</x:v>
      </x:c>
      <x:c r="J331" s="10" t="n">
        <x:v>10.56</x:v>
      </x:c>
      <x:c r="K331" s="2" t="n">
        <x:v>1</x:v>
      </x:c>
      <x:c r="L331" s="2" t="n">
        <x:v>0</x:v>
      </x:c>
    </x:row>
    <x:row r="332" ht="20" customHeight="1">
      <x:c r="A332" s="9" t="n">
        <x:v>46281</x:v>
      </x:c>
      <x:c r="B332" s="2" t="str">
        <x:v>MM-1348</x:v>
      </x:c>
      <x:c r="C332" s="2" t="str">
        <x:v>Email</x:v>
      </x:c>
      <x:c r="D332" s="2" t="str">
        <x:v>CUS-117</x:v>
      </x:c>
      <x:c r="E332" s="10" t="n">
        <x:v>92.85</x:v>
      </x:c>
      <x:c r="F332" s="10" t="n">
        <x:v>9.28</x:v>
      </x:c>
      <x:c r="G332" s="10" t="n">
        <x:v>0</x:v>
      </x:c>
      <x:c r="H332" s="10" t="n">
        <x:v>83.57</x:v>
      </x:c>
      <x:c r="I332" s="10" t="n">
        <x:v>32</x:v>
      </x:c>
      <x:c r="J332" s="10" t="n">
        <x:v>51.57</x:v>
      </x:c>
      <x:c r="K332" s="2" t="n">
        <x:v>3</x:v>
      </x:c>
      <x:c r="L332" s="2" t="n">
        <x:v>0</x:v>
      </x:c>
    </x:row>
    <x:row r="333" ht="20" customHeight="1">
      <x:c r="A333" s="9" t="n">
        <x:v>46281</x:v>
      </x:c>
      <x:c r="B333" s="2" t="str">
        <x:v>MM-1354</x:v>
      </x:c>
      <x:c r="C333" s="2" t="str">
        <x:v>Organic Search</x:v>
      </x:c>
      <x:c r="D333" s="2" t="str">
        <x:v>CUS-110</x:v>
      </x:c>
      <x:c r="E333" s="10" t="n">
        <x:v>192.85</x:v>
      </x:c>
      <x:c r="F333" s="10" t="n">
        <x:v>0</x:v>
      </x:c>
      <x:c r="G333" s="10" t="n">
        <x:v>0</x:v>
      </x:c>
      <x:c r="H333" s="10" t="n">
        <x:v>192.85</x:v>
      </x:c>
      <x:c r="I333" s="10" t="n">
        <x:v>76</x:v>
      </x:c>
      <x:c r="J333" s="10" t="n">
        <x:v>116.85</x:v>
      </x:c>
      <x:c r="K333" s="2" t="n">
        <x:v>3</x:v>
      </x:c>
      <x:c r="L333" s="2" t="n">
        <x:v>0</x:v>
      </x:c>
    </x:row>
    <x:row r="334" ht="20" customHeight="1">
      <x:c r="A334" s="9" t="n">
        <x:v>46281</x:v>
      </x:c>
      <x:c r="B334" s="2" t="str">
        <x:v>MM-1355</x:v>
      </x:c>
      <x:c r="C334" s="2" t="str">
        <x:v>Organic Search</x:v>
      </x:c>
      <x:c r="D334" s="2" t="str">
        <x:v>CUS-108</x:v>
      </x:c>
      <x:c r="E334" s="10" t="n">
        <x:v>29.95</x:v>
      </x:c>
      <x:c r="F334" s="10" t="n">
        <x:v>2.99</x:v>
      </x:c>
      <x:c r="G334" s="10" t="n">
        <x:v>0</x:v>
      </x:c>
      <x:c r="H334" s="10" t="n">
        <x:v>26.96</x:v>
      </x:c>
      <x:c r="I334" s="10" t="n">
        <x:v>10</x:v>
      </x:c>
      <x:c r="J334" s="10" t="n">
        <x:v>16.96</x:v>
      </x:c>
      <x:c r="K334" s="2" t="n">
        <x:v>1</x:v>
      </x:c>
      <x:c r="L334" s="2" t="n">
        <x:v>0</x:v>
      </x:c>
    </x:row>
    <x:row r="335" ht="20" customHeight="1">
      <x:c r="A335" s="9" t="n">
        <x:v>46281</x:v>
      </x:c>
      <x:c r="B335" s="2" t="str">
        <x:v>MM-1351</x:v>
      </x:c>
      <x:c r="C335" s="2" t="str">
        <x:v>Direct</x:v>
      </x:c>
      <x:c r="D335" s="2" t="str">
        <x:v>CUS-088</x:v>
      </x:c>
      <x:c r="E335" s="10" t="n">
        <x:v>105.85</x:v>
      </x:c>
      <x:c r="F335" s="10" t="n">
        <x:v>0</x:v>
      </x:c>
      <x:c r="G335" s="10" t="n">
        <x:v>0</x:v>
      </x:c>
      <x:c r="H335" s="10" t="n">
        <x:v>105.85</x:v>
      </x:c>
      <x:c r="I335" s="10" t="n">
        <x:v>40</x:v>
      </x:c>
      <x:c r="J335" s="10" t="n">
        <x:v>65.85</x:v>
      </x:c>
      <x:c r="K335" s="2" t="n">
        <x:v>3</x:v>
      </x:c>
      <x:c r="L335" s="2" t="n">
        <x:v>0</x:v>
      </x:c>
    </x:row>
    <x:row r="336" ht="20" customHeight="1">
      <x:c r="A336" s="9" t="n">
        <x:v>46281</x:v>
      </x:c>
      <x:c r="B336" s="2" t="str">
        <x:v>MM-1350</x:v>
      </x:c>
      <x:c r="C336" s="2" t="str">
        <x:v>Organic Search</x:v>
      </x:c>
      <x:c r="D336" s="2" t="str">
        <x:v>CUS-014</x:v>
      </x:c>
      <x:c r="E336" s="10" t="n">
        <x:v>69.95</x:v>
      </x:c>
      <x:c r="F336" s="10" t="n">
        <x:v>0</x:v>
      </x:c>
      <x:c r="G336" s="10" t="n">
        <x:v>0</x:v>
      </x:c>
      <x:c r="H336" s="10" t="n">
        <x:v>69.95</x:v>
      </x:c>
      <x:c r="I336" s="10" t="n">
        <x:v>28</x:v>
      </x:c>
      <x:c r="J336" s="10" t="n">
        <x:v>41.95</x:v>
      </x:c>
      <x:c r="K336" s="2" t="n">
        <x:v>1</x:v>
      </x:c>
      <x:c r="L336" s="2" t="n">
        <x:v>0</x:v>
      </x:c>
    </x:row>
    <x:row r="337" ht="20" customHeight="1">
      <x:c r="A337" s="9" t="n">
        <x:v>46281</x:v>
      </x:c>
      <x:c r="B337" s="2" t="str">
        <x:v>MM-1352</x:v>
      </x:c>
      <x:c r="C337" s="2" t="str">
        <x:v>Organic Search</x:v>
      </x:c>
      <x:c r="D337" s="2" t="str">
        <x:v>CUS-011</x:v>
      </x:c>
      <x:c r="E337" s="10" t="n">
        <x:v>34.95</x:v>
      </x:c>
      <x:c r="F337" s="10" t="n">
        <x:v>0</x:v>
      </x:c>
      <x:c r="G337" s="10" t="n">
        <x:v>0</x:v>
      </x:c>
      <x:c r="H337" s="10" t="n">
        <x:v>34.95</x:v>
      </x:c>
      <x:c r="I337" s="10" t="n">
        <x:v>13.5</x:v>
      </x:c>
      <x:c r="J337" s="10" t="n">
        <x:v>21.45</x:v>
      </x:c>
      <x:c r="K337" s="2" t="n">
        <x:v>1</x:v>
      </x:c>
      <x:c r="L337" s="2" t="n">
        <x:v>0</x:v>
      </x:c>
    </x:row>
    <x:row r="338" ht="20" customHeight="1">
      <x:c r="A338" s="9" t="n">
        <x:v>46281</x:v>
      </x:c>
      <x:c r="B338" s="2" t="str">
        <x:v>MM-1356</x:v>
      </x:c>
      <x:c r="C338" s="2" t="str">
        <x:v>Paid Social</x:v>
      </x:c>
      <x:c r="D338" s="2" t="str">
        <x:v>CUS-076</x:v>
      </x:c>
      <x:c r="E338" s="10" t="n">
        <x:v>24.95</x:v>
      </x:c>
      <x:c r="F338" s="10" t="n">
        <x:v>0</x:v>
      </x:c>
      <x:c r="G338" s="10" t="n">
        <x:v>0</x:v>
      </x:c>
      <x:c r="H338" s="10" t="n">
        <x:v>24.95</x:v>
      </x:c>
      <x:c r="I338" s="10" t="n">
        <x:v>9</x:v>
      </x:c>
      <x:c r="J338" s="10" t="n">
        <x:v>15.95</x:v>
      </x:c>
      <x:c r="K338" s="2" t="n">
        <x:v>1</x:v>
      </x:c>
      <x:c r="L338" s="2" t="n">
        <x:v>0</x:v>
      </x:c>
    </x:row>
    <x:row r="339" ht="20" customHeight="1">
      <x:c r="A339" s="9" t="n">
        <x:v>46281</x:v>
      </x:c>
      <x:c r="B339" s="2" t="str">
        <x:v>MM-1357</x:v>
      </x:c>
      <x:c r="C339" s="2" t="str">
        <x:v>Organic Search</x:v>
      </x:c>
      <x:c r="D339" s="2" t="str">
        <x:v>CUS-132</x:v>
      </x:c>
      <x:c r="E339" s="10" t="n">
        <x:v>47.9</x:v>
      </x:c>
      <x:c r="F339" s="10" t="n">
        <x:v>0</x:v>
      </x:c>
      <x:c r="G339" s="10" t="n">
        <x:v>0</x:v>
      </x:c>
      <x:c r="H339" s="10" t="n">
        <x:v>47.9</x:v>
      </x:c>
      <x:c r="I339" s="10" t="n">
        <x:v>17</x:v>
      </x:c>
      <x:c r="J339" s="10" t="n">
        <x:v>30.9</x:v>
      </x:c>
      <x:c r="K339" s="2" t="n">
        <x:v>2</x:v>
      </x:c>
      <x:c r="L339" s="2" t="n">
        <x:v>0</x:v>
      </x:c>
    </x:row>
    <x:row r="340" ht="20" customHeight="1">
      <x:c r="A340" s="9" t="n">
        <x:v>46281</x:v>
      </x:c>
      <x:c r="B340" s="2" t="str">
        <x:v>MM-1349</x:v>
      </x:c>
      <x:c r="C340" s="2" t="str">
        <x:v>Email</x:v>
      </x:c>
      <x:c r="D340" s="2" t="str">
        <x:v>CUS-127</x:v>
      </x:c>
      <x:c r="E340" s="10" t="n">
        <x:v>132.85</x:v>
      </x:c>
      <x:c r="F340" s="10" t="n">
        <x:v>13.28</x:v>
      </x:c>
      <x:c r="G340" s="10" t="n">
        <x:v>0</x:v>
      </x:c>
      <x:c r="H340" s="10" t="n">
        <x:v>119.57</x:v>
      </x:c>
      <x:c r="I340" s="10" t="n">
        <x:v>52.5</x:v>
      </x:c>
      <x:c r="J340" s="10" t="n">
        <x:v>67.07</x:v>
      </x:c>
      <x:c r="K340" s="2" t="n">
        <x:v>3</x:v>
      </x:c>
      <x:c r="L340" s="2" t="n">
        <x:v>0</x:v>
      </x:c>
    </x:row>
    <x:row r="341" ht="20" customHeight="1">
      <x:c r="A341" s="9" t="n">
        <x:v>46281</x:v>
      </x:c>
      <x:c r="B341" s="2" t="str">
        <x:v>MM-1358</x:v>
      </x:c>
      <x:c r="C341" s="2" t="str">
        <x:v>Organic Search</x:v>
      </x:c>
      <x:c r="D341" s="2" t="str">
        <x:v>CUS-100</x:v>
      </x:c>
      <x:c r="E341" s="10" t="n">
        <x:v>52.9</x:v>
      </x:c>
      <x:c r="F341" s="10" t="n">
        <x:v>0</x:v>
      </x:c>
      <x:c r="G341" s="10" t="n">
        <x:v>0</x:v>
      </x:c>
      <x:c r="H341" s="10" t="n">
        <x:v>52.9</x:v>
      </x:c>
      <x:c r="I341" s="10" t="n">
        <x:v>18.5</x:v>
      </x:c>
      <x:c r="J341" s="10" t="n">
        <x:v>34.4</x:v>
      </x:c>
      <x:c r="K341" s="2" t="n">
        <x:v>2</x:v>
      </x:c>
      <x:c r="L341" s="2" t="n">
        <x:v>0</x:v>
      </x:c>
    </x:row>
    <x:row r="342" ht="20" customHeight="1">
      <x:c r="A342" s="9" t="n">
        <x:v>46281</x:v>
      </x:c>
      <x:c r="B342" s="2" t="str">
        <x:v>MM-1345</x:v>
      </x:c>
      <x:c r="C342" s="2" t="str">
        <x:v>Organic Search</x:v>
      </x:c>
      <x:c r="D342" s="2" t="str">
        <x:v>CUS-003</x:v>
      </x:c>
      <x:c r="E342" s="10" t="n">
        <x:v>244.8</x:v>
      </x:c>
      <x:c r="F342" s="10" t="n">
        <x:v>0</x:v>
      </x:c>
      <x:c r="G342" s="10" t="n">
        <x:v>0</x:v>
      </x:c>
      <x:c r="H342" s="10" t="n">
        <x:v>244.8</x:v>
      </x:c>
      <x:c r="I342" s="10" t="n">
        <x:v>98</x:v>
      </x:c>
      <x:c r="J342" s="10" t="n">
        <x:v>146.8</x:v>
      </x:c>
      <x:c r="K342" s="2" t="n">
        <x:v>4</x:v>
      </x:c>
      <x:c r="L342" s="2" t="n">
        <x:v>0</x:v>
      </x:c>
    </x:row>
    <x:row r="343" ht="20" customHeight="1">
      <x:c r="A343" s="9" t="n">
        <x:v>46281</x:v>
      </x:c>
      <x:c r="B343" s="2" t="str">
        <x:v>MM-1346</x:v>
      </x:c>
      <x:c r="C343" s="2" t="str">
        <x:v>Paid Social</x:v>
      </x:c>
      <x:c r="D343" s="2" t="str">
        <x:v>CUS-097</x:v>
      </x:c>
      <x:c r="E343" s="10" t="n">
        <x:v>19.95</x:v>
      </x:c>
      <x:c r="F343" s="10" t="n">
        <x:v>0</x:v>
      </x:c>
      <x:c r="G343" s="10" t="n">
        <x:v>0</x:v>
      </x:c>
      <x:c r="H343" s="10" t="n">
        <x:v>19.95</x:v>
      </x:c>
      <x:c r="I343" s="10" t="n">
        <x:v>6</x:v>
      </x:c>
      <x:c r="J343" s="10" t="n">
        <x:v>13.95</x:v>
      </x:c>
      <x:c r="K343" s="2" t="n">
        <x:v>1</x:v>
      </x:c>
      <x:c r="L343" s="2" t="n">
        <x:v>0</x:v>
      </x:c>
    </x:row>
    <x:row r="344" ht="20" customHeight="1">
      <x:c r="A344" s="9" t="n">
        <x:v>46281</x:v>
      </x:c>
      <x:c r="B344" s="2" t="str">
        <x:v>MM-1347</x:v>
      </x:c>
      <x:c r="C344" s="2" t="str">
        <x:v>Email</x:v>
      </x:c>
      <x:c r="D344" s="2" t="str">
        <x:v>CUS-057</x:v>
      </x:c>
      <x:c r="E344" s="10" t="n">
        <x:v>38.85</x:v>
      </x:c>
      <x:c r="F344" s="10" t="n">
        <x:v>3.88</x:v>
      </x:c>
      <x:c r="G344" s="10" t="n">
        <x:v>0</x:v>
      </x:c>
      <x:c r="H344" s="10" t="n">
        <x:v>34.97</x:v>
      </x:c>
      <x:c r="I344" s="10" t="n">
        <x:v>10.5</x:v>
      </x:c>
      <x:c r="J344" s="10" t="n">
        <x:v>24.47</x:v>
      </x:c>
      <x:c r="K344" s="2" t="n">
        <x:v>3</x:v>
      </x:c>
      <x:c r="L344" s="2" t="n">
        <x:v>0</x:v>
      </x:c>
    </x:row>
    <x:row r="345" ht="20" customHeight="1">
      <x:c r="A345" s="9" t="n">
        <x:v>46281</x:v>
      </x:c>
      <x:c r="B345" s="2" t="str">
        <x:v>MM-1353</x:v>
      </x:c>
      <x:c r="C345" s="2" t="str">
        <x:v>Organic Search</x:v>
      </x:c>
      <x:c r="D345" s="2" t="str">
        <x:v>CUS-018</x:v>
      </x:c>
      <x:c r="E345" s="10" t="n">
        <x:v>69.95</x:v>
      </x:c>
      <x:c r="F345" s="10" t="n">
        <x:v>0</x:v>
      </x:c>
      <x:c r="G345" s="10" t="n">
        <x:v>0</x:v>
      </x:c>
      <x:c r="H345" s="10" t="n">
        <x:v>69.95</x:v>
      </x:c>
      <x:c r="I345" s="10" t="n">
        <x:v>28</x:v>
      </x:c>
      <x:c r="J345" s="10" t="n">
        <x:v>41.95</x:v>
      </x:c>
      <x:c r="K345" s="2" t="n">
        <x:v>1</x:v>
      </x:c>
      <x:c r="L345" s="2" t="n">
        <x:v>0</x:v>
      </x:c>
    </x:row>
    <x:row r="346" ht="20" customHeight="1">
      <x:c r="A346" s="9" t="n">
        <x:v>46282</x:v>
      </x:c>
      <x:c r="B346" s="2" t="str">
        <x:v>MM-1374</x:v>
      </x:c>
      <x:c r="C346" s="2" t="str">
        <x:v>Paid Social</x:v>
      </x:c>
      <x:c r="D346" s="2" t="str">
        <x:v>CUS-099</x:v>
      </x:c>
      <x:c r="E346" s="10" t="n">
        <x:v>59.95</x:v>
      </x:c>
      <x:c r="F346" s="10" t="n">
        <x:v>0</x:v>
      </x:c>
      <x:c r="G346" s="10" t="n">
        <x:v>0</x:v>
      </x:c>
      <x:c r="H346" s="10" t="n">
        <x:v>59.95</x:v>
      </x:c>
      <x:c r="I346" s="10" t="n">
        <x:v>24</x:v>
      </x:c>
      <x:c r="J346" s="10" t="n">
        <x:v>35.95</x:v>
      </x:c>
      <x:c r="K346" s="2" t="n">
        <x:v>1</x:v>
      </x:c>
      <x:c r="L346" s="2" t="n">
        <x:v>0</x:v>
      </x:c>
    </x:row>
    <x:row r="347" ht="20" customHeight="1">
      <x:c r="A347" s="9" t="n">
        <x:v>46282</x:v>
      </x:c>
      <x:c r="B347" s="2" t="str">
        <x:v>MM-1367</x:v>
      </x:c>
      <x:c r="C347" s="2" t="str">
        <x:v>Paid Social</x:v>
      </x:c>
      <x:c r="D347" s="2" t="str">
        <x:v>CUS-055</x:v>
      </x:c>
      <x:c r="E347" s="10" t="n">
        <x:v>18.95</x:v>
      </x:c>
      <x:c r="F347" s="10" t="n">
        <x:v>0</x:v>
      </x:c>
      <x:c r="G347" s="10" t="n">
        <x:v>0</x:v>
      </x:c>
      <x:c r="H347" s="10" t="n">
        <x:v>18.95</x:v>
      </x:c>
      <x:c r="I347" s="10" t="n">
        <x:v>6.5</x:v>
      </x:c>
      <x:c r="J347" s="10" t="n">
        <x:v>12.45</x:v>
      </x:c>
      <x:c r="K347" s="2" t="n">
        <x:v>1</x:v>
      </x:c>
      <x:c r="L347" s="2" t="n">
        <x:v>0</x:v>
      </x:c>
    </x:row>
    <x:row r="348" ht="20" customHeight="1">
      <x:c r="A348" s="9" t="n">
        <x:v>46282</x:v>
      </x:c>
      <x:c r="B348" s="2" t="str">
        <x:v>MM-1366</x:v>
      </x:c>
      <x:c r="C348" s="2" t="str">
        <x:v>Direct</x:v>
      </x:c>
      <x:c r="D348" s="2" t="str">
        <x:v>CUS-105</x:v>
      </x:c>
      <x:c r="E348" s="10" t="n">
        <x:v>104.9</x:v>
      </x:c>
      <x:c r="F348" s="10" t="n">
        <x:v>0</x:v>
      </x:c>
      <x:c r="G348" s="10" t="n">
        <x:v>0</x:v>
      </x:c>
      <x:c r="H348" s="10" t="n">
        <x:v>104.9</x:v>
      </x:c>
      <x:c r="I348" s="10" t="n">
        <x:v>41.5</x:v>
      </x:c>
      <x:c r="J348" s="10" t="n">
        <x:v>63.4</x:v>
      </x:c>
      <x:c r="K348" s="2" t="n">
        <x:v>2</x:v>
      </x:c>
      <x:c r="L348" s="2" t="n">
        <x:v>0</x:v>
      </x:c>
    </x:row>
    <x:row r="349" ht="20" customHeight="1">
      <x:c r="A349" s="9" t="n">
        <x:v>46282</x:v>
      </x:c>
      <x:c r="B349" s="2" t="str">
        <x:v>MM-1379</x:v>
      </x:c>
      <x:c r="C349" s="2" t="str">
        <x:v>Email</x:v>
      </x:c>
      <x:c r="D349" s="2" t="str">
        <x:v>CUS-116</x:v>
      </x:c>
      <x:c r="E349" s="10" t="n">
        <x:v>45.9</x:v>
      </x:c>
      <x:c r="F349" s="10" t="n">
        <x:v>4.59</x:v>
      </x:c>
      <x:c r="G349" s="10" t="n">
        <x:v>0</x:v>
      </x:c>
      <x:c r="H349" s="10" t="n">
        <x:v>41.31</x:v>
      </x:c>
      <x:c r="I349" s="10" t="n">
        <x:v>17</x:v>
      </x:c>
      <x:c r="J349" s="10" t="n">
        <x:v>24.31</x:v>
      </x:c>
      <x:c r="K349" s="2" t="n">
        <x:v>2</x:v>
      </x:c>
      <x:c r="L349" s="2" t="n">
        <x:v>0</x:v>
      </x:c>
    </x:row>
    <x:row r="350" ht="20" customHeight="1">
      <x:c r="A350" s="9" t="n">
        <x:v>46282</x:v>
      </x:c>
      <x:c r="B350" s="2" t="str">
        <x:v>MM-1360</x:v>
      </x:c>
      <x:c r="C350" s="2" t="str">
        <x:v>Organic Search</x:v>
      </x:c>
      <x:c r="D350" s="2" t="str">
        <x:v>CUS-022</x:v>
      </x:c>
      <x:c r="E350" s="10" t="n">
        <x:v>139.75</x:v>
      </x:c>
      <x:c r="F350" s="10" t="n">
        <x:v>0</x:v>
      </x:c>
      <x:c r="G350" s="10" t="n">
        <x:v>0</x:v>
      </x:c>
      <x:c r="H350" s="10" t="n">
        <x:v>139.75</x:v>
      </x:c>
      <x:c r="I350" s="10" t="n">
        <x:v>47</x:v>
      </x:c>
      <x:c r="J350" s="10" t="n">
        <x:v>92.75</x:v>
      </x:c>
      <x:c r="K350" s="2" t="n">
        <x:v>5</x:v>
      </x:c>
      <x:c r="L350" s="2" t="n">
        <x:v>0</x:v>
      </x:c>
    </x:row>
    <x:row r="351" ht="20" customHeight="1">
      <x:c r="A351" s="9" t="n">
        <x:v>46282</x:v>
      </x:c>
      <x:c r="B351" s="2" t="str">
        <x:v>MM-1361</x:v>
      </x:c>
      <x:c r="C351" s="2" t="str">
        <x:v>Paid Social</x:v>
      </x:c>
      <x:c r="D351" s="2" t="str">
        <x:v>CUS-022</x:v>
      </x:c>
      <x:c r="E351" s="10" t="n">
        <x:v>79.95</x:v>
      </x:c>
      <x:c r="F351" s="10" t="n">
        <x:v>7.99</x:v>
      </x:c>
      <x:c r="G351" s="10" t="n">
        <x:v>0</x:v>
      </x:c>
      <x:c r="H351" s="10" t="n">
        <x:v>71.96</x:v>
      </x:c>
      <x:c r="I351" s="10" t="n">
        <x:v>32</x:v>
      </x:c>
      <x:c r="J351" s="10" t="n">
        <x:v>39.96</x:v>
      </x:c>
      <x:c r="K351" s="2" t="n">
        <x:v>1</x:v>
      </x:c>
      <x:c r="L351" s="2" t="n">
        <x:v>0</x:v>
      </x:c>
    </x:row>
    <x:row r="352" ht="20" customHeight="1">
      <x:c r="A352" s="9" t="n">
        <x:v>46282</x:v>
      </x:c>
      <x:c r="B352" s="2" t="str">
        <x:v>MM-1370</x:v>
      </x:c>
      <x:c r="C352" s="2" t="str">
        <x:v>Email</x:v>
      </x:c>
      <x:c r="D352" s="2" t="str">
        <x:v>CUS-034</x:v>
      </x:c>
      <x:c r="E352" s="10" t="n">
        <x:v>18.95</x:v>
      </x:c>
      <x:c r="F352" s="10" t="n">
        <x:v>1.89</x:v>
      </x:c>
      <x:c r="G352" s="10" t="n">
        <x:v>0</x:v>
      </x:c>
      <x:c r="H352" s="10" t="n">
        <x:v>17.06</x:v>
      </x:c>
      <x:c r="I352" s="10" t="n">
        <x:v>6.5</x:v>
      </x:c>
      <x:c r="J352" s="10" t="n">
        <x:v>10.56</x:v>
      </x:c>
      <x:c r="K352" s="2" t="n">
        <x:v>1</x:v>
      </x:c>
      <x:c r="L352" s="2" t="n">
        <x:v>0</x:v>
      </x:c>
    </x:row>
    <x:row r="353" ht="20" customHeight="1">
      <x:c r="A353" s="9" t="n">
        <x:v>46282</x:v>
      </x:c>
      <x:c r="B353" s="2" t="str">
        <x:v>MM-1380</x:v>
      </x:c>
      <x:c r="C353" s="2" t="str">
        <x:v>Organic Search</x:v>
      </x:c>
      <x:c r="D353" s="2" t="str">
        <x:v>CUS-051</x:v>
      </x:c>
      <x:c r="E353" s="10" t="n">
        <x:v>45.9</x:v>
      </x:c>
      <x:c r="F353" s="10" t="n">
        <x:v>0</x:v>
      </x:c>
      <x:c r="G353" s="10" t="n">
        <x:v>0</x:v>
      </x:c>
      <x:c r="H353" s="10" t="n">
        <x:v>45.9</x:v>
      </x:c>
      <x:c r="I353" s="10" t="n">
        <x:v>17</x:v>
      </x:c>
      <x:c r="J353" s="10" t="n">
        <x:v>28.9</x:v>
      </x:c>
      <x:c r="K353" s="2" t="n">
        <x:v>2</x:v>
      </x:c>
      <x:c r="L353" s="2" t="n">
        <x:v>0</x:v>
      </x:c>
    </x:row>
    <x:row r="354" ht="20" customHeight="1">
      <x:c r="A354" s="9" t="n">
        <x:v>46282</x:v>
      </x:c>
      <x:c r="B354" s="2" t="str">
        <x:v>MM-1362</x:v>
      </x:c>
      <x:c r="C354" s="2" t="str">
        <x:v>Paid Social</x:v>
      </x:c>
      <x:c r="D354" s="2" t="str">
        <x:v>CUS-106</x:v>
      </x:c>
      <x:c r="E354" s="10" t="n">
        <x:v>12.95</x:v>
      </x:c>
      <x:c r="F354" s="10" t="n">
        <x:v>0</x:v>
      </x:c>
      <x:c r="G354" s="10" t="n">
        <x:v>0</x:v>
      </x:c>
      <x:c r="H354" s="10" t="n">
        <x:v>12.95</x:v>
      </x:c>
      <x:c r="I354" s="10" t="n">
        <x:v>3.5</x:v>
      </x:c>
      <x:c r="J354" s="10" t="n">
        <x:v>9.45</x:v>
      </x:c>
      <x:c r="K354" s="2" t="n">
        <x:v>1</x:v>
      </x:c>
      <x:c r="L354" s="2" t="n">
        <x:v>0</x:v>
      </x:c>
    </x:row>
    <x:row r="355" ht="20" customHeight="1">
      <x:c r="A355" s="9" t="n">
        <x:v>46282</x:v>
      </x:c>
      <x:c r="B355" s="2" t="str">
        <x:v>MM-1363</x:v>
      </x:c>
      <x:c r="C355" s="2" t="str">
        <x:v>Organic Search</x:v>
      </x:c>
      <x:c r="D355" s="2" t="str">
        <x:v>CUS-174</x:v>
      </x:c>
      <x:c r="E355" s="10" t="n">
        <x:v>45.9</x:v>
      </x:c>
      <x:c r="F355" s="10" t="n">
        <x:v>0</x:v>
      </x:c>
      <x:c r="G355" s="10" t="n">
        <x:v>0</x:v>
      </x:c>
      <x:c r="H355" s="10" t="n">
        <x:v>45.9</x:v>
      </x:c>
      <x:c r="I355" s="10" t="n">
        <x:v>17</x:v>
      </x:c>
      <x:c r="J355" s="10" t="n">
        <x:v>28.9</x:v>
      </x:c>
      <x:c r="K355" s="2" t="n">
        <x:v>2</x:v>
      </x:c>
      <x:c r="L355" s="2" t="n">
        <x:v>0</x:v>
      </x:c>
    </x:row>
    <x:row r="356" ht="20" customHeight="1">
      <x:c r="A356" s="9" t="n">
        <x:v>46282</x:v>
      </x:c>
      <x:c r="B356" s="2" t="str">
        <x:v>MM-1373</x:v>
      </x:c>
      <x:c r="C356" s="2" t="str">
        <x:v>Organic Search</x:v>
      </x:c>
      <x:c r="D356" s="2" t="str">
        <x:v>CUS-048</x:v>
      </x:c>
      <x:c r="E356" s="10" t="n">
        <x:v>22.95</x:v>
      </x:c>
      <x:c r="F356" s="10" t="n">
        <x:v>2.29</x:v>
      </x:c>
      <x:c r="G356" s="10" t="n">
        <x:v>0</x:v>
      </x:c>
      <x:c r="H356" s="10" t="n">
        <x:v>20.66</x:v>
      </x:c>
      <x:c r="I356" s="10" t="n">
        <x:v>8.5</x:v>
      </x:c>
      <x:c r="J356" s="10" t="n">
        <x:v>12.16</x:v>
      </x:c>
      <x:c r="K356" s="2" t="n">
        <x:v>1</x:v>
      </x:c>
      <x:c r="L356" s="2" t="n">
        <x:v>0</x:v>
      </x:c>
    </x:row>
    <x:row r="357" ht="20" customHeight="1">
      <x:c r="A357" s="9" t="n">
        <x:v>46282</x:v>
      </x:c>
      <x:c r="B357" s="2" t="str">
        <x:v>MM-1376</x:v>
      </x:c>
      <x:c r="C357" s="2" t="str">
        <x:v>Organic Search</x:v>
      </x:c>
      <x:c r="D357" s="2" t="str">
        <x:v>CUS-157</x:v>
      </x:c>
      <x:c r="E357" s="10" t="n">
        <x:v>32.85</x:v>
      </x:c>
      <x:c r="F357" s="10" t="n">
        <x:v>0</x:v>
      </x:c>
      <x:c r="G357" s="10" t="n">
        <x:v>0</x:v>
      </x:c>
      <x:c r="H357" s="10" t="n">
        <x:v>32.85</x:v>
      </x:c>
      <x:c r="I357" s="10" t="n">
        <x:v>8.5</x:v>
      </x:c>
      <x:c r="J357" s="10" t="n">
        <x:v>24.35</x:v>
      </x:c>
      <x:c r="K357" s="2" t="n">
        <x:v>3</x:v>
      </x:c>
      <x:c r="L357" s="2" t="n">
        <x:v>0</x:v>
      </x:c>
    </x:row>
    <x:row r="358" ht="20" customHeight="1">
      <x:c r="A358" s="9" t="n">
        <x:v>46282</x:v>
      </x:c>
      <x:c r="B358" s="2" t="str">
        <x:v>MM-1364</x:v>
      </x:c>
      <x:c r="C358" s="2" t="str">
        <x:v>Email</x:v>
      </x:c>
      <x:c r="D358" s="2" t="str">
        <x:v>CUS-123</x:v>
      </x:c>
      <x:c r="E358" s="10" t="n">
        <x:v>194.85</x:v>
      </x:c>
      <x:c r="F358" s="10" t="n">
        <x:v>19.48</x:v>
      </x:c>
      <x:c r="G358" s="10" t="n">
        <x:v>0</x:v>
      </x:c>
      <x:c r="H358" s="10" t="n">
        <x:v>175.37</x:v>
      </x:c>
      <x:c r="I358" s="10" t="n">
        <x:v>78</x:v>
      </x:c>
      <x:c r="J358" s="10" t="n">
        <x:v>97.37</x:v>
      </x:c>
      <x:c r="K358" s="2" t="n">
        <x:v>3</x:v>
      </x:c>
      <x:c r="L358" s="2" t="n">
        <x:v>0</x:v>
      </x:c>
    </x:row>
    <x:row r="359" ht="20" customHeight="1">
      <x:c r="A359" s="9" t="n">
        <x:v>46282</x:v>
      </x:c>
      <x:c r="B359" s="2" t="str">
        <x:v>MM-1369</x:v>
      </x:c>
      <x:c r="C359" s="2" t="str">
        <x:v>Organic Search</x:v>
      </x:c>
      <x:c r="D359" s="2" t="str">
        <x:v>CUS-102</x:v>
      </x:c>
      <x:c r="E359" s="10" t="n">
        <x:v>289.8</x:v>
      </x:c>
      <x:c r="F359" s="10" t="n">
        <x:v>0</x:v>
      </x:c>
      <x:c r="G359" s="10" t="n">
        <x:v>0</x:v>
      </x:c>
      <x:c r="H359" s="10" t="n">
        <x:v>289.8</x:v>
      </x:c>
      <x:c r="I359" s="10" t="n">
        <x:v>116</x:v>
      </x:c>
      <x:c r="J359" s="10" t="n">
        <x:v>173.8</x:v>
      </x:c>
      <x:c r="K359" s="2" t="n">
        <x:v>4</x:v>
      </x:c>
      <x:c r="L359" s="2" t="n">
        <x:v>0</x:v>
      </x:c>
    </x:row>
    <x:row r="360" ht="20" customHeight="1">
      <x:c r="A360" s="9" t="n">
        <x:v>46282</x:v>
      </x:c>
      <x:c r="B360" s="2" t="str">
        <x:v>MM-1378</x:v>
      </x:c>
      <x:c r="C360" s="2" t="str">
        <x:v>Email</x:v>
      </x:c>
      <x:c r="D360" s="2" t="str">
        <x:v>CUS-126</x:v>
      </x:c>
      <x:c r="E360" s="10" t="n">
        <x:v>104.9</x:v>
      </x:c>
      <x:c r="F360" s="10" t="n">
        <x:v>10.48</x:v>
      </x:c>
      <x:c r="G360" s="10" t="n">
        <x:v>94.42</x:v>
      </x:c>
      <x:c r="H360" s="10" t="n">
        <x:v>0</x:v>
      </x:c>
      <x:c r="I360" s="10" t="n">
        <x:v>0</x:v>
      </x:c>
      <x:c r="J360" s="10" t="n">
        <x:v>0</x:v>
      </x:c>
      <x:c r="K360" s="2" t="n">
        <x:v>2</x:v>
      </x:c>
      <x:c r="L360" s="2" t="n">
        <x:v>2</x:v>
      </x:c>
    </x:row>
    <x:row r="361" ht="20" customHeight="1">
      <x:c r="A361" s="9" t="n">
        <x:v>46282</x:v>
      </x:c>
      <x:c r="B361" s="2" t="str">
        <x:v>MM-1372</x:v>
      </x:c>
      <x:c r="C361" s="2" t="str">
        <x:v>Email</x:v>
      </x:c>
      <x:c r="D361" s="2" t="str">
        <x:v>CUS-005</x:v>
      </x:c>
      <x:c r="E361" s="10" t="n">
        <x:v>214.75</x:v>
      </x:c>
      <x:c r="F361" s="10" t="n">
        <x:v>21.47</x:v>
      </x:c>
      <x:c r="G361" s="10" t="n">
        <x:v>0</x:v>
      </x:c>
      <x:c r="H361" s="10" t="n">
        <x:v>193.28</x:v>
      </x:c>
      <x:c r="I361" s="10" t="n">
        <x:v>83</x:v>
      </x:c>
      <x:c r="J361" s="10" t="n">
        <x:v>110.28</x:v>
      </x:c>
      <x:c r="K361" s="2" t="n">
        <x:v>5</x:v>
      </x:c>
      <x:c r="L361" s="2" t="n">
        <x:v>0</x:v>
      </x:c>
    </x:row>
    <x:row r="362" ht="20" customHeight="1">
      <x:c r="A362" s="9" t="n">
        <x:v>46282</x:v>
      </x:c>
      <x:c r="B362" s="2" t="str">
        <x:v>MM-1375</x:v>
      </x:c>
      <x:c r="C362" s="2" t="str">
        <x:v>Organic Search</x:v>
      </x:c>
      <x:c r="D362" s="2" t="str">
        <x:v>CUS-143</x:v>
      </x:c>
      <x:c r="E362" s="10" t="n">
        <x:v>54.95</x:v>
      </x:c>
      <x:c r="F362" s="10" t="n">
        <x:v>0</x:v>
      </x:c>
      <x:c r="G362" s="10" t="n">
        <x:v>0</x:v>
      </x:c>
      <x:c r="H362" s="10" t="n">
        <x:v>54.95</x:v>
      </x:c>
      <x:c r="I362" s="10" t="n">
        <x:v>22</x:v>
      </x:c>
      <x:c r="J362" s="10" t="n">
        <x:v>32.95</x:v>
      </x:c>
      <x:c r="K362" s="2" t="n">
        <x:v>1</x:v>
      </x:c>
      <x:c r="L362" s="2" t="n">
        <x:v>0</x:v>
      </x:c>
    </x:row>
    <x:row r="363" ht="20" customHeight="1">
      <x:c r="A363" s="9" t="n">
        <x:v>46282</x:v>
      </x:c>
      <x:c r="B363" s="2" t="str">
        <x:v>MM-1368</x:v>
      </x:c>
      <x:c r="C363" s="2" t="str">
        <x:v>Organic Search</x:v>
      </x:c>
      <x:c r="D363" s="2" t="str">
        <x:v>CUS-046</x:v>
      </x:c>
      <x:c r="E363" s="10" t="n">
        <x:v>12.95</x:v>
      </x:c>
      <x:c r="F363" s="10" t="n">
        <x:v>0</x:v>
      </x:c>
      <x:c r="G363" s="10" t="n">
        <x:v>0</x:v>
      </x:c>
      <x:c r="H363" s="10" t="n">
        <x:v>12.95</x:v>
      </x:c>
      <x:c r="I363" s="10" t="n">
        <x:v>3.5</x:v>
      </x:c>
      <x:c r="J363" s="10" t="n">
        <x:v>9.45</x:v>
      </x:c>
      <x:c r="K363" s="2" t="n">
        <x:v>1</x:v>
      </x:c>
      <x:c r="L363" s="2" t="n">
        <x:v>0</x:v>
      </x:c>
    </x:row>
    <x:row r="364" ht="20" customHeight="1">
      <x:c r="A364" s="9" t="n">
        <x:v>46282</x:v>
      </x:c>
      <x:c r="B364" s="2" t="str">
        <x:v>MM-1365</x:v>
      </x:c>
      <x:c r="C364" s="2" t="str">
        <x:v>Direct</x:v>
      </x:c>
      <x:c r="D364" s="2" t="str">
        <x:v>CUS-073</x:v>
      </x:c>
      <x:c r="E364" s="10" t="n">
        <x:v>34.9</x:v>
      </x:c>
      <x:c r="F364" s="10" t="n">
        <x:v>0</x:v>
      </x:c>
      <x:c r="G364" s="10" t="n">
        <x:v>0</x:v>
      </x:c>
      <x:c r="H364" s="10" t="n">
        <x:v>34.9</x:v>
      </x:c>
      <x:c r="I364" s="10" t="n">
        <x:v>11.5</x:v>
      </x:c>
      <x:c r="J364" s="10" t="n">
        <x:v>23.4</x:v>
      </x:c>
      <x:c r="K364" s="2" t="n">
        <x:v>2</x:v>
      </x:c>
      <x:c r="L364" s="2" t="n">
        <x:v>0</x:v>
      </x:c>
    </x:row>
    <x:row r="365" ht="20" customHeight="1">
      <x:c r="A365" s="9" t="n">
        <x:v>46282</x:v>
      </x:c>
      <x:c r="B365" s="2" t="str">
        <x:v>MM-1371</x:v>
      </x:c>
      <x:c r="C365" s="2" t="str">
        <x:v>Organic Search</x:v>
      </x:c>
      <x:c r="D365" s="2" t="str">
        <x:v>CUS-129</x:v>
      </x:c>
      <x:c r="E365" s="10" t="n">
        <x:v>89.9</x:v>
      </x:c>
      <x:c r="F365" s="10" t="n">
        <x:v>6.99</x:v>
      </x:c>
      <x:c r="G365" s="10" t="n">
        <x:v>0</x:v>
      </x:c>
      <x:c r="H365" s="10" t="n">
        <x:v>82.91</x:v>
      </x:c>
      <x:c r="I365" s="10" t="n">
        <x:v>34</x:v>
      </x:c>
      <x:c r="J365" s="10" t="n">
        <x:v>48.91</x:v>
      </x:c>
      <x:c r="K365" s="2" t="n">
        <x:v>2</x:v>
      </x:c>
      <x:c r="L365" s="2" t="n">
        <x:v>0</x:v>
      </x:c>
    </x:row>
    <x:row r="366" ht="20" customHeight="1">
      <x:c r="A366" s="9" t="n">
        <x:v>46282</x:v>
      </x:c>
      <x:c r="B366" s="2" t="str">
        <x:v>MM-1377</x:v>
      </x:c>
      <x:c r="C366" s="2" t="str">
        <x:v>Direct</x:v>
      </x:c>
      <x:c r="D366" s="2" t="str">
        <x:v>CUS-025</x:v>
      </x:c>
      <x:c r="E366" s="10" t="n">
        <x:v>54.95</x:v>
      </x:c>
      <x:c r="F366" s="10" t="n">
        <x:v>0</x:v>
      </x:c>
      <x:c r="G366" s="10" t="n">
        <x:v>0</x:v>
      </x:c>
      <x:c r="H366" s="10" t="n">
        <x:v>54.95</x:v>
      </x:c>
      <x:c r="I366" s="10" t="n">
        <x:v>22</x:v>
      </x:c>
      <x:c r="J366" s="10" t="n">
        <x:v>32.95</x:v>
      </x:c>
      <x:c r="K366" s="2" t="n">
        <x:v>1</x:v>
      </x:c>
      <x:c r="L366" s="2" t="n">
        <x:v>0</x:v>
      </x:c>
    </x:row>
    <x:row r="367" ht="20" customHeight="1">
      <x:c r="A367" s="9" t="n">
        <x:v>46283</x:v>
      </x:c>
      <x:c r="B367" s="2" t="str">
        <x:v>MM-1381</x:v>
      </x:c>
      <x:c r="C367" s="2" t="str">
        <x:v>Email</x:v>
      </x:c>
      <x:c r="D367" s="2" t="str">
        <x:v>CUS-083</x:v>
      </x:c>
      <x:c r="E367" s="10" t="n">
        <x:v>19.95</x:v>
      </x:c>
      <x:c r="F367" s="10" t="n">
        <x:v>1.99</x:v>
      </x:c>
      <x:c r="G367" s="10" t="n">
        <x:v>0</x:v>
      </x:c>
      <x:c r="H367" s="10" t="n">
        <x:v>17.96</x:v>
      </x:c>
      <x:c r="I367" s="10" t="n">
        <x:v>6</x:v>
      </x:c>
      <x:c r="J367" s="10" t="n">
        <x:v>11.96</x:v>
      </x:c>
      <x:c r="K367" s="2" t="n">
        <x:v>1</x:v>
      </x:c>
      <x:c r="L367" s="2" t="n">
        <x:v>0</x:v>
      </x:c>
    </x:row>
    <x:row r="368" ht="20" customHeight="1">
      <x:c r="A368" s="9" t="n">
        <x:v>46283</x:v>
      </x:c>
      <x:c r="B368" s="2" t="str">
        <x:v>MM-1391</x:v>
      </x:c>
      <x:c r="C368" s="2" t="str">
        <x:v>Organic Search</x:v>
      </x:c>
      <x:c r="D368" s="2" t="str">
        <x:v>CUS-156</x:v>
      </x:c>
      <x:c r="E368" s="10" t="n">
        <x:v>59.95</x:v>
      </x:c>
      <x:c r="F368" s="10" t="n">
        <x:v>0</x:v>
      </x:c>
      <x:c r="G368" s="10" t="n">
        <x:v>0</x:v>
      </x:c>
      <x:c r="H368" s="10" t="n">
        <x:v>59.95</x:v>
      </x:c>
      <x:c r="I368" s="10" t="n">
        <x:v>24</x:v>
      </x:c>
      <x:c r="J368" s="10" t="n">
        <x:v>35.95</x:v>
      </x:c>
      <x:c r="K368" s="2" t="n">
        <x:v>1</x:v>
      </x:c>
      <x:c r="L368" s="2" t="n">
        <x:v>0</x:v>
      </x:c>
    </x:row>
    <x:row r="369" ht="20" customHeight="1">
      <x:c r="A369" s="9" t="n">
        <x:v>46283</x:v>
      </x:c>
      <x:c r="B369" s="2" t="str">
        <x:v>MM-1393</x:v>
      </x:c>
      <x:c r="C369" s="2" t="str">
        <x:v>Paid Social</x:v>
      </x:c>
      <x:c r="D369" s="2" t="str">
        <x:v>CUS-134</x:v>
      </x:c>
      <x:c r="E369" s="10" t="n">
        <x:v>19.95</x:v>
      </x:c>
      <x:c r="F369" s="10" t="n">
        <x:v>0</x:v>
      </x:c>
      <x:c r="G369" s="10" t="n">
        <x:v>0</x:v>
      </x:c>
      <x:c r="H369" s="10" t="n">
        <x:v>19.95</x:v>
      </x:c>
      <x:c r="I369" s="10" t="n">
        <x:v>6</x:v>
      </x:c>
      <x:c r="J369" s="10" t="n">
        <x:v>13.95</x:v>
      </x:c>
      <x:c r="K369" s="2" t="n">
        <x:v>1</x:v>
      </x:c>
      <x:c r="L369" s="2" t="n">
        <x:v>0</x:v>
      </x:c>
    </x:row>
    <x:row r="370" ht="20" customHeight="1">
      <x:c r="A370" s="9" t="n">
        <x:v>46283</x:v>
      </x:c>
      <x:c r="B370" s="2" t="str">
        <x:v>MM-1384</x:v>
      </x:c>
      <x:c r="C370" s="2" t="str">
        <x:v>Paid Social</x:v>
      </x:c>
      <x:c r="D370" s="2" t="str">
        <x:v>CUS-138</x:v>
      </x:c>
      <x:c r="E370" s="10" t="n">
        <x:v>74.85</x:v>
      </x:c>
      <x:c r="F370" s="10" t="n">
        <x:v>0</x:v>
      </x:c>
      <x:c r="G370" s="10" t="n">
        <x:v>0</x:v>
      </x:c>
      <x:c r="H370" s="10" t="n">
        <x:v>74.85</x:v>
      </x:c>
      <x:c r="I370" s="10" t="n">
        <x:v>26</x:v>
      </x:c>
      <x:c r="J370" s="10" t="n">
        <x:v>48.85</x:v>
      </x:c>
      <x:c r="K370" s="2" t="n">
        <x:v>3</x:v>
      </x:c>
      <x:c r="L370" s="2" t="n">
        <x:v>0</x:v>
      </x:c>
    </x:row>
    <x:row r="371" ht="20" customHeight="1">
      <x:c r="A371" s="9" t="n">
        <x:v>46283</x:v>
      </x:c>
      <x:c r="B371" s="2" t="str">
        <x:v>MM-1394</x:v>
      </x:c>
      <x:c r="C371" s="2" t="str">
        <x:v>Direct</x:v>
      </x:c>
      <x:c r="D371" s="2" t="str">
        <x:v>CUS-104</x:v>
      </x:c>
      <x:c r="E371" s="10" t="n">
        <x:v>22.95</x:v>
      </x:c>
      <x:c r="F371" s="10" t="n">
        <x:v>0</x:v>
      </x:c>
      <x:c r="G371" s="10" t="n">
        <x:v>22.95</x:v>
      </x:c>
      <x:c r="H371" s="10" t="n">
        <x:v>0</x:v>
      </x:c>
      <x:c r="I371" s="10" t="n">
        <x:v>0</x:v>
      </x:c>
      <x:c r="J371" s="10" t="n">
        <x:v>0</x:v>
      </x:c>
      <x:c r="K371" s="2" t="n">
        <x:v>1</x:v>
      </x:c>
      <x:c r="L371" s="2" t="n">
        <x:v>1</x:v>
      </x:c>
    </x:row>
    <x:row r="372" ht="20" customHeight="1">
      <x:c r="A372" s="9" t="n">
        <x:v>46283</x:v>
      </x:c>
      <x:c r="B372" s="2" t="str">
        <x:v>MM-1397</x:v>
      </x:c>
      <x:c r="C372" s="2" t="str">
        <x:v>Organic Search</x:v>
      </x:c>
      <x:c r="D372" s="2" t="str">
        <x:v>CUS-148</x:v>
      </x:c>
      <x:c r="E372" s="10" t="n">
        <x:v>64.9</x:v>
      </x:c>
      <x:c r="F372" s="10" t="n">
        <x:v>0</x:v>
      </x:c>
      <x:c r="G372" s="10" t="n">
        <x:v>0</x:v>
      </x:c>
      <x:c r="H372" s="10" t="n">
        <x:v>64.9</x:v>
      </x:c>
      <x:c r="I372" s="10" t="n">
        <x:v>24.5</x:v>
      </x:c>
      <x:c r="J372" s="10" t="n">
        <x:v>40.4</x:v>
      </x:c>
      <x:c r="K372" s="2" t="n">
        <x:v>2</x:v>
      </x:c>
      <x:c r="L372" s="2" t="n">
        <x:v>0</x:v>
      </x:c>
    </x:row>
    <x:row r="373" ht="20" customHeight="1">
      <x:c r="A373" s="9" t="n">
        <x:v>46283</x:v>
      </x:c>
      <x:c r="B373" s="2" t="str">
        <x:v>MM-1386</x:v>
      </x:c>
      <x:c r="C373" s="2" t="str">
        <x:v>Email</x:v>
      </x:c>
      <x:c r="D373" s="2" t="str">
        <x:v>CUS-156</x:v>
      </x:c>
      <x:c r="E373" s="10" t="n">
        <x:v>45.9</x:v>
      </x:c>
      <x:c r="F373" s="10" t="n">
        <x:v>4.59</x:v>
      </x:c>
      <x:c r="G373" s="10" t="n">
        <x:v>0</x:v>
      </x:c>
      <x:c r="H373" s="10" t="n">
        <x:v>41.31</x:v>
      </x:c>
      <x:c r="I373" s="10" t="n">
        <x:v>17</x:v>
      </x:c>
      <x:c r="J373" s="10" t="n">
        <x:v>24.31</x:v>
      </x:c>
      <x:c r="K373" s="2" t="n">
        <x:v>2</x:v>
      </x:c>
      <x:c r="L373" s="2" t="n">
        <x:v>0</x:v>
      </x:c>
    </x:row>
    <x:row r="374" ht="20" customHeight="1">
      <x:c r="A374" s="9" t="n">
        <x:v>46283</x:v>
      </x:c>
      <x:c r="B374" s="2" t="str">
        <x:v>MM-1392</x:v>
      </x:c>
      <x:c r="C374" s="2" t="str">
        <x:v>Direct</x:v>
      </x:c>
      <x:c r="D374" s="2" t="str">
        <x:v>CUS-140</x:v>
      </x:c>
      <x:c r="E374" s="10" t="n">
        <x:v>94.9</x:v>
      </x:c>
      <x:c r="F374" s="10" t="n">
        <x:v>0</x:v>
      </x:c>
      <x:c r="G374" s="10" t="n">
        <x:v>0</x:v>
      </x:c>
      <x:c r="H374" s="10" t="n">
        <x:v>94.9</x:v>
      </x:c>
      <x:c r="I374" s="10" t="n">
        <x:v>37</x:v>
      </x:c>
      <x:c r="J374" s="10" t="n">
        <x:v>57.9</x:v>
      </x:c>
      <x:c r="K374" s="2" t="n">
        <x:v>2</x:v>
      </x:c>
      <x:c r="L374" s="2" t="n">
        <x:v>0</x:v>
      </x:c>
    </x:row>
    <x:row r="375" ht="20" customHeight="1">
      <x:c r="A375" s="9" t="n">
        <x:v>46283</x:v>
      </x:c>
      <x:c r="B375" s="2" t="str">
        <x:v>MM-1396</x:v>
      </x:c>
      <x:c r="C375" s="2" t="str">
        <x:v>Email</x:v>
      </x:c>
      <x:c r="D375" s="2" t="str">
        <x:v>CUS-016</x:v>
      </x:c>
      <x:c r="E375" s="10" t="n">
        <x:v>55.85</x:v>
      </x:c>
      <x:c r="F375" s="10" t="n">
        <x:v>5.58</x:v>
      </x:c>
      <x:c r="G375" s="10" t="n">
        <x:v>0</x:v>
      </x:c>
      <x:c r="H375" s="10" t="n">
        <x:v>50.27</x:v>
      </x:c>
      <x:c r="I375" s="10" t="n">
        <x:v>17</x:v>
      </x:c>
      <x:c r="J375" s="10" t="n">
        <x:v>33.27</x:v>
      </x:c>
      <x:c r="K375" s="2" t="n">
        <x:v>3</x:v>
      </x:c>
      <x:c r="L375" s="2" t="n">
        <x:v>0</x:v>
      </x:c>
    </x:row>
    <x:row r="376" ht="20" customHeight="1">
      <x:c r="A376" s="9" t="n">
        <x:v>46283</x:v>
      </x:c>
      <x:c r="B376" s="2" t="str">
        <x:v>MM-1385</x:v>
      </x:c>
      <x:c r="C376" s="2" t="str">
        <x:v>Direct</x:v>
      </x:c>
      <x:c r="D376" s="2" t="str">
        <x:v>CUS-104</x:v>
      </x:c>
      <x:c r="E376" s="10" t="n">
        <x:v>18.95</x:v>
      </x:c>
      <x:c r="F376" s="10" t="n">
        <x:v>0</x:v>
      </x:c>
      <x:c r="G376" s="10" t="n">
        <x:v>0</x:v>
      </x:c>
      <x:c r="H376" s="10" t="n">
        <x:v>18.95</x:v>
      </x:c>
      <x:c r="I376" s="10" t="n">
        <x:v>6.5</x:v>
      </x:c>
      <x:c r="J376" s="10" t="n">
        <x:v>12.45</x:v>
      </x:c>
      <x:c r="K376" s="2" t="n">
        <x:v>1</x:v>
      </x:c>
      <x:c r="L376" s="2" t="n">
        <x:v>0</x:v>
      </x:c>
    </x:row>
    <x:row r="377" ht="20" customHeight="1">
      <x:c r="A377" s="9" t="n">
        <x:v>46283</x:v>
      </x:c>
      <x:c r="B377" s="2" t="str">
        <x:v>MM-1383</x:v>
      </x:c>
      <x:c r="C377" s="2" t="str">
        <x:v>Organic Search</x:v>
      </x:c>
      <x:c r="D377" s="2" t="str">
        <x:v>CUS-150</x:v>
      </x:c>
      <x:c r="E377" s="10" t="n">
        <x:v>52.9</x:v>
      </x:c>
      <x:c r="F377" s="10" t="n">
        <x:v>3.29</x:v>
      </x:c>
      <x:c r="G377" s="10" t="n">
        <x:v>0</x:v>
      </x:c>
      <x:c r="H377" s="10" t="n">
        <x:v>49.61</x:v>
      </x:c>
      <x:c r="I377" s="10" t="n">
        <x:v>18</x:v>
      </x:c>
      <x:c r="J377" s="10" t="n">
        <x:v>31.61</x:v>
      </x:c>
      <x:c r="K377" s="2" t="n">
        <x:v>2</x:v>
      </x:c>
      <x:c r="L377" s="2" t="n">
        <x:v>0</x:v>
      </x:c>
    </x:row>
    <x:row r="378" ht="20" customHeight="1">
      <x:c r="A378" s="9" t="n">
        <x:v>46283</x:v>
      </x:c>
      <x:c r="B378" s="2" t="str">
        <x:v>MM-1390</x:v>
      </x:c>
      <x:c r="C378" s="2" t="str">
        <x:v>Paid Social</x:v>
      </x:c>
      <x:c r="D378" s="2" t="str">
        <x:v>CUS-047</x:v>
      </x:c>
      <x:c r="E378" s="10" t="n">
        <x:v>149.9</x:v>
      </x:c>
      <x:c r="F378" s="10" t="n">
        <x:v>0</x:v>
      </x:c>
      <x:c r="G378" s="10" t="n">
        <x:v>0</x:v>
      </x:c>
      <x:c r="H378" s="10" t="n">
        <x:v>149.9</x:v>
      </x:c>
      <x:c r="I378" s="10" t="n">
        <x:v>60</x:v>
      </x:c>
      <x:c r="J378" s="10" t="n">
        <x:v>89.9</x:v>
      </x:c>
      <x:c r="K378" s="2" t="n">
        <x:v>2</x:v>
      </x:c>
      <x:c r="L378" s="2" t="n">
        <x:v>0</x:v>
      </x:c>
    </x:row>
    <x:row r="379" ht="20" customHeight="1">
      <x:c r="A379" s="9" t="n">
        <x:v>46283</x:v>
      </x:c>
      <x:c r="B379" s="2" t="str">
        <x:v>MM-1388</x:v>
      </x:c>
      <x:c r="C379" s="2" t="str">
        <x:v>Paid Social</x:v>
      </x:c>
      <x:c r="D379" s="2" t="str">
        <x:v>CUS-045</x:v>
      </x:c>
      <x:c r="E379" s="10" t="n">
        <x:v>69.95</x:v>
      </x:c>
      <x:c r="F379" s="10" t="n">
        <x:v>0</x:v>
      </x:c>
      <x:c r="G379" s="10" t="n">
        <x:v>0</x:v>
      </x:c>
      <x:c r="H379" s="10" t="n">
        <x:v>69.95</x:v>
      </x:c>
      <x:c r="I379" s="10" t="n">
        <x:v>28</x:v>
      </x:c>
      <x:c r="J379" s="10" t="n">
        <x:v>41.95</x:v>
      </x:c>
      <x:c r="K379" s="2" t="n">
        <x:v>1</x:v>
      </x:c>
      <x:c r="L379" s="2" t="n">
        <x:v>0</x:v>
      </x:c>
    </x:row>
    <x:row r="380" ht="20" customHeight="1">
      <x:c r="A380" s="9" t="n">
        <x:v>46283</x:v>
      </x:c>
      <x:c r="B380" s="2" t="str">
        <x:v>MM-1382</x:v>
      </x:c>
      <x:c r="C380" s="2" t="str">
        <x:v>Paid Social</x:v>
      </x:c>
      <x:c r="D380" s="2" t="str">
        <x:v>CUS-042</x:v>
      </x:c>
      <x:c r="E380" s="10" t="n">
        <x:v>68.85</x:v>
      </x:c>
      <x:c r="F380" s="10" t="n">
        <x:v>0</x:v>
      </x:c>
      <x:c r="G380" s="10" t="n">
        <x:v>0</x:v>
      </x:c>
      <x:c r="H380" s="10" t="n">
        <x:v>68.85</x:v>
      </x:c>
      <x:c r="I380" s="10" t="n">
        <x:v>25.5</x:v>
      </x:c>
      <x:c r="J380" s="10" t="n">
        <x:v>43.35</x:v>
      </x:c>
      <x:c r="K380" s="2" t="n">
        <x:v>3</x:v>
      </x:c>
      <x:c r="L380" s="2" t="n">
        <x:v>0</x:v>
      </x:c>
    </x:row>
    <x:row r="381" ht="20" customHeight="1">
      <x:c r="A381" s="9" t="n">
        <x:v>46283</x:v>
      </x:c>
      <x:c r="B381" s="2" t="str">
        <x:v>MM-1387</x:v>
      </x:c>
      <x:c r="C381" s="2" t="str">
        <x:v>Organic Search</x:v>
      </x:c>
      <x:c r="D381" s="2" t="str">
        <x:v>CUS-005</x:v>
      </x:c>
      <x:c r="E381" s="10" t="n">
        <x:v>217.8</x:v>
      </x:c>
      <x:c r="F381" s="10" t="n">
        <x:v>0</x:v>
      </x:c>
      <x:c r="G381" s="10" t="n">
        <x:v>0</x:v>
      </x:c>
      <x:c r="H381" s="10" t="n">
        <x:v>217.8</x:v>
      </x:c>
      <x:c r="I381" s="10" t="n">
        <x:v>86</x:v>
      </x:c>
      <x:c r="J381" s="10" t="n">
        <x:v>131.8</x:v>
      </x:c>
      <x:c r="K381" s="2" t="n">
        <x:v>4</x:v>
      </x:c>
      <x:c r="L381" s="2" t="n">
        <x:v>0</x:v>
      </x:c>
    </x:row>
    <x:row r="382" ht="20" customHeight="1">
      <x:c r="A382" s="9" t="n">
        <x:v>46283</x:v>
      </x:c>
      <x:c r="B382" s="2" t="str">
        <x:v>MM-1389</x:v>
      </x:c>
      <x:c r="C382" s="2" t="str">
        <x:v>Paid Social</x:v>
      </x:c>
      <x:c r="D382" s="2" t="str">
        <x:v>CUS-180</x:v>
      </x:c>
      <x:c r="E382" s="10" t="n">
        <x:v>89.9</x:v>
      </x:c>
      <x:c r="F382" s="10" t="n">
        <x:v>7.99</x:v>
      </x:c>
      <x:c r="G382" s="10" t="n">
        <x:v>0</x:v>
      </x:c>
      <x:c r="H382" s="10" t="n">
        <x:v>81.91</x:v>
      </x:c>
      <x:c r="I382" s="10" t="n">
        <x:v>34.5</x:v>
      </x:c>
      <x:c r="J382" s="10" t="n">
        <x:v>47.41</x:v>
      </x:c>
      <x:c r="K382" s="2" t="n">
        <x:v>2</x:v>
      </x:c>
      <x:c r="L382" s="2" t="n">
        <x:v>0</x:v>
      </x:c>
    </x:row>
    <x:row r="383" ht="20" customHeight="1">
      <x:c r="A383" s="9" t="n">
        <x:v>46283</x:v>
      </x:c>
      <x:c r="B383" s="2" t="str">
        <x:v>MM-1395</x:v>
      </x:c>
      <x:c r="C383" s="2" t="str">
        <x:v>Email</x:v>
      </x:c>
      <x:c r="D383" s="2" t="str">
        <x:v>CUS-038</x:v>
      </x:c>
      <x:c r="E383" s="10" t="n">
        <x:v>56.85</x:v>
      </x:c>
      <x:c r="F383" s="10" t="n">
        <x:v>5.68</x:v>
      </x:c>
      <x:c r="G383" s="10" t="n">
        <x:v>0</x:v>
      </x:c>
      <x:c r="H383" s="10" t="n">
        <x:v>51.17</x:v>
      </x:c>
      <x:c r="I383" s="10" t="n">
        <x:v>19.5</x:v>
      </x:c>
      <x:c r="J383" s="10" t="n">
        <x:v>31.67</x:v>
      </x:c>
      <x:c r="K383" s="2" t="n">
        <x:v>3</x:v>
      </x:c>
      <x:c r="L383" s="2" t="n">
        <x:v>0</x:v>
      </x:c>
    </x:row>
    <x:row r="384" ht="20" customHeight="1">
      <x:c r="A384" s="9" t="n">
        <x:v>46284</x:v>
      </x:c>
      <x:c r="B384" s="2" t="str">
        <x:v>MM-1404</x:v>
      </x:c>
      <x:c r="C384" s="2" t="str">
        <x:v>Email</x:v>
      </x:c>
      <x:c r="D384" s="2" t="str">
        <x:v>CUS-007</x:v>
      </x:c>
      <x:c r="E384" s="10" t="n">
        <x:v>19.9</x:v>
      </x:c>
      <x:c r="F384" s="10" t="n">
        <x:v>1.99</x:v>
      </x:c>
      <x:c r="G384" s="10" t="n">
        <x:v>0</x:v>
      </x:c>
      <x:c r="H384" s="10" t="n">
        <x:v>17.91</x:v>
      </x:c>
      <x:c r="I384" s="10" t="n">
        <x:v>5</x:v>
      </x:c>
      <x:c r="J384" s="10" t="n">
        <x:v>12.91</x:v>
      </x:c>
      <x:c r="K384" s="2" t="n">
        <x:v>2</x:v>
      </x:c>
      <x:c r="L384" s="2" t="n">
        <x:v>0</x:v>
      </x:c>
    </x:row>
    <x:row r="385" ht="20" customHeight="1">
      <x:c r="A385" s="9" t="n">
        <x:v>46284</x:v>
      </x:c>
      <x:c r="B385" s="2" t="str">
        <x:v>MM-1406</x:v>
      </x:c>
      <x:c r="C385" s="2" t="str">
        <x:v>Direct</x:v>
      </x:c>
      <x:c r="D385" s="2" t="str">
        <x:v>CUS-002</x:v>
      </x:c>
      <x:c r="E385" s="10" t="n">
        <x:v>59.9</x:v>
      </x:c>
      <x:c r="F385" s="10" t="n">
        <x:v>0</x:v>
      </x:c>
      <x:c r="G385" s="10" t="n">
        <x:v>0</x:v>
      </x:c>
      <x:c r="H385" s="10" t="n">
        <x:v>59.9</x:v>
      </x:c>
      <x:c r="I385" s="10" t="n">
        <x:v>20</x:v>
      </x:c>
      <x:c r="J385" s="10" t="n">
        <x:v>39.9</x:v>
      </x:c>
      <x:c r="K385" s="2" t="n">
        <x:v>2</x:v>
      </x:c>
      <x:c r="L385" s="2" t="n">
        <x:v>0</x:v>
      </x:c>
    </x:row>
    <x:row r="386" ht="20" customHeight="1">
      <x:c r="A386" s="9" t="n">
        <x:v>46284</x:v>
      </x:c>
      <x:c r="B386" s="2" t="str">
        <x:v>MM-1407</x:v>
      </x:c>
      <x:c r="C386" s="2" t="str">
        <x:v>Email</x:v>
      </x:c>
      <x:c r="D386" s="2" t="str">
        <x:v>CUS-125</x:v>
      </x:c>
      <x:c r="E386" s="10" t="n">
        <x:v>59.95</x:v>
      </x:c>
      <x:c r="F386" s="10" t="n">
        <x:v>5.99</x:v>
      </x:c>
      <x:c r="G386" s="10" t="n">
        <x:v>0</x:v>
      </x:c>
      <x:c r="H386" s="10" t="n">
        <x:v>53.96</x:v>
      </x:c>
      <x:c r="I386" s="10" t="n">
        <x:v>24</x:v>
      </x:c>
      <x:c r="J386" s="10" t="n">
        <x:v>29.96</x:v>
      </x:c>
      <x:c r="K386" s="2" t="n">
        <x:v>1</x:v>
      </x:c>
      <x:c r="L386" s="2" t="n">
        <x:v>0</x:v>
      </x:c>
    </x:row>
    <x:row r="387" ht="20" customHeight="1">
      <x:c r="A387" s="9" t="n">
        <x:v>46284</x:v>
      </x:c>
      <x:c r="B387" s="2" t="str">
        <x:v>MM-1400</x:v>
      </x:c>
      <x:c r="C387" s="2" t="str">
        <x:v>Organic Search</x:v>
      </x:c>
      <x:c r="D387" s="2" t="str">
        <x:v>CUS-123</x:v>
      </x:c>
      <x:c r="E387" s="10" t="n">
        <x:v>24.95</x:v>
      </x:c>
      <x:c r="F387" s="10" t="n">
        <x:v>0</x:v>
      </x:c>
      <x:c r="G387" s="10" t="n">
        <x:v>0</x:v>
      </x:c>
      <x:c r="H387" s="10" t="n">
        <x:v>24.95</x:v>
      </x:c>
      <x:c r="I387" s="10" t="n">
        <x:v>9</x:v>
      </x:c>
      <x:c r="J387" s="10" t="n">
        <x:v>15.95</x:v>
      </x:c>
      <x:c r="K387" s="2" t="n">
        <x:v>1</x:v>
      </x:c>
      <x:c r="L387" s="2" t="n">
        <x:v>0</x:v>
      </x:c>
    </x:row>
    <x:row r="388" ht="20" customHeight="1">
      <x:c r="A388" s="9" t="n">
        <x:v>46284</x:v>
      </x:c>
      <x:c r="B388" s="2" t="str">
        <x:v>MM-1398</x:v>
      </x:c>
      <x:c r="C388" s="2" t="str">
        <x:v>Paid Social</x:v>
      </x:c>
      <x:c r="D388" s="2" t="str">
        <x:v>CUS-154</x:v>
      </x:c>
      <x:c r="E388" s="10" t="n">
        <x:v>42.9</x:v>
      </x:c>
      <x:c r="F388" s="10" t="n">
        <x:v>0</x:v>
      </x:c>
      <x:c r="G388" s="10" t="n">
        <x:v>0</x:v>
      </x:c>
      <x:c r="H388" s="10" t="n">
        <x:v>42.9</x:v>
      </x:c>
      <x:c r="I388" s="10" t="n">
        <x:v>14.5</x:v>
      </x:c>
      <x:c r="J388" s="10" t="n">
        <x:v>28.4</x:v>
      </x:c>
      <x:c r="K388" s="2" t="n">
        <x:v>2</x:v>
      </x:c>
      <x:c r="L388" s="2" t="n">
        <x:v>0</x:v>
      </x:c>
    </x:row>
    <x:row r="389" ht="20" customHeight="1">
      <x:c r="A389" s="9" t="n">
        <x:v>46284</x:v>
      </x:c>
      <x:c r="B389" s="2" t="str">
        <x:v>MM-1403</x:v>
      </x:c>
      <x:c r="C389" s="2" t="str">
        <x:v>Email</x:v>
      </x:c>
      <x:c r="D389" s="2" t="str">
        <x:v>CUS-048</x:v>
      </x:c>
      <x:c r="E389" s="10" t="n">
        <x:v>24.95</x:v>
      </x:c>
      <x:c r="F389" s="10" t="n">
        <x:v>2.49</x:v>
      </x:c>
      <x:c r="G389" s="10" t="n">
        <x:v>0</x:v>
      </x:c>
      <x:c r="H389" s="10" t="n">
        <x:v>22.46</x:v>
      </x:c>
      <x:c r="I389" s="10" t="n">
        <x:v>9</x:v>
      </x:c>
      <x:c r="J389" s="10" t="n">
        <x:v>13.46</x:v>
      </x:c>
      <x:c r="K389" s="2" t="n">
        <x:v>1</x:v>
      </x:c>
      <x:c r="L389" s="2" t="n">
        <x:v>0</x:v>
      </x:c>
    </x:row>
    <x:row r="390" ht="20" customHeight="1">
      <x:c r="A390" s="9" t="n">
        <x:v>46284</x:v>
      </x:c>
      <x:c r="B390" s="2" t="str">
        <x:v>MM-1412</x:v>
      </x:c>
      <x:c r="C390" s="2" t="str">
        <x:v>Email</x:v>
      </x:c>
      <x:c r="D390" s="2" t="str">
        <x:v>CUS-122</x:v>
      </x:c>
      <x:c r="E390" s="10" t="n">
        <x:v>54.9</x:v>
      </x:c>
      <x:c r="F390" s="10" t="n">
        <x:v>5.48</x:v>
      </x:c>
      <x:c r="G390" s="10" t="n">
        <x:v>0</x:v>
      </x:c>
      <x:c r="H390" s="10" t="n">
        <x:v>49.42</x:v>
      </x:c>
      <x:c r="I390" s="10" t="n">
        <x:v>19</x:v>
      </x:c>
      <x:c r="J390" s="10" t="n">
        <x:v>30.42</x:v>
      </x:c>
      <x:c r="K390" s="2" t="n">
        <x:v>2</x:v>
      </x:c>
      <x:c r="L390" s="2" t="n">
        <x:v>0</x:v>
      </x:c>
    </x:row>
    <x:row r="391" ht="20" customHeight="1">
      <x:c r="A391" s="9" t="n">
        <x:v>46284</x:v>
      </x:c>
      <x:c r="B391" s="2" t="str">
        <x:v>MM-1405</x:v>
      </x:c>
      <x:c r="C391" s="2" t="str">
        <x:v>Direct</x:v>
      </x:c>
      <x:c r="D391" s="2" t="str">
        <x:v>CUS-092</x:v>
      </x:c>
      <x:c r="E391" s="10" t="n">
        <x:v>79.85</x:v>
      </x:c>
      <x:c r="F391" s="10" t="n">
        <x:v>2.99</x:v>
      </x:c>
      <x:c r="G391" s="10" t="n">
        <x:v>0</x:v>
      </x:c>
      <x:c r="H391" s="10" t="n">
        <x:v>76.86</x:v>
      </x:c>
      <x:c r="I391" s="10" t="n">
        <x:v>28</x:v>
      </x:c>
      <x:c r="J391" s="10" t="n">
        <x:v>48.86</x:v>
      </x:c>
      <x:c r="K391" s="2" t="n">
        <x:v>3</x:v>
      </x:c>
      <x:c r="L391" s="2" t="n">
        <x:v>0</x:v>
      </x:c>
    </x:row>
    <x:row r="392" ht="20" customHeight="1">
      <x:c r="A392" s="9" t="n">
        <x:v>46284</x:v>
      </x:c>
      <x:c r="B392" s="2" t="str">
        <x:v>MM-1417</x:v>
      </x:c>
      <x:c r="C392" s="2" t="str">
        <x:v>Direct</x:v>
      </x:c>
      <x:c r="D392" s="2" t="str">
        <x:v>CUS-034</x:v>
      </x:c>
      <x:c r="E392" s="10" t="n">
        <x:v>54.95</x:v>
      </x:c>
      <x:c r="F392" s="10" t="n">
        <x:v>0</x:v>
      </x:c>
      <x:c r="G392" s="10" t="n">
        <x:v>0</x:v>
      </x:c>
      <x:c r="H392" s="10" t="n">
        <x:v>54.95</x:v>
      </x:c>
      <x:c r="I392" s="10" t="n">
        <x:v>22</x:v>
      </x:c>
      <x:c r="J392" s="10" t="n">
        <x:v>32.95</x:v>
      </x:c>
      <x:c r="K392" s="2" t="n">
        <x:v>1</x:v>
      </x:c>
      <x:c r="L392" s="2" t="n">
        <x:v>0</x:v>
      </x:c>
    </x:row>
    <x:row r="393" ht="20" customHeight="1">
      <x:c r="A393" s="9" t="n">
        <x:v>46284</x:v>
      </x:c>
      <x:c r="B393" s="2" t="str">
        <x:v>MM-1411</x:v>
      </x:c>
      <x:c r="C393" s="2" t="str">
        <x:v>Email</x:v>
      </x:c>
      <x:c r="D393" s="2" t="str">
        <x:v>CUS-129</x:v>
      </x:c>
      <x:c r="E393" s="10" t="n">
        <x:v>39.9</x:v>
      </x:c>
      <x:c r="F393" s="10" t="n">
        <x:v>3.99</x:v>
      </x:c>
      <x:c r="G393" s="10" t="n">
        <x:v>0</x:v>
      </x:c>
      <x:c r="H393" s="10" t="n">
        <x:v>35.91</x:v>
      </x:c>
      <x:c r="I393" s="10" t="n">
        <x:v>12</x:v>
      </x:c>
      <x:c r="J393" s="10" t="n">
        <x:v>23.91</x:v>
      </x:c>
      <x:c r="K393" s="2" t="n">
        <x:v>2</x:v>
      </x:c>
      <x:c r="L393" s="2" t="n">
        <x:v>0</x:v>
      </x:c>
    </x:row>
    <x:row r="394" ht="20" customHeight="1">
      <x:c r="A394" s="9" t="n">
        <x:v>46284</x:v>
      </x:c>
      <x:c r="B394" s="2" t="str">
        <x:v>MM-1416</x:v>
      </x:c>
      <x:c r="C394" s="2" t="str">
        <x:v>Direct</x:v>
      </x:c>
      <x:c r="D394" s="2" t="str">
        <x:v>CUS-078</x:v>
      </x:c>
      <x:c r="E394" s="10" t="n">
        <x:v>34.95</x:v>
      </x:c>
      <x:c r="F394" s="10" t="n">
        <x:v>0</x:v>
      </x:c>
      <x:c r="G394" s="10" t="n">
        <x:v>0</x:v>
      </x:c>
      <x:c r="H394" s="10" t="n">
        <x:v>34.95</x:v>
      </x:c>
      <x:c r="I394" s="10" t="n">
        <x:v>13.5</x:v>
      </x:c>
      <x:c r="J394" s="10" t="n">
        <x:v>21.45</x:v>
      </x:c>
      <x:c r="K394" s="2" t="n">
        <x:v>1</x:v>
      </x:c>
      <x:c r="L394" s="2" t="n">
        <x:v>0</x:v>
      </x:c>
    </x:row>
    <x:row r="395" ht="20" customHeight="1">
      <x:c r="A395" s="9" t="n">
        <x:v>46284</x:v>
      </x:c>
      <x:c r="B395" s="2" t="str">
        <x:v>MM-1399</x:v>
      </x:c>
      <x:c r="C395" s="2" t="str">
        <x:v>Email</x:v>
      </x:c>
      <x:c r="D395" s="2" t="str">
        <x:v>CUS-118</x:v>
      </x:c>
      <x:c r="E395" s="10" t="n">
        <x:v>32.95</x:v>
      </x:c>
      <x:c r="F395" s="10" t="n">
        <x:v>3.29</x:v>
      </x:c>
      <x:c r="G395" s="10" t="n">
        <x:v>0</x:v>
      </x:c>
      <x:c r="H395" s="10" t="n">
        <x:v>29.66</x:v>
      </x:c>
      <x:c r="I395" s="10" t="n">
        <x:v>12</x:v>
      </x:c>
      <x:c r="J395" s="10" t="n">
        <x:v>17.66</x:v>
      </x:c>
      <x:c r="K395" s="2" t="n">
        <x:v>1</x:v>
      </x:c>
      <x:c r="L395" s="2" t="n">
        <x:v>0</x:v>
      </x:c>
    </x:row>
    <x:row r="396" ht="20" customHeight="1">
      <x:c r="A396" s="9" t="n">
        <x:v>46284</x:v>
      </x:c>
      <x:c r="B396" s="2" t="str">
        <x:v>MM-1408</x:v>
      </x:c>
      <x:c r="C396" s="2" t="str">
        <x:v>Organic Search</x:v>
      </x:c>
      <x:c r="D396" s="2" t="str">
        <x:v>CUS-065</x:v>
      </x:c>
      <x:c r="E396" s="10" t="n">
        <x:v>24.95</x:v>
      </x:c>
      <x:c r="F396" s="10" t="n">
        <x:v>0</x:v>
      </x:c>
      <x:c r="G396" s="10" t="n">
        <x:v>0</x:v>
      </x:c>
      <x:c r="H396" s="10" t="n">
        <x:v>24.95</x:v>
      </x:c>
      <x:c r="I396" s="10" t="n">
        <x:v>8.5</x:v>
      </x:c>
      <x:c r="J396" s="10" t="n">
        <x:v>16.45</x:v>
      </x:c>
      <x:c r="K396" s="2" t="n">
        <x:v>1</x:v>
      </x:c>
      <x:c r="L396" s="2" t="n">
        <x:v>0</x:v>
      </x:c>
    </x:row>
    <x:row r="397" ht="20" customHeight="1">
      <x:c r="A397" s="9" t="n">
        <x:v>46284</x:v>
      </x:c>
      <x:c r="B397" s="2" t="str">
        <x:v>MM-1413</x:v>
      </x:c>
      <x:c r="C397" s="2" t="str">
        <x:v>Paid Social</x:v>
      </x:c>
      <x:c r="D397" s="2" t="str">
        <x:v>CUS-118</x:v>
      </x:c>
      <x:c r="E397" s="10" t="n">
        <x:v>229.8</x:v>
      </x:c>
      <x:c r="F397" s="10" t="n">
        <x:v>1.99</x:v>
      </x:c>
      <x:c r="G397" s="10" t="n">
        <x:v>0</x:v>
      </x:c>
      <x:c r="H397" s="10" t="n">
        <x:v>227.81</x:v>
      </x:c>
      <x:c r="I397" s="10" t="n">
        <x:v>90</x:v>
      </x:c>
      <x:c r="J397" s="10" t="n">
        <x:v>137.81</x:v>
      </x:c>
      <x:c r="K397" s="2" t="n">
        <x:v>4</x:v>
      </x:c>
      <x:c r="L397" s="2" t="n">
        <x:v>0</x:v>
      </x:c>
    </x:row>
    <x:row r="398" ht="20" customHeight="1">
      <x:c r="A398" s="9" t="n">
        <x:v>46284</x:v>
      </x:c>
      <x:c r="B398" s="2" t="str">
        <x:v>MM-1409</x:v>
      </x:c>
      <x:c r="C398" s="2" t="str">
        <x:v>Direct</x:v>
      </x:c>
      <x:c r="D398" s="2" t="str">
        <x:v>CUS-129</x:v>
      </x:c>
      <x:c r="E398" s="10" t="n">
        <x:v>34.95</x:v>
      </x:c>
      <x:c r="F398" s="10" t="n">
        <x:v>0</x:v>
      </x:c>
      <x:c r="G398" s="10" t="n">
        <x:v>0</x:v>
      </x:c>
      <x:c r="H398" s="10" t="n">
        <x:v>34.95</x:v>
      </x:c>
      <x:c r="I398" s="10" t="n">
        <x:v>13.5</x:v>
      </x:c>
      <x:c r="J398" s="10" t="n">
        <x:v>21.45</x:v>
      </x:c>
      <x:c r="K398" s="2" t="n">
        <x:v>1</x:v>
      </x:c>
      <x:c r="L398" s="2" t="n">
        <x:v>0</x:v>
      </x:c>
    </x:row>
    <x:row r="399" ht="20" customHeight="1">
      <x:c r="A399" s="9" t="n">
        <x:v>46284</x:v>
      </x:c>
      <x:c r="B399" s="2" t="str">
        <x:v>MM-1415</x:v>
      </x:c>
      <x:c r="C399" s="2" t="str">
        <x:v>Email</x:v>
      </x:c>
      <x:c r="D399" s="2" t="str">
        <x:v>CUS-147</x:v>
      </x:c>
      <x:c r="E399" s="10" t="n">
        <x:v>18.95</x:v>
      </x:c>
      <x:c r="F399" s="10" t="n">
        <x:v>1.89</x:v>
      </x:c>
      <x:c r="G399" s="10" t="n">
        <x:v>0</x:v>
      </x:c>
      <x:c r="H399" s="10" t="n">
        <x:v>17.06</x:v>
      </x:c>
      <x:c r="I399" s="10" t="n">
        <x:v>6.5</x:v>
      </x:c>
      <x:c r="J399" s="10" t="n">
        <x:v>10.56</x:v>
      </x:c>
      <x:c r="K399" s="2" t="n">
        <x:v>1</x:v>
      </x:c>
      <x:c r="L399" s="2" t="n">
        <x:v>0</x:v>
      </x:c>
    </x:row>
    <x:row r="400" ht="20" customHeight="1">
      <x:c r="A400" s="9" t="n">
        <x:v>46284</x:v>
      </x:c>
      <x:c r="B400" s="2" t="str">
        <x:v>MM-1418</x:v>
      </x:c>
      <x:c r="C400" s="2" t="str">
        <x:v>Direct</x:v>
      </x:c>
      <x:c r="D400" s="2" t="str">
        <x:v>CUS-046</x:v>
      </x:c>
      <x:c r="E400" s="10" t="n">
        <x:v>139.9</x:v>
      </x:c>
      <x:c r="F400" s="10" t="n">
        <x:v>13.99</x:v>
      </x:c>
      <x:c r="G400" s="10" t="n">
        <x:v>0</x:v>
      </x:c>
      <x:c r="H400" s="10" t="n">
        <x:v>125.91</x:v>
      </x:c>
      <x:c r="I400" s="10" t="n">
        <x:v>56</x:v>
      </x:c>
      <x:c r="J400" s="10" t="n">
        <x:v>69.91</x:v>
      </x:c>
      <x:c r="K400" s="2" t="n">
        <x:v>2</x:v>
      </x:c>
      <x:c r="L400" s="2" t="n">
        <x:v>0</x:v>
      </x:c>
    </x:row>
    <x:row r="401" ht="20" customHeight="1">
      <x:c r="A401" s="9" t="n">
        <x:v>46284</x:v>
      </x:c>
      <x:c r="B401" s="2" t="str">
        <x:v>MM-1402</x:v>
      </x:c>
      <x:c r="C401" s="2" t="str">
        <x:v>Email</x:v>
      </x:c>
      <x:c r="D401" s="2" t="str">
        <x:v>CUS-104</x:v>
      </x:c>
      <x:c r="E401" s="10" t="n">
        <x:v>92.9</x:v>
      </x:c>
      <x:c r="F401" s="10" t="n">
        <x:v>9.28</x:v>
      </x:c>
      <x:c r="G401" s="10" t="n">
        <x:v>0</x:v>
      </x:c>
      <x:c r="H401" s="10" t="n">
        <x:v>83.62</x:v>
      </x:c>
      <x:c r="I401" s="10" t="n">
        <x:v>36.5</x:v>
      </x:c>
      <x:c r="J401" s="10" t="n">
        <x:v>47.12</x:v>
      </x:c>
      <x:c r="K401" s="2" t="n">
        <x:v>2</x:v>
      </x:c>
      <x:c r="L401" s="2" t="n">
        <x:v>0</x:v>
      </x:c>
    </x:row>
    <x:row r="402" ht="20" customHeight="1">
      <x:c r="A402" s="9" t="n">
        <x:v>46284</x:v>
      </x:c>
      <x:c r="B402" s="2" t="str">
        <x:v>MM-1410</x:v>
      </x:c>
      <x:c r="C402" s="2" t="str">
        <x:v>Organic Search</x:v>
      </x:c>
      <x:c r="D402" s="2" t="str">
        <x:v>CUS-007</x:v>
      </x:c>
      <x:c r="E402" s="10" t="n">
        <x:v>39.9</x:v>
      </x:c>
      <x:c r="F402" s="10" t="n">
        <x:v>0</x:v>
      </x:c>
      <x:c r="G402" s="10" t="n">
        <x:v>0</x:v>
      </x:c>
      <x:c r="H402" s="10" t="n">
        <x:v>39.9</x:v>
      </x:c>
      <x:c r="I402" s="10" t="n">
        <x:v>12</x:v>
      </x:c>
      <x:c r="J402" s="10" t="n">
        <x:v>27.9</x:v>
      </x:c>
      <x:c r="K402" s="2" t="n">
        <x:v>2</x:v>
      </x:c>
      <x:c r="L402" s="2" t="n">
        <x:v>0</x:v>
      </x:c>
    </x:row>
    <x:row r="403" ht="20" customHeight="1">
      <x:c r="A403" s="9" t="n">
        <x:v>46284</x:v>
      </x:c>
      <x:c r="B403" s="2" t="str">
        <x:v>MM-1414</x:v>
      </x:c>
      <x:c r="C403" s="2" t="str">
        <x:v>Direct</x:v>
      </x:c>
      <x:c r="D403" s="2" t="str">
        <x:v>CUS-005</x:v>
      </x:c>
      <x:c r="E403" s="10" t="n">
        <x:v>88.85</x:v>
      </x:c>
      <x:c r="F403" s="10" t="n">
        <x:v>0</x:v>
      </x:c>
      <x:c r="G403" s="10" t="n">
        <x:v>0</x:v>
      </x:c>
      <x:c r="H403" s="10" t="n">
        <x:v>88.85</x:v>
      </x:c>
      <x:c r="I403" s="10" t="n">
        <x:v>33</x:v>
      </x:c>
      <x:c r="J403" s="10" t="n">
        <x:v>55.85</x:v>
      </x:c>
      <x:c r="K403" s="2" t="n">
        <x:v>3</x:v>
      </x:c>
      <x:c r="L403" s="2" t="n">
        <x:v>0</x:v>
      </x:c>
    </x:row>
    <x:row r="404" ht="20" customHeight="1">
      <x:c r="A404" s="9" t="n">
        <x:v>46285</x:v>
      </x:c>
      <x:c r="B404" s="2" t="str">
        <x:v>MM-1424</x:v>
      </x:c>
      <x:c r="C404" s="2" t="str">
        <x:v>Organic Search</x:v>
      </x:c>
      <x:c r="D404" s="2" t="str">
        <x:v>CUS-036</x:v>
      </x:c>
      <x:c r="E404" s="10" t="n">
        <x:v>9.95</x:v>
      </x:c>
      <x:c r="F404" s="10" t="n">
        <x:v>0</x:v>
      </x:c>
      <x:c r="G404" s="10" t="n">
        <x:v>0</x:v>
      </x:c>
      <x:c r="H404" s="10" t="n">
        <x:v>9.95</x:v>
      </x:c>
      <x:c r="I404" s="10" t="n">
        <x:v>2.5</x:v>
      </x:c>
      <x:c r="J404" s="10" t="n">
        <x:v>7.45</x:v>
      </x:c>
      <x:c r="K404" s="2" t="n">
        <x:v>1</x:v>
      </x:c>
      <x:c r="L404" s="2" t="n">
        <x:v>0</x:v>
      </x:c>
    </x:row>
    <x:row r="405" ht="20" customHeight="1">
      <x:c r="A405" s="9" t="n">
        <x:v>46285</x:v>
      </x:c>
      <x:c r="B405" s="2" t="str">
        <x:v>MM-1427</x:v>
      </x:c>
      <x:c r="C405" s="2" t="str">
        <x:v>Paid Social</x:v>
      </x:c>
      <x:c r="D405" s="2" t="str">
        <x:v>CUS-017</x:v>
      </x:c>
      <x:c r="E405" s="10" t="n">
        <x:v>22.95</x:v>
      </x:c>
      <x:c r="F405" s="10" t="n">
        <x:v>0</x:v>
      </x:c>
      <x:c r="G405" s="10" t="n">
        <x:v>22.95</x:v>
      </x:c>
      <x:c r="H405" s="10" t="n">
        <x:v>0</x:v>
      </x:c>
      <x:c r="I405" s="10" t="n">
        <x:v>0</x:v>
      </x:c>
      <x:c r="J405" s="10" t="n">
        <x:v>0</x:v>
      </x:c>
      <x:c r="K405" s="2" t="n">
        <x:v>1</x:v>
      </x:c>
      <x:c r="L405" s="2" t="n">
        <x:v>1</x:v>
      </x:c>
    </x:row>
    <x:row r="406" ht="20" customHeight="1">
      <x:c r="A406" s="9" t="n">
        <x:v>46285</x:v>
      </x:c>
      <x:c r="B406" s="2" t="str">
        <x:v>MM-1422</x:v>
      </x:c>
      <x:c r="C406" s="2" t="str">
        <x:v>Organic Search</x:v>
      </x:c>
      <x:c r="D406" s="2" t="str">
        <x:v>CUS-128</x:v>
      </x:c>
      <x:c r="E406" s="10" t="n">
        <x:v>34.95</x:v>
      </x:c>
      <x:c r="F406" s="10" t="n">
        <x:v>0</x:v>
      </x:c>
      <x:c r="G406" s="10" t="n">
        <x:v>0</x:v>
      </x:c>
      <x:c r="H406" s="10" t="n">
        <x:v>34.95</x:v>
      </x:c>
      <x:c r="I406" s="10" t="n">
        <x:v>13.5</x:v>
      </x:c>
      <x:c r="J406" s="10" t="n">
        <x:v>21.45</x:v>
      </x:c>
      <x:c r="K406" s="2" t="n">
        <x:v>1</x:v>
      </x:c>
      <x:c r="L406" s="2" t="n">
        <x:v>0</x:v>
      </x:c>
    </x:row>
    <x:row r="407" ht="20" customHeight="1">
      <x:c r="A407" s="9" t="n">
        <x:v>46285</x:v>
      </x:c>
      <x:c r="B407" s="2" t="str">
        <x:v>MM-1429</x:v>
      </x:c>
      <x:c r="C407" s="2" t="str">
        <x:v>Paid Social</x:v>
      </x:c>
      <x:c r="D407" s="2" t="str">
        <x:v>CUS-063</x:v>
      </x:c>
      <x:c r="E407" s="10" t="n">
        <x:v>34.95</x:v>
      </x:c>
      <x:c r="F407" s="10" t="n">
        <x:v>3.49</x:v>
      </x:c>
      <x:c r="G407" s="10" t="n">
        <x:v>0</x:v>
      </x:c>
      <x:c r="H407" s="10" t="n">
        <x:v>31.46</x:v>
      </x:c>
      <x:c r="I407" s="10" t="n">
        <x:v>13.5</x:v>
      </x:c>
      <x:c r="J407" s="10" t="n">
        <x:v>17.96</x:v>
      </x:c>
      <x:c r="K407" s="2" t="n">
        <x:v>1</x:v>
      </x:c>
      <x:c r="L407" s="2" t="n">
        <x:v>0</x:v>
      </x:c>
    </x:row>
    <x:row r="408" ht="20" customHeight="1">
      <x:c r="A408" s="9" t="n">
        <x:v>46285</x:v>
      </x:c>
      <x:c r="B408" s="2" t="str">
        <x:v>MM-1421</x:v>
      </x:c>
      <x:c r="C408" s="2" t="str">
        <x:v>Email</x:v>
      </x:c>
      <x:c r="D408" s="2" t="str">
        <x:v>CUS-064</x:v>
      </x:c>
      <x:c r="E408" s="10" t="n">
        <x:v>169.75</x:v>
      </x:c>
      <x:c r="F408" s="10" t="n">
        <x:v>16.96</x:v>
      </x:c>
      <x:c r="G408" s="10" t="n">
        <x:v>0</x:v>
      </x:c>
      <x:c r="H408" s="10" t="n">
        <x:v>152.79</x:v>
      </x:c>
      <x:c r="I408" s="10" t="n">
        <x:v>63.5</x:v>
      </x:c>
      <x:c r="J408" s="10" t="n">
        <x:v>89.29</x:v>
      </x:c>
      <x:c r="K408" s="2" t="n">
        <x:v>5</x:v>
      </x:c>
      <x:c r="L408" s="2" t="n">
        <x:v>0</x:v>
      </x:c>
    </x:row>
    <x:row r="409" ht="20" customHeight="1">
      <x:c r="A409" s="9" t="n">
        <x:v>46285</x:v>
      </x:c>
      <x:c r="B409" s="2" t="str">
        <x:v>MM-1425</x:v>
      </x:c>
      <x:c r="C409" s="2" t="str">
        <x:v>Paid Social</x:v>
      </x:c>
      <x:c r="D409" s="2" t="str">
        <x:v>CUS-158</x:v>
      </x:c>
      <x:c r="E409" s="10" t="n">
        <x:v>9.95</x:v>
      </x:c>
      <x:c r="F409" s="10" t="n">
        <x:v>0</x:v>
      </x:c>
      <x:c r="G409" s="10" t="n">
        <x:v>0</x:v>
      </x:c>
      <x:c r="H409" s="10" t="n">
        <x:v>9.95</x:v>
      </x:c>
      <x:c r="I409" s="10" t="n">
        <x:v>2.5</x:v>
      </x:c>
      <x:c r="J409" s="10" t="n">
        <x:v>7.45</x:v>
      </x:c>
      <x:c r="K409" s="2" t="n">
        <x:v>1</x:v>
      </x:c>
      <x:c r="L409" s="2" t="n">
        <x:v>0</x:v>
      </x:c>
    </x:row>
    <x:row r="410" ht="20" customHeight="1">
      <x:c r="A410" s="9" t="n">
        <x:v>46285</x:v>
      </x:c>
      <x:c r="B410" s="2" t="str">
        <x:v>MM-1430</x:v>
      </x:c>
      <x:c r="C410" s="2" t="str">
        <x:v>Email</x:v>
      </x:c>
      <x:c r="D410" s="2" t="str">
        <x:v>CUS-106</x:v>
      </x:c>
      <x:c r="E410" s="10" t="n">
        <x:v>282.75</x:v>
      </x:c>
      <x:c r="F410" s="10" t="n">
        <x:v>28.26</x:v>
      </x:c>
      <x:c r="G410" s="10" t="n">
        <x:v>0</x:v>
      </x:c>
      <x:c r="H410" s="10" t="n">
        <x:v>254.49</x:v>
      </x:c>
      <x:c r="I410" s="10" t="n">
        <x:v>110.5</x:v>
      </x:c>
      <x:c r="J410" s="10" t="n">
        <x:v>143.99</x:v>
      </x:c>
      <x:c r="K410" s="2" t="n">
        <x:v>5</x:v>
      </x:c>
      <x:c r="L410" s="2" t="n">
        <x:v>0</x:v>
      </x:c>
    </x:row>
    <x:row r="411" ht="20" customHeight="1">
      <x:c r="A411" s="9" t="n">
        <x:v>46285</x:v>
      </x:c>
      <x:c r="B411" s="2" t="str">
        <x:v>MM-1432</x:v>
      </x:c>
      <x:c r="C411" s="2" t="str">
        <x:v>Direct</x:v>
      </x:c>
      <x:c r="D411" s="2" t="str">
        <x:v>CUS-073</x:v>
      </x:c>
      <x:c r="E411" s="10" t="n">
        <x:v>262.8</x:v>
      </x:c>
      <x:c r="F411" s="10" t="n">
        <x:v>0</x:v>
      </x:c>
      <x:c r="G411" s="10" t="n">
        <x:v>0</x:v>
      </x:c>
      <x:c r="H411" s="10" t="n">
        <x:v>262.8</x:v>
      </x:c>
      <x:c r="I411" s="10" t="n">
        <x:v>104.5</x:v>
      </x:c>
      <x:c r="J411" s="10" t="n">
        <x:v>158.3</x:v>
      </x:c>
      <x:c r="K411" s="2" t="n">
        <x:v>4</x:v>
      </x:c>
      <x:c r="L411" s="2" t="n">
        <x:v>0</x:v>
      </x:c>
    </x:row>
    <x:row r="412" ht="20" customHeight="1">
      <x:c r="A412" s="9" t="n">
        <x:v>46285</x:v>
      </x:c>
      <x:c r="B412" s="2" t="str">
        <x:v>MM-1419</x:v>
      </x:c>
      <x:c r="C412" s="2" t="str">
        <x:v>Email</x:v>
      </x:c>
      <x:c r="D412" s="2" t="str">
        <x:v>CUS-166</x:v>
      </x:c>
      <x:c r="E412" s="10" t="n">
        <x:v>18.95</x:v>
      </x:c>
      <x:c r="F412" s="10" t="n">
        <x:v>1.89</x:v>
      </x:c>
      <x:c r="G412" s="10" t="n">
        <x:v>0</x:v>
      </x:c>
      <x:c r="H412" s="10" t="n">
        <x:v>17.06</x:v>
      </x:c>
      <x:c r="I412" s="10" t="n">
        <x:v>6.5</x:v>
      </x:c>
      <x:c r="J412" s="10" t="n">
        <x:v>10.56</x:v>
      </x:c>
      <x:c r="K412" s="2" t="n">
        <x:v>1</x:v>
      </x:c>
      <x:c r="L412" s="2" t="n">
        <x:v>0</x:v>
      </x:c>
    </x:row>
    <x:row r="413" ht="20" customHeight="1">
      <x:c r="A413" s="9" t="n">
        <x:v>46285</x:v>
      </x:c>
      <x:c r="B413" s="2" t="str">
        <x:v>MM-1431</x:v>
      </x:c>
      <x:c r="C413" s="2" t="str">
        <x:v>Paid Social</x:v>
      </x:c>
      <x:c r="D413" s="2" t="str">
        <x:v>CUS-128</x:v>
      </x:c>
      <x:c r="E413" s="10" t="n">
        <x:v>9.95</x:v>
      </x:c>
      <x:c r="F413" s="10" t="n">
        <x:v>0.99</x:v>
      </x:c>
      <x:c r="G413" s="10" t="n">
        <x:v>0</x:v>
      </x:c>
      <x:c r="H413" s="10" t="n">
        <x:v>8.96</x:v>
      </x:c>
      <x:c r="I413" s="10" t="n">
        <x:v>2.5</x:v>
      </x:c>
      <x:c r="J413" s="10" t="n">
        <x:v>6.46</x:v>
      </x:c>
      <x:c r="K413" s="2" t="n">
        <x:v>1</x:v>
      </x:c>
      <x:c r="L413" s="2" t="n">
        <x:v>0</x:v>
      </x:c>
    </x:row>
    <x:row r="414" ht="20" customHeight="1">
      <x:c r="A414" s="9" t="n">
        <x:v>46285</x:v>
      </x:c>
      <x:c r="B414" s="2" t="str">
        <x:v>MM-1435</x:v>
      </x:c>
      <x:c r="C414" s="2" t="str">
        <x:v>Paid Social</x:v>
      </x:c>
      <x:c r="D414" s="2" t="str">
        <x:v>CUS-044</x:v>
      </x:c>
      <x:c r="E414" s="10" t="n">
        <x:v>69.95</x:v>
      </x:c>
      <x:c r="F414" s="10" t="n">
        <x:v>0</x:v>
      </x:c>
      <x:c r="G414" s="10" t="n">
        <x:v>0</x:v>
      </x:c>
      <x:c r="H414" s="10" t="n">
        <x:v>69.95</x:v>
      </x:c>
      <x:c r="I414" s="10" t="n">
        <x:v>28</x:v>
      </x:c>
      <x:c r="J414" s="10" t="n">
        <x:v>41.95</x:v>
      </x:c>
      <x:c r="K414" s="2" t="n">
        <x:v>1</x:v>
      </x:c>
      <x:c r="L414" s="2" t="n">
        <x:v>0</x:v>
      </x:c>
    </x:row>
    <x:row r="415" ht="20" customHeight="1">
      <x:c r="A415" s="9" t="n">
        <x:v>46285</x:v>
      </x:c>
      <x:c r="B415" s="2" t="str">
        <x:v>MM-1433</x:v>
      </x:c>
      <x:c r="C415" s="2" t="str">
        <x:v>Email</x:v>
      </x:c>
      <x:c r="D415" s="2" t="str">
        <x:v>CUS-017</x:v>
      </x:c>
      <x:c r="E415" s="10" t="n">
        <x:v>149.9</x:v>
      </x:c>
      <x:c r="F415" s="10" t="n">
        <x:v>14.98</x:v>
      </x:c>
      <x:c r="G415" s="10" t="n">
        <x:v>0</x:v>
      </x:c>
      <x:c r="H415" s="10" t="n">
        <x:v>134.92</x:v>
      </x:c>
      <x:c r="I415" s="10" t="n">
        <x:v>60</x:v>
      </x:c>
      <x:c r="J415" s="10" t="n">
        <x:v>74.92</x:v>
      </x:c>
      <x:c r="K415" s="2" t="n">
        <x:v>2</x:v>
      </x:c>
      <x:c r="L415" s="2" t="n">
        <x:v>0</x:v>
      </x:c>
    </x:row>
    <x:row r="416" ht="20" customHeight="1">
      <x:c r="A416" s="9" t="n">
        <x:v>46285</x:v>
      </x:c>
      <x:c r="B416" s="2" t="str">
        <x:v>MM-1436</x:v>
      </x:c>
      <x:c r="C416" s="2" t="str">
        <x:v>Direct</x:v>
      </x:c>
      <x:c r="D416" s="2" t="str">
        <x:v>CUS-032</x:v>
      </x:c>
      <x:c r="E416" s="10" t="n">
        <x:v>49.9</x:v>
      </x:c>
      <x:c r="F416" s="10" t="n">
        <x:v>0</x:v>
      </x:c>
      <x:c r="G416" s="10" t="n">
        <x:v>24.95</x:v>
      </x:c>
      <x:c r="H416" s="10" t="n">
        <x:v>24.95</x:v>
      </x:c>
      <x:c r="I416" s="10" t="n">
        <x:v>9</x:v>
      </x:c>
      <x:c r="J416" s="10" t="n">
        <x:v>15.95</x:v>
      </x:c>
      <x:c r="K416" s="2" t="n">
        <x:v>2</x:v>
      </x:c>
      <x:c r="L416" s="2" t="n">
        <x:v>1</x:v>
      </x:c>
    </x:row>
    <x:row r="417" ht="20" customHeight="1">
      <x:c r="A417" s="9" t="n">
        <x:v>46285</x:v>
      </x:c>
      <x:c r="B417" s="2" t="str">
        <x:v>MM-1426</x:v>
      </x:c>
      <x:c r="C417" s="2" t="str">
        <x:v>Organic Search</x:v>
      </x:c>
      <x:c r="D417" s="2" t="str">
        <x:v>CUS-006</x:v>
      </x:c>
      <x:c r="E417" s="10" t="n">
        <x:v>117.85</x:v>
      </x:c>
      <x:c r="F417" s="10" t="n">
        <x:v>0</x:v>
      </x:c>
      <x:c r="G417" s="10" t="n">
        <x:v>0</x:v>
      </x:c>
      <x:c r="H417" s="10" t="n">
        <x:v>117.85</x:v>
      </x:c>
      <x:c r="I417" s="10" t="n">
        <x:v>46</x:v>
      </x:c>
      <x:c r="J417" s="10" t="n">
        <x:v>71.85</x:v>
      </x:c>
      <x:c r="K417" s="2" t="n">
        <x:v>3</x:v>
      </x:c>
      <x:c r="L417" s="2" t="n">
        <x:v>0</x:v>
      </x:c>
    </x:row>
    <x:row r="418" ht="20" customHeight="1">
      <x:c r="A418" s="9" t="n">
        <x:v>46285</x:v>
      </x:c>
      <x:c r="B418" s="2" t="str">
        <x:v>MM-1428</x:v>
      </x:c>
      <x:c r="C418" s="2" t="str">
        <x:v>Paid Social</x:v>
      </x:c>
      <x:c r="D418" s="2" t="str">
        <x:v>CUS-129</x:v>
      </x:c>
      <x:c r="E418" s="10" t="n">
        <x:v>54.95</x:v>
      </x:c>
      <x:c r="F418" s="10" t="n">
        <x:v>0</x:v>
      </x:c>
      <x:c r="G418" s="10" t="n">
        <x:v>0</x:v>
      </x:c>
      <x:c r="H418" s="10" t="n">
        <x:v>54.95</x:v>
      </x:c>
      <x:c r="I418" s="10" t="n">
        <x:v>22</x:v>
      </x:c>
      <x:c r="J418" s="10" t="n">
        <x:v>32.95</x:v>
      </x:c>
      <x:c r="K418" s="2" t="n">
        <x:v>1</x:v>
      </x:c>
      <x:c r="L418" s="2" t="n">
        <x:v>0</x:v>
      </x:c>
    </x:row>
    <x:row r="419" ht="20" customHeight="1">
      <x:c r="A419" s="9" t="n">
        <x:v>46285</x:v>
      </x:c>
      <x:c r="B419" s="2" t="str">
        <x:v>MM-1434</x:v>
      </x:c>
      <x:c r="C419" s="2" t="str">
        <x:v>Organic Search</x:v>
      </x:c>
      <x:c r="D419" s="2" t="str">
        <x:v>CUS-151</x:v>
      </x:c>
      <x:c r="E419" s="10" t="n">
        <x:v>32.95</x:v>
      </x:c>
      <x:c r="F419" s="10" t="n">
        <x:v>0</x:v>
      </x:c>
      <x:c r="G419" s="10" t="n">
        <x:v>0</x:v>
      </x:c>
      <x:c r="H419" s="10" t="n">
        <x:v>32.95</x:v>
      </x:c>
      <x:c r="I419" s="10" t="n">
        <x:v>12</x:v>
      </x:c>
      <x:c r="J419" s="10" t="n">
        <x:v>20.95</x:v>
      </x:c>
      <x:c r="K419" s="2" t="n">
        <x:v>1</x:v>
      </x:c>
      <x:c r="L419" s="2" t="n">
        <x:v>0</x:v>
      </x:c>
    </x:row>
    <x:row r="420" ht="20" customHeight="1">
      <x:c r="A420" s="9" t="n">
        <x:v>46285</x:v>
      </x:c>
      <x:c r="B420" s="2" t="str">
        <x:v>MM-1437</x:v>
      </x:c>
      <x:c r="C420" s="2" t="str">
        <x:v>Paid Social</x:v>
      </x:c>
      <x:c r="D420" s="2" t="str">
        <x:v>CUS-047</x:v>
      </x:c>
      <x:c r="E420" s="10" t="n">
        <x:v>54.95</x:v>
      </x:c>
      <x:c r="F420" s="10" t="n">
        <x:v>0</x:v>
      </x:c>
      <x:c r="G420" s="10" t="n">
        <x:v>0</x:v>
      </x:c>
      <x:c r="H420" s="10" t="n">
        <x:v>54.95</x:v>
      </x:c>
      <x:c r="I420" s="10" t="n">
        <x:v>22</x:v>
      </x:c>
      <x:c r="J420" s="10" t="n">
        <x:v>32.95</x:v>
      </x:c>
      <x:c r="K420" s="2" t="n">
        <x:v>1</x:v>
      </x:c>
      <x:c r="L420" s="2" t="n">
        <x:v>0</x:v>
      </x:c>
    </x:row>
    <x:row r="421" ht="20" customHeight="1">
      <x:c r="A421" s="9" t="n">
        <x:v>46285</x:v>
      </x:c>
      <x:c r="B421" s="2" t="str">
        <x:v>MM-1420</x:v>
      </x:c>
      <x:c r="C421" s="2" t="str">
        <x:v>Organic Search</x:v>
      </x:c>
      <x:c r="D421" s="2" t="str">
        <x:v>CUS-066</x:v>
      </x:c>
      <x:c r="E421" s="10" t="n">
        <x:v>189.8</x:v>
      </x:c>
      <x:c r="F421" s="10" t="n">
        <x:v>0</x:v>
      </x:c>
      <x:c r="G421" s="10" t="n">
        <x:v>0</x:v>
      </x:c>
      <x:c r="H421" s="10" t="n">
        <x:v>189.8</x:v>
      </x:c>
      <x:c r="I421" s="10" t="n">
        <x:v>73</x:v>
      </x:c>
      <x:c r="J421" s="10" t="n">
        <x:v>116.8</x:v>
      </x:c>
      <x:c r="K421" s="2" t="n">
        <x:v>4</x:v>
      </x:c>
      <x:c r="L421" s="2" t="n">
        <x:v>0</x:v>
      </x:c>
    </x:row>
    <x:row r="422" ht="20" customHeight="1">
      <x:c r="A422" s="9" t="n">
        <x:v>46286</x:v>
      </x:c>
      <x:c r="B422" s="2" t="str">
        <x:v>MM-1441</x:v>
      </x:c>
      <x:c r="C422" s="2" t="str">
        <x:v>Organic Search</x:v>
      </x:c>
      <x:c r="D422" s="2" t="str">
        <x:v>CUS-080</x:v>
      </x:c>
      <x:c r="E422" s="10" t="n">
        <x:v>9.95</x:v>
      </x:c>
      <x:c r="F422" s="10" t="n">
        <x:v>0</x:v>
      </x:c>
      <x:c r="G422" s="10" t="n">
        <x:v>0</x:v>
      </x:c>
      <x:c r="H422" s="10" t="n">
        <x:v>9.95</x:v>
      </x:c>
      <x:c r="I422" s="10" t="n">
        <x:v>2.5</x:v>
      </x:c>
      <x:c r="J422" s="10" t="n">
        <x:v>7.45</x:v>
      </x:c>
      <x:c r="K422" s="2" t="n">
        <x:v>1</x:v>
      </x:c>
      <x:c r="L422" s="2" t="n">
        <x:v>0</x:v>
      </x:c>
    </x:row>
    <x:row r="423" ht="20" customHeight="1">
      <x:c r="A423" s="9" t="n">
        <x:v>46286</x:v>
      </x:c>
      <x:c r="B423" s="2" t="str">
        <x:v>MM-1442</x:v>
      </x:c>
      <x:c r="C423" s="2" t="str">
        <x:v>Direct</x:v>
      </x:c>
      <x:c r="D423" s="2" t="str">
        <x:v>CUS-041</x:v>
      </x:c>
      <x:c r="E423" s="10" t="n">
        <x:v>12.95</x:v>
      </x:c>
      <x:c r="F423" s="10" t="n">
        <x:v>0</x:v>
      </x:c>
      <x:c r="G423" s="10" t="n">
        <x:v>0</x:v>
      </x:c>
      <x:c r="H423" s="10" t="n">
        <x:v>12.95</x:v>
      </x:c>
      <x:c r="I423" s="10" t="n">
        <x:v>3.5</x:v>
      </x:c>
      <x:c r="J423" s="10" t="n">
        <x:v>9.45</x:v>
      </x:c>
      <x:c r="K423" s="2" t="n">
        <x:v>1</x:v>
      </x:c>
      <x:c r="L423" s="2" t="n">
        <x:v>0</x:v>
      </x:c>
    </x:row>
    <x:row r="424" ht="20" customHeight="1">
      <x:c r="A424" s="9" t="n">
        <x:v>46286</x:v>
      </x:c>
      <x:c r="B424" s="2" t="str">
        <x:v>MM-1450</x:v>
      </x:c>
      <x:c r="C424" s="2" t="str">
        <x:v>Organic Search</x:v>
      </x:c>
      <x:c r="D424" s="2" t="str">
        <x:v>CUS-132</x:v>
      </x:c>
      <x:c r="E424" s="10" t="n">
        <x:v>25.9</x:v>
      </x:c>
      <x:c r="F424" s="10" t="n">
        <x:v>0</x:v>
      </x:c>
      <x:c r="G424" s="10" t="n">
        <x:v>0</x:v>
      </x:c>
      <x:c r="H424" s="10" t="n">
        <x:v>25.9</x:v>
      </x:c>
      <x:c r="I424" s="10" t="n">
        <x:v>7</x:v>
      </x:c>
      <x:c r="J424" s="10" t="n">
        <x:v>18.9</x:v>
      </x:c>
      <x:c r="K424" s="2" t="n">
        <x:v>2</x:v>
      </x:c>
      <x:c r="L424" s="2" t="n">
        <x:v>0</x:v>
      </x:c>
    </x:row>
    <x:row r="425" ht="20" customHeight="1">
      <x:c r="A425" s="9" t="n">
        <x:v>46286</x:v>
      </x:c>
      <x:c r="B425" s="2" t="str">
        <x:v>MM-1449</x:v>
      </x:c>
      <x:c r="C425" s="2" t="str">
        <x:v>Organic Search</x:v>
      </x:c>
      <x:c r="D425" s="2" t="str">
        <x:v>CUS-041</x:v>
      </x:c>
      <x:c r="E425" s="10" t="n">
        <x:v>32.95</x:v>
      </x:c>
      <x:c r="F425" s="10" t="n">
        <x:v>0</x:v>
      </x:c>
      <x:c r="G425" s="10" t="n">
        <x:v>32.95</x:v>
      </x:c>
      <x:c r="H425" s="10" t="n">
        <x:v>0</x:v>
      </x:c>
      <x:c r="I425" s="10" t="n">
        <x:v>0</x:v>
      </x:c>
      <x:c r="J425" s="10" t="n">
        <x:v>0</x:v>
      </x:c>
      <x:c r="K425" s="2" t="n">
        <x:v>1</x:v>
      </x:c>
      <x:c r="L425" s="2" t="n">
        <x:v>1</x:v>
      </x:c>
    </x:row>
    <x:row r="426" ht="20" customHeight="1">
      <x:c r="A426" s="9" t="n">
        <x:v>46286</x:v>
      </x:c>
      <x:c r="B426" s="2" t="str">
        <x:v>MM-1455</x:v>
      </x:c>
      <x:c r="C426" s="2" t="str">
        <x:v>Email</x:v>
      </x:c>
      <x:c r="D426" s="2" t="str">
        <x:v>CUS-068</x:v>
      </x:c>
      <x:c r="E426" s="10" t="n">
        <x:v>59.85</x:v>
      </x:c>
      <x:c r="F426" s="10" t="n">
        <x:v>5.97</x:v>
      </x:c>
      <x:c r="G426" s="10" t="n">
        <x:v>0</x:v>
      </x:c>
      <x:c r="H426" s="10" t="n">
        <x:v>53.88</x:v>
      </x:c>
      <x:c r="I426" s="10" t="n">
        <x:v>18.5</x:v>
      </x:c>
      <x:c r="J426" s="10" t="n">
        <x:v>35.38</x:v>
      </x:c>
      <x:c r="K426" s="2" t="n">
        <x:v>3</x:v>
      </x:c>
      <x:c r="L426" s="2" t="n">
        <x:v>0</x:v>
      </x:c>
    </x:row>
    <x:row r="427" ht="20" customHeight="1">
      <x:c r="A427" s="9" t="n">
        <x:v>46286</x:v>
      </x:c>
      <x:c r="B427" s="2" t="str">
        <x:v>MM-1456</x:v>
      </x:c>
      <x:c r="C427" s="2" t="str">
        <x:v>Paid Social</x:v>
      </x:c>
      <x:c r="D427" s="2" t="str">
        <x:v>CUS-152</x:v>
      </x:c>
      <x:c r="E427" s="10" t="n">
        <x:v>187.8</x:v>
      </x:c>
      <x:c r="F427" s="10" t="n">
        <x:v>0</x:v>
      </x:c>
      <x:c r="G427" s="10" t="n">
        <x:v>0</x:v>
      </x:c>
      <x:c r="H427" s="10" t="n">
        <x:v>187.8</x:v>
      </x:c>
      <x:c r="I427" s="10" t="n">
        <x:v>74.5</x:v>
      </x:c>
      <x:c r="J427" s="10" t="n">
        <x:v>113.3</x:v>
      </x:c>
      <x:c r="K427" s="2" t="n">
        <x:v>4</x:v>
      </x:c>
      <x:c r="L427" s="2" t="n">
        <x:v>0</x:v>
      </x:c>
    </x:row>
    <x:row r="428" ht="20" customHeight="1">
      <x:c r="A428" s="9" t="n">
        <x:v>46286</x:v>
      </x:c>
      <x:c r="B428" s="2" t="str">
        <x:v>MM-1446</x:v>
      </x:c>
      <x:c r="C428" s="2" t="str">
        <x:v>Organic Search</x:v>
      </x:c>
      <x:c r="D428" s="2" t="str">
        <x:v>CUS-108</x:v>
      </x:c>
      <x:c r="E428" s="10" t="n">
        <x:v>242.7</x:v>
      </x:c>
      <x:c r="F428" s="10" t="n">
        <x:v>0</x:v>
      </x:c>
      <x:c r="G428" s="10" t="n">
        <x:v>0</x:v>
      </x:c>
      <x:c r="H428" s="10" t="n">
        <x:v>242.7</x:v>
      </x:c>
      <x:c r="I428" s="10" t="n">
        <x:v>90.5</x:v>
      </x:c>
      <x:c r="J428" s="10" t="n">
        <x:v>152.2</x:v>
      </x:c>
      <x:c r="K428" s="2" t="n">
        <x:v>6</x:v>
      </x:c>
      <x:c r="L428" s="2" t="n">
        <x:v>0</x:v>
      </x:c>
    </x:row>
    <x:row r="429" ht="20" customHeight="1">
      <x:c r="A429" s="9" t="n">
        <x:v>46286</x:v>
      </x:c>
      <x:c r="B429" s="2" t="str">
        <x:v>MM-1451</x:v>
      </x:c>
      <x:c r="C429" s="2" t="str">
        <x:v>Organic Search</x:v>
      </x:c>
      <x:c r="D429" s="2" t="str">
        <x:v>CUS-114</x:v>
      </x:c>
      <x:c r="E429" s="10" t="n">
        <x:v>19.95</x:v>
      </x:c>
      <x:c r="F429" s="10" t="n">
        <x:v>1.99</x:v>
      </x:c>
      <x:c r="G429" s="10" t="n">
        <x:v>0</x:v>
      </x:c>
      <x:c r="H429" s="10" t="n">
        <x:v>17.96</x:v>
      </x:c>
      <x:c r="I429" s="10" t="n">
        <x:v>6</x:v>
      </x:c>
      <x:c r="J429" s="10" t="n">
        <x:v>11.96</x:v>
      </x:c>
      <x:c r="K429" s="2" t="n">
        <x:v>1</x:v>
      </x:c>
      <x:c r="L429" s="2" t="n">
        <x:v>0</x:v>
      </x:c>
    </x:row>
    <x:row r="430" ht="20" customHeight="1">
      <x:c r="A430" s="9" t="n">
        <x:v>46286</x:v>
      </x:c>
      <x:c r="B430" s="2" t="str">
        <x:v>MM-1460</x:v>
      </x:c>
      <x:c r="C430" s="2" t="str">
        <x:v>Email</x:v>
      </x:c>
      <x:c r="D430" s="2" t="str">
        <x:v>CUS-136</x:v>
      </x:c>
      <x:c r="E430" s="10" t="n">
        <x:v>24.95</x:v>
      </x:c>
      <x:c r="F430" s="10" t="n">
        <x:v>2.49</x:v>
      </x:c>
      <x:c r="G430" s="10" t="n">
        <x:v>0</x:v>
      </x:c>
      <x:c r="H430" s="10" t="n">
        <x:v>22.46</x:v>
      </x:c>
      <x:c r="I430" s="10" t="n">
        <x:v>8.5</x:v>
      </x:c>
      <x:c r="J430" s="10" t="n">
        <x:v>13.96</x:v>
      </x:c>
      <x:c r="K430" s="2" t="n">
        <x:v>1</x:v>
      </x:c>
      <x:c r="L430" s="2" t="n">
        <x:v>0</x:v>
      </x:c>
    </x:row>
    <x:row r="431" ht="20" customHeight="1">
      <x:c r="A431" s="9" t="n">
        <x:v>46286</x:v>
      </x:c>
      <x:c r="B431" s="2" t="str">
        <x:v>MM-1440</x:v>
      </x:c>
      <x:c r="C431" s="2" t="str">
        <x:v>Organic Search</x:v>
      </x:c>
      <x:c r="D431" s="2" t="str">
        <x:v>CUS-040</x:v>
      </x:c>
      <x:c r="E431" s="10" t="n">
        <x:v>24.95</x:v>
      </x:c>
      <x:c r="F431" s="10" t="n">
        <x:v>0</x:v>
      </x:c>
      <x:c r="G431" s="10" t="n">
        <x:v>0</x:v>
      </x:c>
      <x:c r="H431" s="10" t="n">
        <x:v>24.95</x:v>
      </x:c>
      <x:c r="I431" s="10" t="n">
        <x:v>8.5</x:v>
      </x:c>
      <x:c r="J431" s="10" t="n">
        <x:v>16.45</x:v>
      </x:c>
      <x:c r="K431" s="2" t="n">
        <x:v>1</x:v>
      </x:c>
      <x:c r="L431" s="2" t="n">
        <x:v>0</x:v>
      </x:c>
    </x:row>
    <x:row r="432" ht="20" customHeight="1">
      <x:c r="A432" s="9" t="n">
        <x:v>46286</x:v>
      </x:c>
      <x:c r="B432" s="2" t="str">
        <x:v>MM-1459</x:v>
      </x:c>
      <x:c r="C432" s="2" t="str">
        <x:v>Paid Social</x:v>
      </x:c>
      <x:c r="D432" s="2" t="str">
        <x:v>CUS-158</x:v>
      </x:c>
      <x:c r="E432" s="10" t="n">
        <x:v>22.95</x:v>
      </x:c>
      <x:c r="F432" s="10" t="n">
        <x:v>0</x:v>
      </x:c>
      <x:c r="G432" s="10" t="n">
        <x:v>22.95</x:v>
      </x:c>
      <x:c r="H432" s="10" t="n">
        <x:v>0</x:v>
      </x:c>
      <x:c r="I432" s="10" t="n">
        <x:v>0</x:v>
      </x:c>
      <x:c r="J432" s="10" t="n">
        <x:v>0</x:v>
      </x:c>
      <x:c r="K432" s="2" t="n">
        <x:v>1</x:v>
      </x:c>
      <x:c r="L432" s="2" t="n">
        <x:v>1</x:v>
      </x:c>
    </x:row>
    <x:row r="433" ht="20" customHeight="1">
      <x:c r="A433" s="9" t="n">
        <x:v>46286</x:v>
      </x:c>
      <x:c r="B433" s="2" t="str">
        <x:v>MM-1443</x:v>
      </x:c>
      <x:c r="C433" s="2" t="str">
        <x:v>Organic Search</x:v>
      </x:c>
      <x:c r="D433" s="2" t="str">
        <x:v>CUS-088</x:v>
      </x:c>
      <x:c r="E433" s="10" t="n">
        <x:v>34.95</x:v>
      </x:c>
      <x:c r="F433" s="10" t="n">
        <x:v>0</x:v>
      </x:c>
      <x:c r="G433" s="10" t="n">
        <x:v>0</x:v>
      </x:c>
      <x:c r="H433" s="10" t="n">
        <x:v>34.95</x:v>
      </x:c>
      <x:c r="I433" s="10" t="n">
        <x:v>13.5</x:v>
      </x:c>
      <x:c r="J433" s="10" t="n">
        <x:v>21.45</x:v>
      </x:c>
      <x:c r="K433" s="2" t="n">
        <x:v>1</x:v>
      </x:c>
      <x:c r="L433" s="2" t="n">
        <x:v>0</x:v>
      </x:c>
    </x:row>
    <x:row r="434" ht="20" customHeight="1">
      <x:c r="A434" s="9" t="n">
        <x:v>46286</x:v>
      </x:c>
      <x:c r="B434" s="2" t="str">
        <x:v>MM-1444</x:v>
      </x:c>
      <x:c r="C434" s="2" t="str">
        <x:v>Paid Social</x:v>
      </x:c>
      <x:c r="D434" s="2" t="str">
        <x:v>CUS-039</x:v>
      </x:c>
      <x:c r="E434" s="10" t="n">
        <x:v>124.9</x:v>
      </x:c>
      <x:c r="F434" s="10" t="n">
        <x:v>0</x:v>
      </x:c>
      <x:c r="G434" s="10" t="n">
        <x:v>0</x:v>
      </x:c>
      <x:c r="H434" s="10" t="n">
        <x:v>124.9</x:v>
      </x:c>
      <x:c r="I434" s="10" t="n">
        <x:v>50</x:v>
      </x:c>
      <x:c r="J434" s="10" t="n">
        <x:v>74.9</x:v>
      </x:c>
      <x:c r="K434" s="2" t="n">
        <x:v>2</x:v>
      </x:c>
      <x:c r="L434" s="2" t="n">
        <x:v>0</x:v>
      </x:c>
    </x:row>
    <x:row r="435" ht="20" customHeight="1">
      <x:c r="A435" s="9" t="n">
        <x:v>46286</x:v>
      </x:c>
      <x:c r="B435" s="2" t="str">
        <x:v>MM-1454</x:v>
      </x:c>
      <x:c r="C435" s="2" t="str">
        <x:v>Organic Search</x:v>
      </x:c>
      <x:c r="D435" s="2" t="str">
        <x:v>CUS-099</x:v>
      </x:c>
      <x:c r="E435" s="10" t="n">
        <x:v>134.9</x:v>
      </x:c>
      <x:c r="F435" s="10" t="n">
        <x:v>0</x:v>
      </x:c>
      <x:c r="G435" s="10" t="n">
        <x:v>0</x:v>
      </x:c>
      <x:c r="H435" s="10" t="n">
        <x:v>134.9</x:v>
      </x:c>
      <x:c r="I435" s="10" t="n">
        <x:v>54</x:v>
      </x:c>
      <x:c r="J435" s="10" t="n">
        <x:v>80.9</x:v>
      </x:c>
      <x:c r="K435" s="2" t="n">
        <x:v>2</x:v>
      </x:c>
      <x:c r="L435" s="2" t="n">
        <x:v>0</x:v>
      </x:c>
    </x:row>
    <x:row r="436" ht="20" customHeight="1">
      <x:c r="A436" s="9" t="n">
        <x:v>46286</x:v>
      </x:c>
      <x:c r="B436" s="2" t="str">
        <x:v>MM-1458</x:v>
      </x:c>
      <x:c r="C436" s="2" t="str">
        <x:v>Direct</x:v>
      </x:c>
      <x:c r="D436" s="2" t="str">
        <x:v>CUS-013</x:v>
      </x:c>
      <x:c r="E436" s="10" t="n">
        <x:v>59.95</x:v>
      </x:c>
      <x:c r="F436" s="10" t="n">
        <x:v>0</x:v>
      </x:c>
      <x:c r="G436" s="10" t="n">
        <x:v>0</x:v>
      </x:c>
      <x:c r="H436" s="10" t="n">
        <x:v>59.95</x:v>
      </x:c>
      <x:c r="I436" s="10" t="n">
        <x:v>24</x:v>
      </x:c>
      <x:c r="J436" s="10" t="n">
        <x:v>35.95</x:v>
      </x:c>
      <x:c r="K436" s="2" t="n">
        <x:v>1</x:v>
      </x:c>
      <x:c r="L436" s="2" t="n">
        <x:v>0</x:v>
      </x:c>
    </x:row>
    <x:row r="437" ht="20" customHeight="1">
      <x:c r="A437" s="9" t="n">
        <x:v>46286</x:v>
      </x:c>
      <x:c r="B437" s="2" t="str">
        <x:v>MM-1439</x:v>
      </x:c>
      <x:c r="C437" s="2" t="str">
        <x:v>Email</x:v>
      </x:c>
      <x:c r="D437" s="2" t="str">
        <x:v>CUS-170</x:v>
      </x:c>
      <x:c r="E437" s="10" t="n">
        <x:v>29.95</x:v>
      </x:c>
      <x:c r="F437" s="10" t="n">
        <x:v>2.99</x:v>
      </x:c>
      <x:c r="G437" s="10" t="n">
        <x:v>0</x:v>
      </x:c>
      <x:c r="H437" s="10" t="n">
        <x:v>26.96</x:v>
      </x:c>
      <x:c r="I437" s="10" t="n">
        <x:v>10</x:v>
      </x:c>
      <x:c r="J437" s="10" t="n">
        <x:v>16.96</x:v>
      </x:c>
      <x:c r="K437" s="2" t="n">
        <x:v>1</x:v>
      </x:c>
      <x:c r="L437" s="2" t="n">
        <x:v>0</x:v>
      </x:c>
    </x:row>
    <x:row r="438" ht="20" customHeight="1">
      <x:c r="A438" s="9" t="n">
        <x:v>46286</x:v>
      </x:c>
      <x:c r="B438" s="2" t="str">
        <x:v>MM-1447</x:v>
      </x:c>
      <x:c r="C438" s="2" t="str">
        <x:v>Email</x:v>
      </x:c>
      <x:c r="D438" s="2" t="str">
        <x:v>CUS-086</x:v>
      </x:c>
      <x:c r="E438" s="10" t="n">
        <x:v>59.9</x:v>
      </x:c>
      <x:c r="F438" s="10" t="n">
        <x:v>5.99</x:v>
      </x:c>
      <x:c r="G438" s="10" t="n">
        <x:v>0</x:v>
      </x:c>
      <x:c r="H438" s="10" t="n">
        <x:v>53.91</x:v>
      </x:c>
      <x:c r="I438" s="10" t="n">
        <x:v>20</x:v>
      </x:c>
      <x:c r="J438" s="10" t="n">
        <x:v>33.91</x:v>
      </x:c>
      <x:c r="K438" s="2" t="n">
        <x:v>2</x:v>
      </x:c>
      <x:c r="L438" s="2" t="n">
        <x:v>0</x:v>
      </x:c>
    </x:row>
    <x:row r="439" ht="20" customHeight="1">
      <x:c r="A439" s="9" t="n">
        <x:v>46286</x:v>
      </x:c>
      <x:c r="B439" s="2" t="str">
        <x:v>MM-1448</x:v>
      </x:c>
      <x:c r="C439" s="2" t="str">
        <x:v>Email</x:v>
      </x:c>
      <x:c r="D439" s="2" t="str">
        <x:v>CUS-123</x:v>
      </x:c>
      <x:c r="E439" s="10" t="n">
        <x:v>9.95</x:v>
      </x:c>
      <x:c r="F439" s="10" t="n">
        <x:v>0.99</x:v>
      </x:c>
      <x:c r="G439" s="10" t="n">
        <x:v>0</x:v>
      </x:c>
      <x:c r="H439" s="10" t="n">
        <x:v>8.96</x:v>
      </x:c>
      <x:c r="I439" s="10" t="n">
        <x:v>2.5</x:v>
      </x:c>
      <x:c r="J439" s="10" t="n">
        <x:v>6.46</x:v>
      </x:c>
      <x:c r="K439" s="2" t="n">
        <x:v>1</x:v>
      </x:c>
      <x:c r="L439" s="2" t="n">
        <x:v>0</x:v>
      </x:c>
    </x:row>
    <x:row r="440" ht="20" customHeight="1">
      <x:c r="A440" s="9" t="n">
        <x:v>46286</x:v>
      </x:c>
      <x:c r="B440" s="2" t="str">
        <x:v>MM-1438</x:v>
      </x:c>
      <x:c r="C440" s="2" t="str">
        <x:v>Paid Social</x:v>
      </x:c>
      <x:c r="D440" s="2" t="str">
        <x:v>CUS-085</x:v>
      </x:c>
      <x:c r="E440" s="10" t="n">
        <x:v>22.95</x:v>
      </x:c>
      <x:c r="F440" s="10" t="n">
        <x:v>0</x:v>
      </x:c>
      <x:c r="G440" s="10" t="n">
        <x:v>0</x:v>
      </x:c>
      <x:c r="H440" s="10" t="n">
        <x:v>22.95</x:v>
      </x:c>
      <x:c r="I440" s="10" t="n">
        <x:v>8.5</x:v>
      </x:c>
      <x:c r="J440" s="10" t="n">
        <x:v>14.45</x:v>
      </x:c>
      <x:c r="K440" s="2" t="n">
        <x:v>1</x:v>
      </x:c>
      <x:c r="L440" s="2" t="n">
        <x:v>0</x:v>
      </x:c>
    </x:row>
    <x:row r="441" ht="20" customHeight="1">
      <x:c r="A441" s="9" t="n">
        <x:v>46286</x:v>
      </x:c>
      <x:c r="B441" s="2" t="str">
        <x:v>MM-1453</x:v>
      </x:c>
      <x:c r="C441" s="2" t="str">
        <x:v>Organic Search</x:v>
      </x:c>
      <x:c r="D441" s="2" t="str">
        <x:v>CUS-068</x:v>
      </x:c>
      <x:c r="E441" s="10" t="n">
        <x:v>22.95</x:v>
      </x:c>
      <x:c r="F441" s="10" t="n">
        <x:v>0</x:v>
      </x:c>
      <x:c r="G441" s="10" t="n">
        <x:v>0</x:v>
      </x:c>
      <x:c r="H441" s="10" t="n">
        <x:v>22.95</x:v>
      </x:c>
      <x:c r="I441" s="10" t="n">
        <x:v>8.5</x:v>
      </x:c>
      <x:c r="J441" s="10" t="n">
        <x:v>14.45</x:v>
      </x:c>
      <x:c r="K441" s="2" t="n">
        <x:v>1</x:v>
      </x:c>
      <x:c r="L441" s="2" t="n">
        <x:v>0</x:v>
      </x:c>
    </x:row>
    <x:row r="442" ht="20" customHeight="1">
      <x:c r="A442" s="9" t="n">
        <x:v>46286</x:v>
      </x:c>
      <x:c r="B442" s="2" t="str">
        <x:v>MM-1452</x:v>
      </x:c>
      <x:c r="C442" s="2" t="str">
        <x:v>Email</x:v>
      </x:c>
      <x:c r="D442" s="2" t="str">
        <x:v>CUS-029</x:v>
      </x:c>
      <x:c r="E442" s="10" t="n">
        <x:v>34.95</x:v>
      </x:c>
      <x:c r="F442" s="10" t="n">
        <x:v>3.49</x:v>
      </x:c>
      <x:c r="G442" s="10" t="n">
        <x:v>0</x:v>
      </x:c>
      <x:c r="H442" s="10" t="n">
        <x:v>31.46</x:v>
      </x:c>
      <x:c r="I442" s="10" t="n">
        <x:v>13.5</x:v>
      </x:c>
      <x:c r="J442" s="10" t="n">
        <x:v>17.96</x:v>
      </x:c>
      <x:c r="K442" s="2" t="n">
        <x:v>1</x:v>
      </x:c>
      <x:c r="L442" s="2" t="n">
        <x:v>0</x:v>
      </x:c>
    </x:row>
    <x:row r="443" ht="20" customHeight="1">
      <x:c r="A443" s="9" t="n">
        <x:v>46286</x:v>
      </x:c>
      <x:c r="B443" s="2" t="str">
        <x:v>MM-1457</x:v>
      </x:c>
      <x:c r="C443" s="2" t="str">
        <x:v>Organic Search</x:v>
      </x:c>
      <x:c r="D443" s="2" t="str">
        <x:v>CUS-158</x:v>
      </x:c>
      <x:c r="E443" s="10" t="n">
        <x:v>42.9</x:v>
      </x:c>
      <x:c r="F443" s="10" t="n">
        <x:v>0</x:v>
      </x:c>
      <x:c r="G443" s="10" t="n">
        <x:v>0</x:v>
      </x:c>
      <x:c r="H443" s="10" t="n">
        <x:v>42.9</x:v>
      </x:c>
      <x:c r="I443" s="10" t="n">
        <x:v>14.5</x:v>
      </x:c>
      <x:c r="J443" s="10" t="n">
        <x:v>28.4</x:v>
      </x:c>
      <x:c r="K443" s="2" t="n">
        <x:v>2</x:v>
      </x:c>
      <x:c r="L443" s="2" t="n">
        <x:v>0</x:v>
      </x:c>
    </x:row>
    <x:row r="444" ht="20" customHeight="1">
      <x:c r="A444" s="9" t="n">
        <x:v>46287</x:v>
      </x:c>
      <x:c r="B444" s="2" t="str">
        <x:v>MM-1470</x:v>
      </x:c>
      <x:c r="C444" s="2" t="str">
        <x:v>Paid Social</x:v>
      </x:c>
      <x:c r="D444" s="2" t="str">
        <x:v>CUS-046</x:v>
      </x:c>
      <x:c r="E444" s="10" t="n">
        <x:v>239.85</x:v>
      </x:c>
      <x:c r="F444" s="10" t="n">
        <x:v>0</x:v>
      </x:c>
      <x:c r="G444" s="10" t="n">
        <x:v>0</x:v>
      </x:c>
      <x:c r="H444" s="10" t="n">
        <x:v>239.85</x:v>
      </x:c>
      <x:c r="I444" s="10" t="n">
        <x:v>96</x:v>
      </x:c>
      <x:c r="J444" s="10" t="n">
        <x:v>143.85</x:v>
      </x:c>
      <x:c r="K444" s="2" t="n">
        <x:v>3</x:v>
      </x:c>
      <x:c r="L444" s="2" t="n">
        <x:v>0</x:v>
      </x:c>
    </x:row>
    <x:row r="445" ht="20" customHeight="1">
      <x:c r="A445" s="9" t="n">
        <x:v>46287</x:v>
      </x:c>
      <x:c r="B445" s="2" t="str">
        <x:v>MM-1468</x:v>
      </x:c>
      <x:c r="C445" s="2" t="str">
        <x:v>Email</x:v>
      </x:c>
      <x:c r="D445" s="2" t="str">
        <x:v>CUS-042</x:v>
      </x:c>
      <x:c r="E445" s="10" t="n">
        <x:v>34.95</x:v>
      </x:c>
      <x:c r="F445" s="10" t="n">
        <x:v>3.49</x:v>
      </x:c>
      <x:c r="G445" s="10" t="n">
        <x:v>0</x:v>
      </x:c>
      <x:c r="H445" s="10" t="n">
        <x:v>31.46</x:v>
      </x:c>
      <x:c r="I445" s="10" t="n">
        <x:v>13.5</x:v>
      </x:c>
      <x:c r="J445" s="10" t="n">
        <x:v>17.96</x:v>
      </x:c>
      <x:c r="K445" s="2" t="n">
        <x:v>1</x:v>
      </x:c>
      <x:c r="L445" s="2" t="n">
        <x:v>0</x:v>
      </x:c>
    </x:row>
    <x:row r="446" ht="20" customHeight="1">
      <x:c r="A446" s="9" t="n">
        <x:v>46287</x:v>
      </x:c>
      <x:c r="B446" s="2" t="str">
        <x:v>MM-1463</x:v>
      </x:c>
      <x:c r="C446" s="2" t="str">
        <x:v>Organic Search</x:v>
      </x:c>
      <x:c r="D446" s="2" t="str">
        <x:v>CUS-126</x:v>
      </x:c>
      <x:c r="E446" s="10" t="n">
        <x:v>18.95</x:v>
      </x:c>
      <x:c r="F446" s="10" t="n">
        <x:v>0</x:v>
      </x:c>
      <x:c r="G446" s="10" t="n">
        <x:v>0</x:v>
      </x:c>
      <x:c r="H446" s="10" t="n">
        <x:v>18.95</x:v>
      </x:c>
      <x:c r="I446" s="10" t="n">
        <x:v>6.5</x:v>
      </x:c>
      <x:c r="J446" s="10" t="n">
        <x:v>12.45</x:v>
      </x:c>
      <x:c r="K446" s="2" t="n">
        <x:v>1</x:v>
      </x:c>
      <x:c r="L446" s="2" t="n">
        <x:v>0</x:v>
      </x:c>
    </x:row>
    <x:row r="447" ht="20" customHeight="1">
      <x:c r="A447" s="9" t="n">
        <x:v>46287</x:v>
      </x:c>
      <x:c r="B447" s="2" t="str">
        <x:v>MM-1471</x:v>
      </x:c>
      <x:c r="C447" s="2" t="str">
        <x:v>Organic Search</x:v>
      </x:c>
      <x:c r="D447" s="2" t="str">
        <x:v>CUS-161</x:v>
      </x:c>
      <x:c r="E447" s="10" t="n">
        <x:v>134.9</x:v>
      </x:c>
      <x:c r="F447" s="10" t="n">
        <x:v>0</x:v>
      </x:c>
      <x:c r="G447" s="10" t="n">
        <x:v>79.95</x:v>
      </x:c>
      <x:c r="H447" s="10" t="n">
        <x:v>54.95</x:v>
      </x:c>
      <x:c r="I447" s="10" t="n">
        <x:v>22</x:v>
      </x:c>
      <x:c r="J447" s="10" t="n">
        <x:v>32.95</x:v>
      </x:c>
      <x:c r="K447" s="2" t="n">
        <x:v>2</x:v>
      </x:c>
      <x:c r="L447" s="2" t="n">
        <x:v>1</x:v>
      </x:c>
    </x:row>
    <x:row r="448" ht="20" customHeight="1">
      <x:c r="A448" s="9" t="n">
        <x:v>46287</x:v>
      </x:c>
      <x:c r="B448" s="2" t="str">
        <x:v>MM-1474</x:v>
      </x:c>
      <x:c r="C448" s="2" t="str">
        <x:v>Organic Search</x:v>
      </x:c>
      <x:c r="D448" s="2" t="str">
        <x:v>CUS-136</x:v>
      </x:c>
      <x:c r="E448" s="10" t="n">
        <x:v>22.95</x:v>
      </x:c>
      <x:c r="F448" s="10" t="n">
        <x:v>0</x:v>
      </x:c>
      <x:c r="G448" s="10" t="n">
        <x:v>0</x:v>
      </x:c>
      <x:c r="H448" s="10" t="n">
        <x:v>22.95</x:v>
      </x:c>
      <x:c r="I448" s="10" t="n">
        <x:v>8.5</x:v>
      </x:c>
      <x:c r="J448" s="10" t="n">
        <x:v>14.45</x:v>
      </x:c>
      <x:c r="K448" s="2" t="n">
        <x:v>1</x:v>
      </x:c>
      <x:c r="L448" s="2" t="n">
        <x:v>0</x:v>
      </x:c>
    </x:row>
    <x:row r="449" ht="20" customHeight="1">
      <x:c r="A449" s="9" t="n">
        <x:v>46287</x:v>
      </x:c>
      <x:c r="B449" s="2" t="str">
        <x:v>MM-1464</x:v>
      </x:c>
      <x:c r="C449" s="2" t="str">
        <x:v>Organic Search</x:v>
      </x:c>
      <x:c r="D449" s="2" t="str">
        <x:v>CUS-006</x:v>
      </x:c>
      <x:c r="E449" s="10" t="n">
        <x:v>179.85</x:v>
      </x:c>
      <x:c r="F449" s="10" t="n">
        <x:v>0</x:v>
      </x:c>
      <x:c r="G449" s="10" t="n">
        <x:v>69.95</x:v>
      </x:c>
      <x:c r="H449" s="10" t="n">
        <x:v>109.9</x:v>
      </x:c>
      <x:c r="I449" s="10" t="n">
        <x:v>42</x:v>
      </x:c>
      <x:c r="J449" s="10" t="n">
        <x:v>67.9</x:v>
      </x:c>
      <x:c r="K449" s="2" t="n">
        <x:v>3</x:v>
      </x:c>
      <x:c r="L449" s="2" t="n">
        <x:v>1</x:v>
      </x:c>
    </x:row>
    <x:row r="450" ht="20" customHeight="1">
      <x:c r="A450" s="9" t="n">
        <x:v>46287</x:v>
      </x:c>
      <x:c r="B450" s="2" t="str">
        <x:v>MM-1462</x:v>
      </x:c>
      <x:c r="C450" s="2" t="str">
        <x:v>Paid Social</x:v>
      </x:c>
      <x:c r="D450" s="2" t="str">
        <x:v>CUS-054</x:v>
      </x:c>
      <x:c r="E450" s="10" t="n">
        <x:v>147.75</x:v>
      </x:c>
      <x:c r="F450" s="10" t="n">
        <x:v>0</x:v>
      </x:c>
      <x:c r="G450" s="10" t="n">
        <x:v>0</x:v>
      </x:c>
      <x:c r="H450" s="10" t="n">
        <x:v>147.75</x:v>
      </x:c>
      <x:c r="I450" s="10" t="n">
        <x:v>52.5</x:v>
      </x:c>
      <x:c r="J450" s="10" t="n">
        <x:v>95.25</x:v>
      </x:c>
      <x:c r="K450" s="2" t="n">
        <x:v>5</x:v>
      </x:c>
      <x:c r="L450" s="2" t="n">
        <x:v>0</x:v>
      </x:c>
    </x:row>
    <x:row r="451" ht="20" customHeight="1">
      <x:c r="A451" s="9" t="n">
        <x:v>46287</x:v>
      </x:c>
      <x:c r="B451" s="2" t="str">
        <x:v>MM-1465</x:v>
      </x:c>
      <x:c r="C451" s="2" t="str">
        <x:v>Organic Search</x:v>
      </x:c>
      <x:c r="D451" s="2" t="str">
        <x:v>CUS-132</x:v>
      </x:c>
      <x:c r="E451" s="10" t="n">
        <x:v>12.95</x:v>
      </x:c>
      <x:c r="F451" s="10" t="n">
        <x:v>0</x:v>
      </x:c>
      <x:c r="G451" s="10" t="n">
        <x:v>0</x:v>
      </x:c>
      <x:c r="H451" s="10" t="n">
        <x:v>12.95</x:v>
      </x:c>
      <x:c r="I451" s="10" t="n">
        <x:v>3.5</x:v>
      </x:c>
      <x:c r="J451" s="10" t="n">
        <x:v>9.45</x:v>
      </x:c>
      <x:c r="K451" s="2" t="n">
        <x:v>1</x:v>
      </x:c>
      <x:c r="L451" s="2" t="n">
        <x:v>0</x:v>
      </x:c>
    </x:row>
    <x:row r="452" ht="20" customHeight="1">
      <x:c r="A452" s="9" t="n">
        <x:v>46287</x:v>
      </x:c>
      <x:c r="B452" s="2" t="str">
        <x:v>MM-1466</x:v>
      </x:c>
      <x:c r="C452" s="2" t="str">
        <x:v>Email</x:v>
      </x:c>
      <x:c r="D452" s="2" t="str">
        <x:v>CUS-087</x:v>
      </x:c>
      <x:c r="E452" s="10" t="n">
        <x:v>29.95</x:v>
      </x:c>
      <x:c r="F452" s="10" t="n">
        <x:v>2.99</x:v>
      </x:c>
      <x:c r="G452" s="10" t="n">
        <x:v>26.96</x:v>
      </x:c>
      <x:c r="H452" s="10" t="n">
        <x:v>0</x:v>
      </x:c>
      <x:c r="I452" s="10" t="n">
        <x:v>0</x:v>
      </x:c>
      <x:c r="J452" s="10" t="n">
        <x:v>0</x:v>
      </x:c>
      <x:c r="K452" s="2" t="n">
        <x:v>1</x:v>
      </x:c>
      <x:c r="L452" s="2" t="n">
        <x:v>1</x:v>
      </x:c>
    </x:row>
    <x:row r="453" ht="20" customHeight="1">
      <x:c r="A453" s="9" t="n">
        <x:v>46287</x:v>
      </x:c>
      <x:c r="B453" s="2" t="str">
        <x:v>MM-1473</x:v>
      </x:c>
      <x:c r="C453" s="2" t="str">
        <x:v>Paid Social</x:v>
      </x:c>
      <x:c r="D453" s="2" t="str">
        <x:v>CUS-056</x:v>
      </x:c>
      <x:c r="E453" s="10" t="n">
        <x:v>69.9</x:v>
      </x:c>
      <x:c r="F453" s="10" t="n">
        <x:v>0</x:v>
      </x:c>
      <x:c r="G453" s="10" t="n">
        <x:v>0</x:v>
      </x:c>
      <x:c r="H453" s="10" t="n">
        <x:v>69.9</x:v>
      </x:c>
      <x:c r="I453" s="10" t="n">
        <x:v>26.5</x:v>
      </x:c>
      <x:c r="J453" s="10" t="n">
        <x:v>43.4</x:v>
      </x:c>
      <x:c r="K453" s="2" t="n">
        <x:v>2</x:v>
      </x:c>
      <x:c r="L453" s="2" t="n">
        <x:v>0</x:v>
      </x:c>
    </x:row>
    <x:row r="454" ht="20" customHeight="1">
      <x:c r="A454" s="9" t="n">
        <x:v>46287</x:v>
      </x:c>
      <x:c r="B454" s="2" t="str">
        <x:v>MM-1469</x:v>
      </x:c>
      <x:c r="C454" s="2" t="str">
        <x:v>Organic Search</x:v>
      </x:c>
      <x:c r="D454" s="2" t="str">
        <x:v>CUS-075</x:v>
      </x:c>
      <x:c r="E454" s="10" t="n">
        <x:v>22.95</x:v>
      </x:c>
      <x:c r="F454" s="10" t="n">
        <x:v>0</x:v>
      </x:c>
      <x:c r="G454" s="10" t="n">
        <x:v>0</x:v>
      </x:c>
      <x:c r="H454" s="10" t="n">
        <x:v>22.95</x:v>
      </x:c>
      <x:c r="I454" s="10" t="n">
        <x:v>8.5</x:v>
      </x:c>
      <x:c r="J454" s="10" t="n">
        <x:v>14.45</x:v>
      </x:c>
      <x:c r="K454" s="2" t="n">
        <x:v>1</x:v>
      </x:c>
      <x:c r="L454" s="2" t="n">
        <x:v>0</x:v>
      </x:c>
    </x:row>
    <x:row r="455" ht="20" customHeight="1">
      <x:c r="A455" s="9" t="n">
        <x:v>46287</x:v>
      </x:c>
      <x:c r="B455" s="2" t="str">
        <x:v>MM-1472</x:v>
      </x:c>
      <x:c r="C455" s="2" t="str">
        <x:v>Organic Search</x:v>
      </x:c>
      <x:c r="D455" s="2" t="str">
        <x:v>CUS-124</x:v>
      </x:c>
      <x:c r="E455" s="10" t="n">
        <x:v>59.95</x:v>
      </x:c>
      <x:c r="F455" s="10" t="n">
        <x:v>0</x:v>
      </x:c>
      <x:c r="G455" s="10" t="n">
        <x:v>0</x:v>
      </x:c>
      <x:c r="H455" s="10" t="n">
        <x:v>59.95</x:v>
      </x:c>
      <x:c r="I455" s="10" t="n">
        <x:v>24</x:v>
      </x:c>
      <x:c r="J455" s="10" t="n">
        <x:v>35.95</x:v>
      </x:c>
      <x:c r="K455" s="2" t="n">
        <x:v>1</x:v>
      </x:c>
      <x:c r="L455" s="2" t="n">
        <x:v>0</x:v>
      </x:c>
    </x:row>
    <x:row r="456" ht="20" customHeight="1">
      <x:c r="A456" s="9" t="n">
        <x:v>46287</x:v>
      </x:c>
      <x:c r="B456" s="2" t="str">
        <x:v>MM-1461</x:v>
      </x:c>
      <x:c r="C456" s="2" t="str">
        <x:v>Direct</x:v>
      </x:c>
      <x:c r="D456" s="2" t="str">
        <x:v>CUS-103</x:v>
      </x:c>
      <x:c r="E456" s="10" t="n">
        <x:v>114.85</x:v>
      </x:c>
      <x:c r="F456" s="10" t="n">
        <x:v>0</x:v>
      </x:c>
      <x:c r="G456" s="10" t="n">
        <x:v>0</x:v>
      </x:c>
      <x:c r="H456" s="10" t="n">
        <x:v>114.85</x:v>
      </x:c>
      <x:c r="I456" s="10" t="n">
        <x:v>42</x:v>
      </x:c>
      <x:c r="J456" s="10" t="n">
        <x:v>72.85</x:v>
      </x:c>
      <x:c r="K456" s="2" t="n">
        <x:v>3</x:v>
      </x:c>
      <x:c r="L456" s="2" t="n">
        <x:v>0</x:v>
      </x:c>
    </x:row>
    <x:row r="457" ht="20" customHeight="1">
      <x:c r="A457" s="9" t="n">
        <x:v>46287</x:v>
      </x:c>
      <x:c r="B457" s="2" t="str">
        <x:v>MM-1467</x:v>
      </x:c>
      <x:c r="C457" s="2" t="str">
        <x:v>Direct</x:v>
      </x:c>
      <x:c r="D457" s="2" t="str">
        <x:v>CUS-152</x:v>
      </x:c>
      <x:c r="E457" s="10" t="n">
        <x:v>43.9</x:v>
      </x:c>
      <x:c r="F457" s="10" t="n">
        <x:v>0</x:v>
      </x:c>
      <x:c r="G457" s="10" t="n">
        <x:v>0</x:v>
      </x:c>
      <x:c r="H457" s="10" t="n">
        <x:v>43.9</x:v>
      </x:c>
      <x:c r="I457" s="10" t="n">
        <x:v>15.5</x:v>
      </x:c>
      <x:c r="J457" s="10" t="n">
        <x:v>28.4</x:v>
      </x:c>
      <x:c r="K457" s="2" t="n">
        <x:v>2</x:v>
      </x:c>
      <x:c r="L457" s="2" t="n">
        <x:v>0</x:v>
      </x:c>
    </x:row>
    <x:row r="458" ht="20" customHeight="1">
      <x:c r="A458" s="9" t="n">
        <x:v>46288</x:v>
      </x:c>
      <x:c r="B458" s="2" t="str">
        <x:v>MM-1483</x:v>
      </x:c>
      <x:c r="C458" s="2" t="str">
        <x:v>Email</x:v>
      </x:c>
      <x:c r="D458" s="2" t="str">
        <x:v>CUS-014</x:v>
      </x:c>
      <x:c r="E458" s="10" t="n">
        <x:v>56.85</x:v>
      </x:c>
      <x:c r="F458" s="10" t="n">
        <x:v>5.68</x:v>
      </x:c>
      <x:c r="G458" s="10" t="n">
        <x:v>0</x:v>
      </x:c>
      <x:c r="H458" s="10" t="n">
        <x:v>51.17</x:v>
      </x:c>
      <x:c r="I458" s="10" t="n">
        <x:v>19.5</x:v>
      </x:c>
      <x:c r="J458" s="10" t="n">
        <x:v>31.67</x:v>
      </x:c>
      <x:c r="K458" s="2" t="n">
        <x:v>3</x:v>
      </x:c>
      <x:c r="L458" s="2" t="n">
        <x:v>0</x:v>
      </x:c>
    </x:row>
    <x:row r="459" ht="20" customHeight="1">
      <x:c r="A459" s="9" t="n">
        <x:v>46288</x:v>
      </x:c>
      <x:c r="B459" s="2" t="str">
        <x:v>MM-1482</x:v>
      </x:c>
      <x:c r="C459" s="2" t="str">
        <x:v>Email</x:v>
      </x:c>
      <x:c r="D459" s="2" t="str">
        <x:v>CUS-178</x:v>
      </x:c>
      <x:c r="E459" s="10" t="n">
        <x:v>69.95</x:v>
      </x:c>
      <x:c r="F459" s="10" t="n">
        <x:v>6.99</x:v>
      </x:c>
      <x:c r="G459" s="10" t="n">
        <x:v>0</x:v>
      </x:c>
      <x:c r="H459" s="10" t="n">
        <x:v>62.96</x:v>
      </x:c>
      <x:c r="I459" s="10" t="n">
        <x:v>28</x:v>
      </x:c>
      <x:c r="J459" s="10" t="n">
        <x:v>34.96</x:v>
      </x:c>
      <x:c r="K459" s="2" t="n">
        <x:v>1</x:v>
      </x:c>
      <x:c r="L459" s="2" t="n">
        <x:v>0</x:v>
      </x:c>
    </x:row>
    <x:row r="460" ht="20" customHeight="1">
      <x:c r="A460" s="9" t="n">
        <x:v>46288</x:v>
      </x:c>
      <x:c r="B460" s="2" t="str">
        <x:v>MM-1486</x:v>
      </x:c>
      <x:c r="C460" s="2" t="str">
        <x:v>Paid Social</x:v>
      </x:c>
      <x:c r="D460" s="2" t="str">
        <x:v>CUS-024</x:v>
      </x:c>
      <x:c r="E460" s="10" t="n">
        <x:v>19.95</x:v>
      </x:c>
      <x:c r="F460" s="10" t="n">
        <x:v>0</x:v>
      </x:c>
      <x:c r="G460" s="10" t="n">
        <x:v>0</x:v>
      </x:c>
      <x:c r="H460" s="10" t="n">
        <x:v>19.95</x:v>
      </x:c>
      <x:c r="I460" s="10" t="n">
        <x:v>6</x:v>
      </x:c>
      <x:c r="J460" s="10" t="n">
        <x:v>13.95</x:v>
      </x:c>
      <x:c r="K460" s="2" t="n">
        <x:v>1</x:v>
      </x:c>
      <x:c r="L460" s="2" t="n">
        <x:v>0</x:v>
      </x:c>
    </x:row>
    <x:row r="461" ht="20" customHeight="1">
      <x:c r="A461" s="9" t="n">
        <x:v>46288</x:v>
      </x:c>
      <x:c r="B461" s="2" t="str">
        <x:v>MM-1487</x:v>
      </x:c>
      <x:c r="C461" s="2" t="str">
        <x:v>Paid Social</x:v>
      </x:c>
      <x:c r="D461" s="2" t="str">
        <x:v>CUS-170</x:v>
      </x:c>
      <x:c r="E461" s="10" t="n">
        <x:v>18.95</x:v>
      </x:c>
      <x:c r="F461" s="10" t="n">
        <x:v>0</x:v>
      </x:c>
      <x:c r="G461" s="10" t="n">
        <x:v>0</x:v>
      </x:c>
      <x:c r="H461" s="10" t="n">
        <x:v>18.95</x:v>
      </x:c>
      <x:c r="I461" s="10" t="n">
        <x:v>6.5</x:v>
      </x:c>
      <x:c r="J461" s="10" t="n">
        <x:v>12.45</x:v>
      </x:c>
      <x:c r="K461" s="2" t="n">
        <x:v>1</x:v>
      </x:c>
      <x:c r="L461" s="2" t="n">
        <x:v>0</x:v>
      </x:c>
    </x:row>
    <x:row r="462" ht="20" customHeight="1">
      <x:c r="A462" s="9" t="n">
        <x:v>46288</x:v>
      </x:c>
      <x:c r="B462" s="2" t="str">
        <x:v>MM-1475</x:v>
      </x:c>
      <x:c r="C462" s="2" t="str">
        <x:v>Organic Search</x:v>
      </x:c>
      <x:c r="D462" s="2" t="str">
        <x:v>CUS-170</x:v>
      </x:c>
      <x:c r="E462" s="10" t="n">
        <x:v>79.95</x:v>
      </x:c>
      <x:c r="F462" s="10" t="n">
        <x:v>0</x:v>
      </x:c>
      <x:c r="G462" s="10" t="n">
        <x:v>0</x:v>
      </x:c>
      <x:c r="H462" s="10" t="n">
        <x:v>79.95</x:v>
      </x:c>
      <x:c r="I462" s="10" t="n">
        <x:v>32</x:v>
      </x:c>
      <x:c r="J462" s="10" t="n">
        <x:v>47.95</x:v>
      </x:c>
      <x:c r="K462" s="2" t="n">
        <x:v>1</x:v>
      </x:c>
      <x:c r="L462" s="2" t="n">
        <x:v>0</x:v>
      </x:c>
    </x:row>
    <x:row r="463" ht="20" customHeight="1">
      <x:c r="A463" s="9" t="n">
        <x:v>46288</x:v>
      </x:c>
      <x:c r="B463" s="2" t="str">
        <x:v>MM-1480</x:v>
      </x:c>
      <x:c r="C463" s="2" t="str">
        <x:v>Organic Search</x:v>
      </x:c>
      <x:c r="D463" s="2" t="str">
        <x:v>CUS-028</x:v>
      </x:c>
      <x:c r="E463" s="10" t="n">
        <x:v>74.85</x:v>
      </x:c>
      <x:c r="F463" s="10" t="n">
        <x:v>3.99</x:v>
      </x:c>
      <x:c r="G463" s="10" t="n">
        <x:v>0</x:v>
      </x:c>
      <x:c r="H463" s="10" t="n">
        <x:v>70.86</x:v>
      </x:c>
      <x:c r="I463" s="10" t="n">
        <x:v>25.5</x:v>
      </x:c>
      <x:c r="J463" s="10" t="n">
        <x:v>45.36</x:v>
      </x:c>
      <x:c r="K463" s="2" t="n">
        <x:v>3</x:v>
      </x:c>
      <x:c r="L463" s="2" t="n">
        <x:v>0</x:v>
      </x:c>
    </x:row>
    <x:row r="464" ht="20" customHeight="1">
      <x:c r="A464" s="9" t="n">
        <x:v>46288</x:v>
      </x:c>
      <x:c r="B464" s="2" t="str">
        <x:v>MM-1478</x:v>
      </x:c>
      <x:c r="C464" s="2" t="str">
        <x:v>Paid Social</x:v>
      </x:c>
      <x:c r="D464" s="2" t="str">
        <x:v>CUS-023</x:v>
      </x:c>
      <x:c r="E464" s="10" t="n">
        <x:v>12.95</x:v>
      </x:c>
      <x:c r="F464" s="10" t="n">
        <x:v>0</x:v>
      </x:c>
      <x:c r="G464" s="10" t="n">
        <x:v>0</x:v>
      </x:c>
      <x:c r="H464" s="10" t="n">
        <x:v>12.95</x:v>
      </x:c>
      <x:c r="I464" s="10" t="n">
        <x:v>3.5</x:v>
      </x:c>
      <x:c r="J464" s="10" t="n">
        <x:v>9.45</x:v>
      </x:c>
      <x:c r="K464" s="2" t="n">
        <x:v>1</x:v>
      </x:c>
      <x:c r="L464" s="2" t="n">
        <x:v>0</x:v>
      </x:c>
    </x:row>
    <x:row r="465" ht="20" customHeight="1">
      <x:c r="A465" s="9" t="n">
        <x:v>46288</x:v>
      </x:c>
      <x:c r="B465" s="2" t="str">
        <x:v>MM-1484</x:v>
      </x:c>
      <x:c r="C465" s="2" t="str">
        <x:v>Organic Search</x:v>
      </x:c>
      <x:c r="D465" s="2" t="str">
        <x:v>CUS-172</x:v>
      </x:c>
      <x:c r="E465" s="10" t="n">
        <x:v>37.9</x:v>
      </x:c>
      <x:c r="F465" s="10" t="n">
        <x:v>0</x:v>
      </x:c>
      <x:c r="G465" s="10" t="n">
        <x:v>0</x:v>
      </x:c>
      <x:c r="H465" s="10" t="n">
        <x:v>37.9</x:v>
      </x:c>
      <x:c r="I465" s="10" t="n">
        <x:v>13</x:v>
      </x:c>
      <x:c r="J465" s="10" t="n">
        <x:v>24.9</x:v>
      </x:c>
      <x:c r="K465" s="2" t="n">
        <x:v>2</x:v>
      </x:c>
      <x:c r="L465" s="2" t="n">
        <x:v>0</x:v>
      </x:c>
    </x:row>
    <x:row r="466" ht="20" customHeight="1">
      <x:c r="A466" s="9" t="n">
        <x:v>46288</x:v>
      </x:c>
      <x:c r="B466" s="2" t="str">
        <x:v>MM-1477</x:v>
      </x:c>
      <x:c r="C466" s="2" t="str">
        <x:v>Organic Search</x:v>
      </x:c>
      <x:c r="D466" s="2" t="str">
        <x:v>CUS-072</x:v>
      </x:c>
      <x:c r="E466" s="10" t="n">
        <x:v>69.9</x:v>
      </x:c>
      <x:c r="F466" s="10" t="n">
        <x:v>0</x:v>
      </x:c>
      <x:c r="G466" s="10" t="n">
        <x:v>0</x:v>
      </x:c>
      <x:c r="H466" s="10" t="n">
        <x:v>69.9</x:v>
      </x:c>
      <x:c r="I466" s="10" t="n">
        <x:v>27</x:v>
      </x:c>
      <x:c r="J466" s="10" t="n">
        <x:v>42.9</x:v>
      </x:c>
      <x:c r="K466" s="2" t="n">
        <x:v>2</x:v>
      </x:c>
      <x:c r="L466" s="2" t="n">
        <x:v>0</x:v>
      </x:c>
    </x:row>
    <x:row r="467" ht="20" customHeight="1">
      <x:c r="A467" s="9" t="n">
        <x:v>46288</x:v>
      </x:c>
      <x:c r="B467" s="2" t="str">
        <x:v>MM-1479</x:v>
      </x:c>
      <x:c r="C467" s="2" t="str">
        <x:v>Organic Search</x:v>
      </x:c>
      <x:c r="D467" s="2" t="str">
        <x:v>CUS-131</x:v>
      </x:c>
      <x:c r="E467" s="10" t="n">
        <x:v>82.8</x:v>
      </x:c>
      <x:c r="F467" s="10" t="n">
        <x:v>0</x:v>
      </x:c>
      <x:c r="G467" s="10" t="n">
        <x:v>0</x:v>
      </x:c>
      <x:c r="H467" s="10" t="n">
        <x:v>82.8</x:v>
      </x:c>
      <x:c r="I467" s="10" t="n">
        <x:v>29</x:v>
      </x:c>
      <x:c r="J467" s="10" t="n">
        <x:v>53.8</x:v>
      </x:c>
      <x:c r="K467" s="2" t="n">
        <x:v>4</x:v>
      </x:c>
      <x:c r="L467" s="2" t="n">
        <x:v>0</x:v>
      </x:c>
    </x:row>
    <x:row r="468" ht="20" customHeight="1">
      <x:c r="A468" s="9" t="n">
        <x:v>46288</x:v>
      </x:c>
      <x:c r="B468" s="2" t="str">
        <x:v>MM-1476</x:v>
      </x:c>
      <x:c r="C468" s="2" t="str">
        <x:v>Direct</x:v>
      </x:c>
      <x:c r="D468" s="2" t="str">
        <x:v>CUS-086</x:v>
      </x:c>
      <x:c r="E468" s="10" t="n">
        <x:v>65.9</x:v>
      </x:c>
      <x:c r="F468" s="10" t="n">
        <x:v>0</x:v>
      </x:c>
      <x:c r="G468" s="10" t="n">
        <x:v>0</x:v>
      </x:c>
      <x:c r="H468" s="10" t="n">
        <x:v>65.9</x:v>
      </x:c>
      <x:c r="I468" s="10" t="n">
        <x:v>24</x:v>
      </x:c>
      <x:c r="J468" s="10" t="n">
        <x:v>41.9</x:v>
      </x:c>
      <x:c r="K468" s="2" t="n">
        <x:v>2</x:v>
      </x:c>
      <x:c r="L468" s="2" t="n">
        <x:v>0</x:v>
      </x:c>
    </x:row>
    <x:row r="469" ht="20" customHeight="1">
      <x:c r="A469" s="9" t="n">
        <x:v>46288</x:v>
      </x:c>
      <x:c r="B469" s="2" t="str">
        <x:v>MM-1481</x:v>
      </x:c>
      <x:c r="C469" s="2" t="str">
        <x:v>Paid Social</x:v>
      </x:c>
      <x:c r="D469" s="2" t="str">
        <x:v>CUS-130</x:v>
      </x:c>
      <x:c r="E469" s="10" t="n">
        <x:v>79.9</x:v>
      </x:c>
      <x:c r="F469" s="10" t="n">
        <x:v>0</x:v>
      </x:c>
      <x:c r="G469" s="10" t="n">
        <x:v>0</x:v>
      </x:c>
      <x:c r="H469" s="10" t="n">
        <x:v>79.9</x:v>
      </x:c>
      <x:c r="I469" s="10" t="n">
        <x:v>30.5</x:v>
      </x:c>
      <x:c r="J469" s="10" t="n">
        <x:v>49.4</x:v>
      </x:c>
      <x:c r="K469" s="2" t="n">
        <x:v>2</x:v>
      </x:c>
      <x:c r="L469" s="2" t="n">
        <x:v>0</x:v>
      </x:c>
    </x:row>
    <x:row r="470" ht="20" customHeight="1">
      <x:c r="A470" s="9" t="n">
        <x:v>46288</x:v>
      </x:c>
      <x:c r="B470" s="2" t="str">
        <x:v>MM-1485</x:v>
      </x:c>
      <x:c r="C470" s="2" t="str">
        <x:v>Direct</x:v>
      </x:c>
      <x:c r="D470" s="2" t="str">
        <x:v>CUS-147</x:v>
      </x:c>
      <x:c r="E470" s="10" t="n">
        <x:v>179.85</x:v>
      </x:c>
      <x:c r="F470" s="10" t="n">
        <x:v>0</x:v>
      </x:c>
      <x:c r="G470" s="10" t="n">
        <x:v>59.95</x:v>
      </x:c>
      <x:c r="H470" s="10" t="n">
        <x:v>119.9</x:v>
      </x:c>
      <x:c r="I470" s="10" t="n">
        <x:v>48</x:v>
      </x:c>
      <x:c r="J470" s="10" t="n">
        <x:v>71.9</x:v>
      </x:c>
      <x:c r="K470" s="2" t="n">
        <x:v>3</x:v>
      </x:c>
      <x:c r="L470" s="2" t="n">
        <x:v>1</x:v>
      </x:c>
    </x:row>
    <x:row r="471" ht="20" customHeight="1">
      <x:c r="A471" s="9" t="n">
        <x:v>46289</x:v>
      </x:c>
      <x:c r="B471" s="2" t="str">
        <x:v>MM-1489</x:v>
      </x:c>
      <x:c r="C471" s="2" t="str">
        <x:v>Paid Social</x:v>
      </x:c>
      <x:c r="D471" s="2" t="str">
        <x:v>CUS-171</x:v>
      </x:c>
      <x:c r="E471" s="10" t="n">
        <x:v>232.8</x:v>
      </x:c>
      <x:c r="F471" s="10" t="n">
        <x:v>0</x:v>
      </x:c>
      <x:c r="G471" s="10" t="n">
        <x:v>0</x:v>
      </x:c>
      <x:c r="H471" s="10" t="n">
        <x:v>232.8</x:v>
      </x:c>
      <x:c r="I471" s="10" t="n">
        <x:v>91.5</x:v>
      </x:c>
      <x:c r="J471" s="10" t="n">
        <x:v>141.3</x:v>
      </x:c>
      <x:c r="K471" s="2" t="n">
        <x:v>4</x:v>
      </x:c>
      <x:c r="L471" s="2" t="n">
        <x:v>0</x:v>
      </x:c>
    </x:row>
    <x:row r="472" ht="20" customHeight="1">
      <x:c r="A472" s="9" t="n">
        <x:v>46289</x:v>
      </x:c>
      <x:c r="B472" s="2" t="str">
        <x:v>MM-1494</x:v>
      </x:c>
      <x:c r="C472" s="2" t="str">
        <x:v>Organic Search</x:v>
      </x:c>
      <x:c r="D472" s="2" t="str">
        <x:v>CUS-028</x:v>
      </x:c>
      <x:c r="E472" s="10" t="n">
        <x:v>22.95</x:v>
      </x:c>
      <x:c r="F472" s="10" t="n">
        <x:v>0</x:v>
      </x:c>
      <x:c r="G472" s="10" t="n">
        <x:v>0</x:v>
      </x:c>
      <x:c r="H472" s="10" t="n">
        <x:v>22.95</x:v>
      </x:c>
      <x:c r="I472" s="10" t="n">
        <x:v>8.5</x:v>
      </x:c>
      <x:c r="J472" s="10" t="n">
        <x:v>14.45</x:v>
      </x:c>
      <x:c r="K472" s="2" t="n">
        <x:v>1</x:v>
      </x:c>
      <x:c r="L472" s="2" t="n">
        <x:v>0</x:v>
      </x:c>
    </x:row>
    <x:row r="473" ht="20" customHeight="1">
      <x:c r="A473" s="9" t="n">
        <x:v>46289</x:v>
      </x:c>
      <x:c r="B473" s="2" t="str">
        <x:v>MM-1498</x:v>
      </x:c>
      <x:c r="C473" s="2" t="str">
        <x:v>Direct</x:v>
      </x:c>
      <x:c r="D473" s="2" t="str">
        <x:v>CUS-028</x:v>
      </x:c>
      <x:c r="E473" s="10" t="n">
        <x:v>42.85</x:v>
      </x:c>
      <x:c r="F473" s="10" t="n">
        <x:v>0</x:v>
      </x:c>
      <x:c r="G473" s="10" t="n">
        <x:v>0</x:v>
      </x:c>
      <x:c r="H473" s="10" t="n">
        <x:v>42.85</x:v>
      </x:c>
      <x:c r="I473" s="10" t="n">
        <x:v>13.5</x:v>
      </x:c>
      <x:c r="J473" s="10" t="n">
        <x:v>29.35</x:v>
      </x:c>
      <x:c r="K473" s="2" t="n">
        <x:v>3</x:v>
      </x:c>
      <x:c r="L473" s="2" t="n">
        <x:v>0</x:v>
      </x:c>
    </x:row>
    <x:row r="474" ht="20" customHeight="1">
      <x:c r="A474" s="9" t="n">
        <x:v>46289</x:v>
      </x:c>
      <x:c r="B474" s="2" t="str">
        <x:v>MM-1488</x:v>
      </x:c>
      <x:c r="C474" s="2" t="str">
        <x:v>Direct</x:v>
      </x:c>
      <x:c r="D474" s="2" t="str">
        <x:v>CUS-112</x:v>
      </x:c>
      <x:c r="E474" s="10" t="n">
        <x:v>59.9</x:v>
      </x:c>
      <x:c r="F474" s="10" t="n">
        <x:v>0</x:v>
      </x:c>
      <x:c r="G474" s="10" t="n">
        <x:v>0</x:v>
      </x:c>
      <x:c r="H474" s="10" t="n">
        <x:v>59.9</x:v>
      </x:c>
      <x:c r="I474" s="10" t="n">
        <x:v>20</x:v>
      </x:c>
      <x:c r="J474" s="10" t="n">
        <x:v>39.9</x:v>
      </x:c>
      <x:c r="K474" s="2" t="n">
        <x:v>2</x:v>
      </x:c>
      <x:c r="L474" s="2" t="n">
        <x:v>0</x:v>
      </x:c>
    </x:row>
    <x:row r="475" ht="20" customHeight="1">
      <x:c r="A475" s="9" t="n">
        <x:v>46289</x:v>
      </x:c>
      <x:c r="B475" s="2" t="str">
        <x:v>MM-1496</x:v>
      </x:c>
      <x:c r="C475" s="2" t="str">
        <x:v>Organic Search</x:v>
      </x:c>
      <x:c r="D475" s="2" t="str">
        <x:v>CUS-101</x:v>
      </x:c>
      <x:c r="E475" s="10" t="n">
        <x:v>239.85</x:v>
      </x:c>
      <x:c r="F475" s="10" t="n">
        <x:v>0</x:v>
      </x:c>
      <x:c r="G475" s="10" t="n">
        <x:v>0</x:v>
      </x:c>
      <x:c r="H475" s="10" t="n">
        <x:v>239.85</x:v>
      </x:c>
      <x:c r="I475" s="10" t="n">
        <x:v>96</x:v>
      </x:c>
      <x:c r="J475" s="10" t="n">
        <x:v>143.85</x:v>
      </x:c>
      <x:c r="K475" s="2" t="n">
        <x:v>3</x:v>
      </x:c>
      <x:c r="L475" s="2" t="n">
        <x:v>0</x:v>
      </x:c>
    </x:row>
    <x:row r="476" ht="20" customHeight="1">
      <x:c r="A476" s="9" t="n">
        <x:v>46289</x:v>
      </x:c>
      <x:c r="B476" s="2" t="str">
        <x:v>MM-1490</x:v>
      </x:c>
      <x:c r="C476" s="2" t="str">
        <x:v>Direct</x:v>
      </x:c>
      <x:c r="D476" s="2" t="str">
        <x:v>CUS-105</x:v>
      </x:c>
      <x:c r="E476" s="10" t="n">
        <x:v>34.95</x:v>
      </x:c>
      <x:c r="F476" s="10" t="n">
        <x:v>0</x:v>
      </x:c>
      <x:c r="G476" s="10" t="n">
        <x:v>0</x:v>
      </x:c>
      <x:c r="H476" s="10" t="n">
        <x:v>34.95</x:v>
      </x:c>
      <x:c r="I476" s="10" t="n">
        <x:v>13.5</x:v>
      </x:c>
      <x:c r="J476" s="10" t="n">
        <x:v>21.45</x:v>
      </x:c>
      <x:c r="K476" s="2" t="n">
        <x:v>1</x:v>
      </x:c>
      <x:c r="L476" s="2" t="n">
        <x:v>0</x:v>
      </x:c>
    </x:row>
    <x:row r="477" ht="20" customHeight="1">
      <x:c r="A477" s="9" t="n">
        <x:v>46289</x:v>
      </x:c>
      <x:c r="B477" s="2" t="str">
        <x:v>MM-1492</x:v>
      </x:c>
      <x:c r="C477" s="2" t="str">
        <x:v>Organic Search</x:v>
      </x:c>
      <x:c r="D477" s="2" t="str">
        <x:v>CUS-157</x:v>
      </x:c>
      <x:c r="E477" s="10" t="n">
        <x:v>91.75</x:v>
      </x:c>
      <x:c r="F477" s="10" t="n">
        <x:v>0</x:v>
      </x:c>
      <x:c r="G477" s="10" t="n">
        <x:v>22.95</x:v>
      </x:c>
      <x:c r="H477" s="10" t="n">
        <x:v>68.8</x:v>
      </x:c>
      <x:c r="I477" s="10" t="n">
        <x:v>23</x:v>
      </x:c>
      <x:c r="J477" s="10" t="n">
        <x:v>45.8</x:v>
      </x:c>
      <x:c r="K477" s="2" t="n">
        <x:v>5</x:v>
      </x:c>
      <x:c r="L477" s="2" t="n">
        <x:v>1</x:v>
      </x:c>
    </x:row>
    <x:row r="478" ht="20" customHeight="1">
      <x:c r="A478" s="9" t="n">
        <x:v>46289</x:v>
      </x:c>
      <x:c r="B478" s="2" t="str">
        <x:v>MM-1495</x:v>
      </x:c>
      <x:c r="C478" s="2" t="str">
        <x:v>Organic Search</x:v>
      </x:c>
      <x:c r="D478" s="2" t="str">
        <x:v>CUS-003</x:v>
      </x:c>
      <x:c r="E478" s="10" t="n">
        <x:v>79.95</x:v>
      </x:c>
      <x:c r="F478" s="10" t="n">
        <x:v>0</x:v>
      </x:c>
      <x:c r="G478" s="10" t="n">
        <x:v>0</x:v>
      </x:c>
      <x:c r="H478" s="10" t="n">
        <x:v>79.95</x:v>
      </x:c>
      <x:c r="I478" s="10" t="n">
        <x:v>32</x:v>
      </x:c>
      <x:c r="J478" s="10" t="n">
        <x:v>47.95</x:v>
      </x:c>
      <x:c r="K478" s="2" t="n">
        <x:v>1</x:v>
      </x:c>
      <x:c r="L478" s="2" t="n">
        <x:v>0</x:v>
      </x:c>
    </x:row>
    <x:row r="479" ht="20" customHeight="1">
      <x:c r="A479" s="9" t="n">
        <x:v>46289</x:v>
      </x:c>
      <x:c r="B479" s="2" t="str">
        <x:v>MM-1499</x:v>
      </x:c>
      <x:c r="C479" s="2" t="str">
        <x:v>Paid Social</x:v>
      </x:c>
      <x:c r="D479" s="2" t="str">
        <x:v>CUS-067</x:v>
      </x:c>
      <x:c r="E479" s="10" t="n">
        <x:v>45.9</x:v>
      </x:c>
      <x:c r="F479" s="10" t="n">
        <x:v>0</x:v>
      </x:c>
      <x:c r="G479" s="10" t="n">
        <x:v>0</x:v>
      </x:c>
      <x:c r="H479" s="10" t="n">
        <x:v>45.9</x:v>
      </x:c>
      <x:c r="I479" s="10" t="n">
        <x:v>17</x:v>
      </x:c>
      <x:c r="J479" s="10" t="n">
        <x:v>28.9</x:v>
      </x:c>
      <x:c r="K479" s="2" t="n">
        <x:v>2</x:v>
      </x:c>
      <x:c r="L479" s="2" t="n">
        <x:v>0</x:v>
      </x:c>
    </x:row>
    <x:row r="480" ht="20" customHeight="1">
      <x:c r="A480" s="9" t="n">
        <x:v>46289</x:v>
      </x:c>
      <x:c r="B480" s="2" t="str">
        <x:v>MM-1501</x:v>
      </x:c>
      <x:c r="C480" s="2" t="str">
        <x:v>Organic Search</x:v>
      </x:c>
      <x:c r="D480" s="2" t="str">
        <x:v>CUS-107</x:v>
      </x:c>
      <x:c r="E480" s="10" t="n">
        <x:v>222.7</x:v>
      </x:c>
      <x:c r="F480" s="10" t="n">
        <x:v>0</x:v>
      </x:c>
      <x:c r="G480" s="10" t="n">
        <x:v>0</x:v>
      </x:c>
      <x:c r="H480" s="10" t="n">
        <x:v>222.7</x:v>
      </x:c>
      <x:c r="I480" s="10" t="n">
        <x:v>81.5</x:v>
      </x:c>
      <x:c r="J480" s="10" t="n">
        <x:v>141.2</x:v>
      </x:c>
      <x:c r="K480" s="2" t="n">
        <x:v>6</x:v>
      </x:c>
      <x:c r="L480" s="2" t="n">
        <x:v>0</x:v>
      </x:c>
    </x:row>
    <x:row r="481" ht="20" customHeight="1">
      <x:c r="A481" s="9" t="n">
        <x:v>46289</x:v>
      </x:c>
      <x:c r="B481" s="2" t="str">
        <x:v>MM-1493</x:v>
      </x:c>
      <x:c r="C481" s="2" t="str">
        <x:v>Paid Social</x:v>
      </x:c>
      <x:c r="D481" s="2" t="str">
        <x:v>CUS-055</x:v>
      </x:c>
      <x:c r="E481" s="10" t="n">
        <x:v>187.8</x:v>
      </x:c>
      <x:c r="F481" s="10" t="n">
        <x:v>0</x:v>
      </x:c>
      <x:c r="G481" s="10" t="n">
        <x:v>0</x:v>
      </x:c>
      <x:c r="H481" s="10" t="n">
        <x:v>187.8</x:v>
      </x:c>
      <x:c r="I481" s="10" t="n">
        <x:v>73</x:v>
      </x:c>
      <x:c r="J481" s="10" t="n">
        <x:v>114.8</x:v>
      </x:c>
      <x:c r="K481" s="2" t="n">
        <x:v>4</x:v>
      </x:c>
      <x:c r="L481" s="2" t="n">
        <x:v>0</x:v>
      </x:c>
    </x:row>
    <x:row r="482" ht="20" customHeight="1">
      <x:c r="A482" s="9" t="n">
        <x:v>46289</x:v>
      </x:c>
      <x:c r="B482" s="2" t="str">
        <x:v>MM-1500</x:v>
      </x:c>
      <x:c r="C482" s="2" t="str">
        <x:v>Paid Social</x:v>
      </x:c>
      <x:c r="D482" s="2" t="str">
        <x:v>CUS-148</x:v>
      </x:c>
      <x:c r="E482" s="10" t="n">
        <x:v>35.9</x:v>
      </x:c>
      <x:c r="F482" s="10" t="n">
        <x:v>2.29</x:v>
      </x:c>
      <x:c r="G482" s="10" t="n">
        <x:v>0</x:v>
      </x:c>
      <x:c r="H482" s="10" t="n">
        <x:v>33.61</x:v>
      </x:c>
      <x:c r="I482" s="10" t="n">
        <x:v>12</x:v>
      </x:c>
      <x:c r="J482" s="10" t="n">
        <x:v>21.61</x:v>
      </x:c>
      <x:c r="K482" s="2" t="n">
        <x:v>2</x:v>
      </x:c>
      <x:c r="L482" s="2" t="n">
        <x:v>0</x:v>
      </x:c>
    </x:row>
    <x:row r="483" ht="20" customHeight="1">
      <x:c r="A483" s="9" t="n">
        <x:v>46289</x:v>
      </x:c>
      <x:c r="B483" s="2" t="str">
        <x:v>MM-1491</x:v>
      </x:c>
      <x:c r="C483" s="2" t="str">
        <x:v>Paid Social</x:v>
      </x:c>
      <x:c r="D483" s="2" t="str">
        <x:v>CUS-095</x:v>
      </x:c>
      <x:c r="E483" s="10" t="n">
        <x:v>34.95</x:v>
      </x:c>
      <x:c r="F483" s="10" t="n">
        <x:v>0</x:v>
      </x:c>
      <x:c r="G483" s="10" t="n">
        <x:v>0</x:v>
      </x:c>
      <x:c r="H483" s="10" t="n">
        <x:v>34.95</x:v>
      </x:c>
      <x:c r="I483" s="10" t="n">
        <x:v>13.5</x:v>
      </x:c>
      <x:c r="J483" s="10" t="n">
        <x:v>21.45</x:v>
      </x:c>
      <x:c r="K483" s="2" t="n">
        <x:v>1</x:v>
      </x:c>
      <x:c r="L483" s="2" t="n">
        <x:v>0</x:v>
      </x:c>
    </x:row>
    <x:row r="484" ht="20" customHeight="1">
      <x:c r="A484" s="9" t="n">
        <x:v>46290</x:v>
      </x:c>
      <x:c r="B484" s="2" t="str">
        <x:v>MM-1502</x:v>
      </x:c>
      <x:c r="C484" s="2" t="str">
        <x:v>Organic Search</x:v>
      </x:c>
      <x:c r="D484" s="2" t="str">
        <x:v>CUS-083</x:v>
      </x:c>
      <x:c r="E484" s="10" t="n">
        <x:v>9.95</x:v>
      </x:c>
      <x:c r="F484" s="10" t="n">
        <x:v>0</x:v>
      </x:c>
      <x:c r="G484" s="10" t="n">
        <x:v>0</x:v>
      </x:c>
      <x:c r="H484" s="10" t="n">
        <x:v>9.95</x:v>
      </x:c>
      <x:c r="I484" s="10" t="n">
        <x:v>2.5</x:v>
      </x:c>
      <x:c r="J484" s="10" t="n">
        <x:v>7.45</x:v>
      </x:c>
      <x:c r="K484" s="2" t="n">
        <x:v>1</x:v>
      </x:c>
      <x:c r="L484" s="2" t="n">
        <x:v>0</x:v>
      </x:c>
    </x:row>
    <x:row r="485" ht="20" customHeight="1">
      <x:c r="A485" s="9" t="n">
        <x:v>46290</x:v>
      </x:c>
      <x:c r="B485" s="2" t="str">
        <x:v>MM-1508</x:v>
      </x:c>
      <x:c r="C485" s="2" t="str">
        <x:v>Email</x:v>
      </x:c>
      <x:c r="D485" s="2" t="str">
        <x:v>CUS-023</x:v>
      </x:c>
      <x:c r="E485" s="10" t="n">
        <x:v>32.95</x:v>
      </x:c>
      <x:c r="F485" s="10" t="n">
        <x:v>3.29</x:v>
      </x:c>
      <x:c r="G485" s="10" t="n">
        <x:v>0</x:v>
      </x:c>
      <x:c r="H485" s="10" t="n">
        <x:v>29.66</x:v>
      </x:c>
      <x:c r="I485" s="10" t="n">
        <x:v>12</x:v>
      </x:c>
      <x:c r="J485" s="10" t="n">
        <x:v>17.66</x:v>
      </x:c>
      <x:c r="K485" s="2" t="n">
        <x:v>1</x:v>
      </x:c>
      <x:c r="L485" s="2" t="n">
        <x:v>0</x:v>
      </x:c>
    </x:row>
    <x:row r="486" ht="20" customHeight="1">
      <x:c r="A486" s="9" t="n">
        <x:v>46290</x:v>
      </x:c>
      <x:c r="B486" s="2" t="str">
        <x:v>MM-1503</x:v>
      </x:c>
      <x:c r="C486" s="2" t="str">
        <x:v>Organic Search</x:v>
      </x:c>
      <x:c r="D486" s="2" t="str">
        <x:v>CUS-024</x:v>
      </x:c>
      <x:c r="E486" s="10" t="n">
        <x:v>164.85</x:v>
      </x:c>
      <x:c r="F486" s="10" t="n">
        <x:v>0</x:v>
      </x:c>
      <x:c r="G486" s="10" t="n">
        <x:v>0</x:v>
      </x:c>
      <x:c r="H486" s="10" t="n">
        <x:v>164.85</x:v>
      </x:c>
      <x:c r="I486" s="10" t="n">
        <x:v>65</x:v>
      </x:c>
      <x:c r="J486" s="10" t="n">
        <x:v>99.85</x:v>
      </x:c>
      <x:c r="K486" s="2" t="n">
        <x:v>3</x:v>
      </x:c>
      <x:c r="L486" s="2" t="n">
        <x:v>0</x:v>
      </x:c>
    </x:row>
    <x:row r="487" ht="20" customHeight="1">
      <x:c r="A487" s="9" t="n">
        <x:v>46290</x:v>
      </x:c>
      <x:c r="B487" s="2" t="str">
        <x:v>MM-1512</x:v>
      </x:c>
      <x:c r="C487" s="2" t="str">
        <x:v>Organic Search</x:v>
      </x:c>
      <x:c r="D487" s="2" t="str">
        <x:v>CUS-069</x:v>
      </x:c>
      <x:c r="E487" s="10" t="n">
        <x:v>32.95</x:v>
      </x:c>
      <x:c r="F487" s="10" t="n">
        <x:v>0</x:v>
      </x:c>
      <x:c r="G487" s="10" t="n">
        <x:v>0</x:v>
      </x:c>
      <x:c r="H487" s="10" t="n">
        <x:v>32.95</x:v>
      </x:c>
      <x:c r="I487" s="10" t="n">
        <x:v>12</x:v>
      </x:c>
      <x:c r="J487" s="10" t="n">
        <x:v>20.95</x:v>
      </x:c>
      <x:c r="K487" s="2" t="n">
        <x:v>1</x:v>
      </x:c>
      <x:c r="L487" s="2" t="n">
        <x:v>0</x:v>
      </x:c>
    </x:row>
    <x:row r="488" ht="20" customHeight="1">
      <x:c r="A488" s="9" t="n">
        <x:v>46290</x:v>
      </x:c>
      <x:c r="B488" s="2" t="str">
        <x:v>MM-1505</x:v>
      </x:c>
      <x:c r="C488" s="2" t="str">
        <x:v>Paid Social</x:v>
      </x:c>
      <x:c r="D488" s="2" t="str">
        <x:v>CUS-027</x:v>
      </x:c>
      <x:c r="E488" s="10" t="n">
        <x:v>69.85</x:v>
      </x:c>
      <x:c r="F488" s="10" t="n">
        <x:v>0.99</x:v>
      </x:c>
      <x:c r="G488" s="10" t="n">
        <x:v>0</x:v>
      </x:c>
      <x:c r="H488" s="10" t="n">
        <x:v>68.86</x:v>
      </x:c>
      <x:c r="I488" s="10" t="n">
        <x:v>22.5</x:v>
      </x:c>
      <x:c r="J488" s="10" t="n">
        <x:v>46.36</x:v>
      </x:c>
      <x:c r="K488" s="2" t="n">
        <x:v>3</x:v>
      </x:c>
      <x:c r="L488" s="2" t="n">
        <x:v>0</x:v>
      </x:c>
    </x:row>
    <x:row r="489" ht="20" customHeight="1">
      <x:c r="A489" s="9" t="n">
        <x:v>46290</x:v>
      </x:c>
      <x:c r="B489" s="2" t="str">
        <x:v>MM-1511</x:v>
      </x:c>
      <x:c r="C489" s="2" t="str">
        <x:v>Direct</x:v>
      </x:c>
      <x:c r="D489" s="2" t="str">
        <x:v>CUS-159</x:v>
      </x:c>
      <x:c r="E489" s="10" t="n">
        <x:v>104.9</x:v>
      </x:c>
      <x:c r="F489" s="10" t="n">
        <x:v>0</x:v>
      </x:c>
      <x:c r="G489" s="10" t="n">
        <x:v>0</x:v>
      </x:c>
      <x:c r="H489" s="10" t="n">
        <x:v>104.9</x:v>
      </x:c>
      <x:c r="I489" s="10" t="n">
        <x:v>40.5</x:v>
      </x:c>
      <x:c r="J489" s="10" t="n">
        <x:v>64.4</x:v>
      </x:c>
      <x:c r="K489" s="2" t="n">
        <x:v>2</x:v>
      </x:c>
      <x:c r="L489" s="2" t="n">
        <x:v>0</x:v>
      </x:c>
    </x:row>
    <x:row r="490" ht="20" customHeight="1">
      <x:c r="A490" s="9" t="n">
        <x:v>46290</x:v>
      </x:c>
      <x:c r="B490" s="2" t="str">
        <x:v>MM-1506</x:v>
      </x:c>
      <x:c r="C490" s="2" t="str">
        <x:v>Organic Search</x:v>
      </x:c>
      <x:c r="D490" s="2" t="str">
        <x:v>CUS-064</x:v>
      </x:c>
      <x:c r="E490" s="10" t="n">
        <x:v>54.95</x:v>
      </x:c>
      <x:c r="F490" s="10" t="n">
        <x:v>0</x:v>
      </x:c>
      <x:c r="G490" s="10" t="n">
        <x:v>0</x:v>
      </x:c>
      <x:c r="H490" s="10" t="n">
        <x:v>54.95</x:v>
      </x:c>
      <x:c r="I490" s="10" t="n">
        <x:v>22</x:v>
      </x:c>
      <x:c r="J490" s="10" t="n">
        <x:v>32.95</x:v>
      </x:c>
      <x:c r="K490" s="2" t="n">
        <x:v>1</x:v>
      </x:c>
      <x:c r="L490" s="2" t="n">
        <x:v>0</x:v>
      </x:c>
    </x:row>
    <x:row r="491" ht="20" customHeight="1">
      <x:c r="A491" s="9" t="n">
        <x:v>46290</x:v>
      </x:c>
      <x:c r="B491" s="2" t="str">
        <x:v>MM-1514</x:v>
      </x:c>
      <x:c r="C491" s="2" t="str">
        <x:v>Email</x:v>
      </x:c>
      <x:c r="D491" s="2" t="str">
        <x:v>CUS-027</x:v>
      </x:c>
      <x:c r="E491" s="10" t="n">
        <x:v>59.95</x:v>
      </x:c>
      <x:c r="F491" s="10" t="n">
        <x:v>5.99</x:v>
      </x:c>
      <x:c r="G491" s="10" t="n">
        <x:v>0</x:v>
      </x:c>
      <x:c r="H491" s="10" t="n">
        <x:v>53.96</x:v>
      </x:c>
      <x:c r="I491" s="10" t="n">
        <x:v>24</x:v>
      </x:c>
      <x:c r="J491" s="10" t="n">
        <x:v>29.96</x:v>
      </x:c>
      <x:c r="K491" s="2" t="n">
        <x:v>1</x:v>
      </x:c>
      <x:c r="L491" s="2" t="n">
        <x:v>0</x:v>
      </x:c>
    </x:row>
    <x:row r="492" ht="20" customHeight="1">
      <x:c r="A492" s="9" t="n">
        <x:v>46290</x:v>
      </x:c>
      <x:c r="B492" s="2" t="str">
        <x:v>MM-1507</x:v>
      </x:c>
      <x:c r="C492" s="2" t="str">
        <x:v>Organic Search</x:v>
      </x:c>
      <x:c r="D492" s="2" t="str">
        <x:v>CUS-120</x:v>
      </x:c>
      <x:c r="E492" s="10" t="n">
        <x:v>209.8</x:v>
      </x:c>
      <x:c r="F492" s="10" t="n">
        <x:v>15.99</x:v>
      </x:c>
      <x:c r="G492" s="10" t="n">
        <x:v>0</x:v>
      </x:c>
      <x:c r="H492" s="10" t="n">
        <x:v>193.81</x:v>
      </x:c>
      <x:c r="I492" s="10" t="n">
        <x:v>81</x:v>
      </x:c>
      <x:c r="J492" s="10" t="n">
        <x:v>112.81</x:v>
      </x:c>
      <x:c r="K492" s="2" t="n">
        <x:v>4</x:v>
      </x:c>
      <x:c r="L492" s="2" t="n">
        <x:v>0</x:v>
      </x:c>
    </x:row>
    <x:row r="493" ht="20" customHeight="1">
      <x:c r="A493" s="9" t="n">
        <x:v>46290</x:v>
      </x:c>
      <x:c r="B493" s="2" t="str">
        <x:v>MM-1509</x:v>
      </x:c>
      <x:c r="C493" s="2" t="str">
        <x:v>Paid Social</x:v>
      </x:c>
      <x:c r="D493" s="2" t="str">
        <x:v>CUS-118</x:v>
      </x:c>
      <x:c r="E493" s="10" t="n">
        <x:v>29.95</x:v>
      </x:c>
      <x:c r="F493" s="10" t="n">
        <x:v>0</x:v>
      </x:c>
      <x:c r="G493" s="10" t="n">
        <x:v>0</x:v>
      </x:c>
      <x:c r="H493" s="10" t="n">
        <x:v>29.95</x:v>
      </x:c>
      <x:c r="I493" s="10" t="n">
        <x:v>10</x:v>
      </x:c>
      <x:c r="J493" s="10" t="n">
        <x:v>19.95</x:v>
      </x:c>
      <x:c r="K493" s="2" t="n">
        <x:v>1</x:v>
      </x:c>
      <x:c r="L493" s="2" t="n">
        <x:v>0</x:v>
      </x:c>
    </x:row>
    <x:row r="494" ht="20" customHeight="1">
      <x:c r="A494" s="9" t="n">
        <x:v>46290</x:v>
      </x:c>
      <x:c r="B494" s="2" t="str">
        <x:v>MM-1504</x:v>
      </x:c>
      <x:c r="C494" s="2" t="str">
        <x:v>Email</x:v>
      </x:c>
      <x:c r="D494" s="2" t="str">
        <x:v>CUS-079</x:v>
      </x:c>
      <x:c r="E494" s="10" t="n">
        <x:v>24.95</x:v>
      </x:c>
      <x:c r="F494" s="10" t="n">
        <x:v>2.49</x:v>
      </x:c>
      <x:c r="G494" s="10" t="n">
        <x:v>0</x:v>
      </x:c>
      <x:c r="H494" s="10" t="n">
        <x:v>22.46</x:v>
      </x:c>
      <x:c r="I494" s="10" t="n">
        <x:v>8.5</x:v>
      </x:c>
      <x:c r="J494" s="10" t="n">
        <x:v>13.96</x:v>
      </x:c>
      <x:c r="K494" s="2" t="n">
        <x:v>1</x:v>
      </x:c>
      <x:c r="L494" s="2" t="n">
        <x:v>0</x:v>
      </x:c>
    </x:row>
    <x:row r="495" ht="20" customHeight="1">
      <x:c r="A495" s="9" t="n">
        <x:v>46290</x:v>
      </x:c>
      <x:c r="B495" s="2" t="str">
        <x:v>MM-1510</x:v>
      </x:c>
      <x:c r="C495" s="2" t="str">
        <x:v>Organic Search</x:v>
      </x:c>
      <x:c r="D495" s="2" t="str">
        <x:v>CUS-092</x:v>
      </x:c>
      <x:c r="E495" s="10" t="n">
        <x:v>19.9</x:v>
      </x:c>
      <x:c r="F495" s="10" t="n">
        <x:v>0</x:v>
      </x:c>
      <x:c r="G495" s="10" t="n">
        <x:v>0</x:v>
      </x:c>
      <x:c r="H495" s="10" t="n">
        <x:v>19.9</x:v>
      </x:c>
      <x:c r="I495" s="10" t="n">
        <x:v>5</x:v>
      </x:c>
      <x:c r="J495" s="10" t="n">
        <x:v>14.9</x:v>
      </x:c>
      <x:c r="K495" s="2" t="n">
        <x:v>2</x:v>
      </x:c>
      <x:c r="L495" s="2" t="n">
        <x:v>0</x:v>
      </x:c>
    </x:row>
    <x:row r="496" ht="20" customHeight="1">
      <x:c r="A496" s="9" t="n">
        <x:v>46290</x:v>
      </x:c>
      <x:c r="B496" s="2" t="str">
        <x:v>MM-1513</x:v>
      </x:c>
      <x:c r="C496" s="2" t="str">
        <x:v>Paid Social</x:v>
      </x:c>
      <x:c r="D496" s="2" t="str">
        <x:v>CUS-031</x:v>
      </x:c>
      <x:c r="E496" s="10" t="n">
        <x:v>164.8</x:v>
      </x:c>
      <x:c r="F496" s="10" t="n">
        <x:v>0</x:v>
      </x:c>
      <x:c r="G496" s="10" t="n">
        <x:v>0</x:v>
      </x:c>
      <x:c r="H496" s="10" t="n">
        <x:v>164.8</x:v>
      </x:c>
      <x:c r="I496" s="10" t="n">
        <x:v>64.5</x:v>
      </x:c>
      <x:c r="J496" s="10" t="n">
        <x:v>100.3</x:v>
      </x:c>
      <x:c r="K496" s="2" t="n">
        <x:v>4</x:v>
      </x:c>
      <x:c r="L496" s="2" t="n">
        <x:v>0</x:v>
      </x:c>
    </x:row>
    <x:row r="497" ht="20" customHeight="1">
      <x:c r="A497" s="9" t="n">
        <x:v>46291</x:v>
      </x:c>
      <x:c r="B497" s="2" t="str">
        <x:v>MM-1521</x:v>
      </x:c>
      <x:c r="C497" s="2" t="str">
        <x:v>Paid Social</x:v>
      </x:c>
      <x:c r="D497" s="2" t="str">
        <x:v>CUS-005</x:v>
      </x:c>
      <x:c r="E497" s="10" t="n">
        <x:v>63.85</x:v>
      </x:c>
      <x:c r="F497" s="10" t="n">
        <x:v>0</x:v>
      </x:c>
      <x:c r="G497" s="10" t="n">
        <x:v>0</x:v>
      </x:c>
      <x:c r="H497" s="10" t="n">
        <x:v>63.85</x:v>
      </x:c>
      <x:c r="I497" s="10" t="n">
        <x:v>21</x:v>
      </x:c>
      <x:c r="J497" s="10" t="n">
        <x:v>42.85</x:v>
      </x:c>
      <x:c r="K497" s="2" t="n">
        <x:v>3</x:v>
      </x:c>
      <x:c r="L497" s="2" t="n">
        <x:v>0</x:v>
      </x:c>
    </x:row>
    <x:row r="498" ht="20" customHeight="1">
      <x:c r="A498" s="9" t="n">
        <x:v>46291</x:v>
      </x:c>
      <x:c r="B498" s="2" t="str">
        <x:v>MM-1524</x:v>
      </x:c>
      <x:c r="C498" s="2" t="str">
        <x:v>Organic Search</x:v>
      </x:c>
      <x:c r="D498" s="2" t="str">
        <x:v>CUS-152</x:v>
      </x:c>
      <x:c r="E498" s="10" t="n">
        <x:v>19.9</x:v>
      </x:c>
      <x:c r="F498" s="10" t="n">
        <x:v>0</x:v>
      </x:c>
      <x:c r="G498" s="10" t="n">
        <x:v>0</x:v>
      </x:c>
      <x:c r="H498" s="10" t="n">
        <x:v>19.9</x:v>
      </x:c>
      <x:c r="I498" s="10" t="n">
        <x:v>5</x:v>
      </x:c>
      <x:c r="J498" s="10" t="n">
        <x:v>14.9</x:v>
      </x:c>
      <x:c r="K498" s="2" t="n">
        <x:v>2</x:v>
      </x:c>
      <x:c r="L498" s="2" t="n">
        <x:v>0</x:v>
      </x:c>
    </x:row>
    <x:row r="499" ht="20" customHeight="1">
      <x:c r="A499" s="9" t="n">
        <x:v>46291</x:v>
      </x:c>
      <x:c r="B499" s="2" t="str">
        <x:v>MM-1526</x:v>
      </x:c>
      <x:c r="C499" s="2" t="str">
        <x:v>Email</x:v>
      </x:c>
      <x:c r="D499" s="2" t="str">
        <x:v>CUS-148</x:v>
      </x:c>
      <x:c r="E499" s="10" t="n">
        <x:v>221.75</x:v>
      </x:c>
      <x:c r="F499" s="10" t="n">
        <x:v>22.16</x:v>
      </x:c>
      <x:c r="G499" s="10" t="n">
        <x:v>0</x:v>
      </x:c>
      <x:c r="H499" s="10" t="n">
        <x:v>199.59</x:v>
      </x:c>
      <x:c r="I499" s="10" t="n">
        <x:v>87</x:v>
      </x:c>
      <x:c r="J499" s="10" t="n">
        <x:v>112.59</x:v>
      </x:c>
      <x:c r="K499" s="2" t="n">
        <x:v>5</x:v>
      </x:c>
      <x:c r="L499" s="2" t="n">
        <x:v>0</x:v>
      </x:c>
    </x:row>
    <x:row r="500" ht="20" customHeight="1">
      <x:c r="A500" s="9" t="n">
        <x:v>46291</x:v>
      </x:c>
      <x:c r="B500" s="2" t="str">
        <x:v>MM-1532</x:v>
      </x:c>
      <x:c r="C500" s="2" t="str">
        <x:v>Email</x:v>
      </x:c>
      <x:c r="D500" s="2" t="str">
        <x:v>CUS-121</x:v>
      </x:c>
      <x:c r="E500" s="10" t="n">
        <x:v>99.85</x:v>
      </x:c>
      <x:c r="F500" s="10" t="n">
        <x:v>9.98</x:v>
      </x:c>
      <x:c r="G500" s="10" t="n">
        <x:v>0</x:v>
      </x:c>
      <x:c r="H500" s="10" t="n">
        <x:v>89.87</x:v>
      </x:c>
      <x:c r="I500" s="10" t="n">
        <x:v>36</x:v>
      </x:c>
      <x:c r="J500" s="10" t="n">
        <x:v>53.87</x:v>
      </x:c>
      <x:c r="K500" s="2" t="n">
        <x:v>3</x:v>
      </x:c>
      <x:c r="L500" s="2" t="n">
        <x:v>0</x:v>
      </x:c>
    </x:row>
    <x:row r="501" ht="20" customHeight="1">
      <x:c r="A501" s="9" t="n">
        <x:v>46291</x:v>
      </x:c>
      <x:c r="B501" s="2" t="str">
        <x:v>MM-1517</x:v>
      </x:c>
      <x:c r="C501" s="2" t="str">
        <x:v>Email</x:v>
      </x:c>
      <x:c r="D501" s="2" t="str">
        <x:v>CUS-160</x:v>
      </x:c>
      <x:c r="E501" s="10" t="n">
        <x:v>105.85</x:v>
      </x:c>
      <x:c r="F501" s="10" t="n">
        <x:v>10.58</x:v>
      </x:c>
      <x:c r="G501" s="10" t="n">
        <x:v>0</x:v>
      </x:c>
      <x:c r="H501" s="10" t="n">
        <x:v>95.27</x:v>
      </x:c>
      <x:c r="I501" s="10" t="n">
        <x:v>39</x:v>
      </x:c>
      <x:c r="J501" s="10" t="n">
        <x:v>56.27</x:v>
      </x:c>
      <x:c r="K501" s="2" t="n">
        <x:v>3</x:v>
      </x:c>
      <x:c r="L501" s="2" t="n">
        <x:v>0</x:v>
      </x:c>
    </x:row>
    <x:row r="502" ht="20" customHeight="1">
      <x:c r="A502" s="9" t="n">
        <x:v>46291</x:v>
      </x:c>
      <x:c r="B502" s="2" t="str">
        <x:v>MM-1520</x:v>
      </x:c>
      <x:c r="C502" s="2" t="str">
        <x:v>Organic Search</x:v>
      </x:c>
      <x:c r="D502" s="2" t="str">
        <x:v>CUS-116</x:v>
      </x:c>
      <x:c r="E502" s="10" t="n">
        <x:v>34.9</x:v>
      </x:c>
      <x:c r="F502" s="10" t="n">
        <x:v>3.48</x:v>
      </x:c>
      <x:c r="G502" s="10" t="n">
        <x:v>22.46</x:v>
      </x:c>
      <x:c r="H502" s="10" t="n">
        <x:v>8.96</x:v>
      </x:c>
      <x:c r="I502" s="10" t="n">
        <x:v>2.5</x:v>
      </x:c>
      <x:c r="J502" s="10" t="n">
        <x:v>6.46</x:v>
      </x:c>
      <x:c r="K502" s="2" t="n">
        <x:v>2</x:v>
      </x:c>
      <x:c r="L502" s="2" t="n">
        <x:v>1</x:v>
      </x:c>
    </x:row>
    <x:row r="503" ht="20" customHeight="1">
      <x:c r="A503" s="9" t="n">
        <x:v>46291</x:v>
      </x:c>
      <x:c r="B503" s="2" t="str">
        <x:v>MM-1523</x:v>
      </x:c>
      <x:c r="C503" s="2" t="str">
        <x:v>Paid Social</x:v>
      </x:c>
      <x:c r="D503" s="2" t="str">
        <x:v>CUS-172</x:v>
      </x:c>
      <x:c r="E503" s="10" t="n">
        <x:v>198.75</x:v>
      </x:c>
      <x:c r="F503" s="10" t="n">
        <x:v>0</x:v>
      </x:c>
      <x:c r="G503" s="10" t="n">
        <x:v>0</x:v>
      </x:c>
      <x:c r="H503" s="10" t="n">
        <x:v>198.75</x:v>
      </x:c>
      <x:c r="I503" s="10" t="n">
        <x:v>74</x:v>
      </x:c>
      <x:c r="J503" s="10" t="n">
        <x:v>124.75</x:v>
      </x:c>
      <x:c r="K503" s="2" t="n">
        <x:v>5</x:v>
      </x:c>
      <x:c r="L503" s="2" t="n">
        <x:v>0</x:v>
      </x:c>
    </x:row>
    <x:row r="504" ht="20" customHeight="1">
      <x:c r="A504" s="9" t="n">
        <x:v>46291</x:v>
      </x:c>
      <x:c r="B504" s="2" t="str">
        <x:v>MM-1527</x:v>
      </x:c>
      <x:c r="C504" s="2" t="str">
        <x:v>Email</x:v>
      </x:c>
      <x:c r="D504" s="2" t="str">
        <x:v>CUS-142</x:v>
      </x:c>
      <x:c r="E504" s="10" t="n">
        <x:v>19.95</x:v>
      </x:c>
      <x:c r="F504" s="10" t="n">
        <x:v>1.99</x:v>
      </x:c>
      <x:c r="G504" s="10" t="n">
        <x:v>0</x:v>
      </x:c>
      <x:c r="H504" s="10" t="n">
        <x:v>17.96</x:v>
      </x:c>
      <x:c r="I504" s="10" t="n">
        <x:v>6</x:v>
      </x:c>
      <x:c r="J504" s="10" t="n">
        <x:v>11.96</x:v>
      </x:c>
      <x:c r="K504" s="2" t="n">
        <x:v>1</x:v>
      </x:c>
      <x:c r="L504" s="2" t="n">
        <x:v>0</x:v>
      </x:c>
    </x:row>
    <x:row r="505" ht="20" customHeight="1">
      <x:c r="A505" s="9" t="n">
        <x:v>46291</x:v>
      </x:c>
      <x:c r="B505" s="2" t="str">
        <x:v>MM-1528</x:v>
      </x:c>
      <x:c r="C505" s="2" t="str">
        <x:v>Organic Search</x:v>
      </x:c>
      <x:c r="D505" s="2" t="str">
        <x:v>CUS-090</x:v>
      </x:c>
      <x:c r="E505" s="10" t="n">
        <x:v>89.85</x:v>
      </x:c>
      <x:c r="F505" s="10" t="n">
        <x:v>0</x:v>
      </x:c>
      <x:c r="G505" s="10" t="n">
        <x:v>0</x:v>
      </x:c>
      <x:c r="H505" s="10" t="n">
        <x:v>89.85</x:v>
      </x:c>
      <x:c r="I505" s="10" t="n">
        <x:v>30</x:v>
      </x:c>
      <x:c r="J505" s="10" t="n">
        <x:v>59.85</x:v>
      </x:c>
      <x:c r="K505" s="2" t="n">
        <x:v>3</x:v>
      </x:c>
      <x:c r="L505" s="2" t="n">
        <x:v>0</x:v>
      </x:c>
    </x:row>
    <x:row r="506" ht="20" customHeight="1">
      <x:c r="A506" s="9" t="n">
        <x:v>46291</x:v>
      </x:c>
      <x:c r="B506" s="2" t="str">
        <x:v>MM-1518</x:v>
      </x:c>
      <x:c r="C506" s="2" t="str">
        <x:v>Organic Search</x:v>
      </x:c>
      <x:c r="D506" s="2" t="str">
        <x:v>CUS-141</x:v>
      </x:c>
      <x:c r="E506" s="10" t="n">
        <x:v>159.65</x:v>
      </x:c>
      <x:c r="F506" s="10" t="n">
        <x:v>0</x:v>
      </x:c>
      <x:c r="G506" s="10" t="n">
        <x:v>0</x:v>
      </x:c>
      <x:c r="H506" s="10" t="n">
        <x:v>159.65</x:v>
      </x:c>
      <x:c r="I506" s="10" t="n">
        <x:v>53.5</x:v>
      </x:c>
      <x:c r="J506" s="10" t="n">
        <x:v>106.15</x:v>
      </x:c>
      <x:c r="K506" s="2" t="n">
        <x:v>7</x:v>
      </x:c>
      <x:c r="L506" s="2" t="n">
        <x:v>0</x:v>
      </x:c>
    </x:row>
    <x:row r="507" ht="20" customHeight="1">
      <x:c r="A507" s="9" t="n">
        <x:v>46291</x:v>
      </x:c>
      <x:c r="B507" s="2" t="str">
        <x:v>MM-1522</x:v>
      </x:c>
      <x:c r="C507" s="2" t="str">
        <x:v>Organic Search</x:v>
      </x:c>
      <x:c r="D507" s="2" t="str">
        <x:v>CUS-150</x:v>
      </x:c>
      <x:c r="E507" s="10" t="n">
        <x:v>43.9</x:v>
      </x:c>
      <x:c r="F507" s="10" t="n">
        <x:v>0</x:v>
      </x:c>
      <x:c r="G507" s="10" t="n">
        <x:v>0</x:v>
      </x:c>
      <x:c r="H507" s="10" t="n">
        <x:v>43.9</x:v>
      </x:c>
      <x:c r="I507" s="10" t="n">
        <x:v>15.5</x:v>
      </x:c>
      <x:c r="J507" s="10" t="n">
        <x:v>28.4</x:v>
      </x:c>
      <x:c r="K507" s="2" t="n">
        <x:v>2</x:v>
      </x:c>
      <x:c r="L507" s="2" t="n">
        <x:v>0</x:v>
      </x:c>
    </x:row>
    <x:row r="508" ht="20" customHeight="1">
      <x:c r="A508" s="9" t="n">
        <x:v>46291</x:v>
      </x:c>
      <x:c r="B508" s="2" t="str">
        <x:v>MM-1530</x:v>
      </x:c>
      <x:c r="C508" s="2" t="str">
        <x:v>Organic Search</x:v>
      </x:c>
      <x:c r="D508" s="2" t="str">
        <x:v>CUS-125</x:v>
      </x:c>
      <x:c r="E508" s="10" t="n">
        <x:v>47.9</x:v>
      </x:c>
      <x:c r="F508" s="10" t="n">
        <x:v>0</x:v>
      </x:c>
      <x:c r="G508" s="10" t="n">
        <x:v>24.95</x:v>
      </x:c>
      <x:c r="H508" s="10" t="n">
        <x:v>22.95</x:v>
      </x:c>
      <x:c r="I508" s="10" t="n">
        <x:v>8.5</x:v>
      </x:c>
      <x:c r="J508" s="10" t="n">
        <x:v>14.45</x:v>
      </x:c>
      <x:c r="K508" s="2" t="n">
        <x:v>2</x:v>
      </x:c>
      <x:c r="L508" s="2" t="n">
        <x:v>1</x:v>
      </x:c>
    </x:row>
    <x:row r="509" ht="20" customHeight="1">
      <x:c r="A509" s="9" t="n">
        <x:v>46291</x:v>
      </x:c>
      <x:c r="B509" s="2" t="str">
        <x:v>MM-1531</x:v>
      </x:c>
      <x:c r="C509" s="2" t="str">
        <x:v>Email</x:v>
      </x:c>
      <x:c r="D509" s="2" t="str">
        <x:v>CUS-124</x:v>
      </x:c>
      <x:c r="E509" s="10" t="n">
        <x:v>25.9</x:v>
      </x:c>
      <x:c r="F509" s="10" t="n">
        <x:v>2.59</x:v>
      </x:c>
      <x:c r="G509" s="10" t="n">
        <x:v>0</x:v>
      </x:c>
      <x:c r="H509" s="10" t="n">
        <x:v>23.31</x:v>
      </x:c>
      <x:c r="I509" s="10" t="n">
        <x:v>7</x:v>
      </x:c>
      <x:c r="J509" s="10" t="n">
        <x:v>16.31</x:v>
      </x:c>
      <x:c r="K509" s="2" t="n">
        <x:v>2</x:v>
      </x:c>
      <x:c r="L509" s="2" t="n">
        <x:v>0</x:v>
      </x:c>
    </x:row>
    <x:row r="510" ht="20" customHeight="1">
      <x:c r="A510" s="9" t="n">
        <x:v>46291</x:v>
      </x:c>
      <x:c r="B510" s="2" t="str">
        <x:v>MM-1515</x:v>
      </x:c>
      <x:c r="C510" s="2" t="str">
        <x:v>Paid Social</x:v>
      </x:c>
      <x:c r="D510" s="2" t="str">
        <x:v>CUS-135</x:v>
      </x:c>
      <x:c r="E510" s="10" t="n">
        <x:v>98.8</x:v>
      </x:c>
      <x:c r="F510" s="10" t="n">
        <x:v>1.99</x:v>
      </x:c>
      <x:c r="G510" s="10" t="n">
        <x:v>0</x:v>
      </x:c>
      <x:c r="H510" s="10" t="n">
        <x:v>96.81</x:v>
      </x:c>
      <x:c r="I510" s="10" t="n">
        <x:v>35.5</x:v>
      </x:c>
      <x:c r="J510" s="10" t="n">
        <x:v>61.31</x:v>
      </x:c>
      <x:c r="K510" s="2" t="n">
        <x:v>4</x:v>
      </x:c>
      <x:c r="L510" s="2" t="n">
        <x:v>0</x:v>
      </x:c>
    </x:row>
    <x:row r="511" ht="20" customHeight="1">
      <x:c r="A511" s="9" t="n">
        <x:v>46291</x:v>
      </x:c>
      <x:c r="B511" s="2" t="str">
        <x:v>MM-1516</x:v>
      </x:c>
      <x:c r="C511" s="2" t="str">
        <x:v>Paid Social</x:v>
      </x:c>
      <x:c r="D511" s="2" t="str">
        <x:v>CUS-156</x:v>
      </x:c>
      <x:c r="E511" s="10" t="n">
        <x:v>12.95</x:v>
      </x:c>
      <x:c r="F511" s="10" t="n">
        <x:v>0</x:v>
      </x:c>
      <x:c r="G511" s="10" t="n">
        <x:v>0</x:v>
      </x:c>
      <x:c r="H511" s="10" t="n">
        <x:v>12.95</x:v>
      </x:c>
      <x:c r="I511" s="10" t="n">
        <x:v>3.5</x:v>
      </x:c>
      <x:c r="J511" s="10" t="n">
        <x:v>9.45</x:v>
      </x:c>
      <x:c r="K511" s="2" t="n">
        <x:v>1</x:v>
      </x:c>
      <x:c r="L511" s="2" t="n">
        <x:v>0</x:v>
      </x:c>
    </x:row>
    <x:row r="512" ht="20" customHeight="1">
      <x:c r="A512" s="9" t="n">
        <x:v>46291</x:v>
      </x:c>
      <x:c r="B512" s="2" t="str">
        <x:v>MM-1525</x:v>
      </x:c>
      <x:c r="C512" s="2" t="str">
        <x:v>Direct</x:v>
      </x:c>
      <x:c r="D512" s="2" t="str">
        <x:v>CUS-008</x:v>
      </x:c>
      <x:c r="E512" s="10" t="n">
        <x:v>45.85</x:v>
      </x:c>
      <x:c r="F512" s="10" t="n">
        <x:v>2.59</x:v>
      </x:c>
      <x:c r="G512" s="10" t="n">
        <x:v>0</x:v>
      </x:c>
      <x:c r="H512" s="10" t="n">
        <x:v>43.26</x:v>
      </x:c>
      <x:c r="I512" s="10" t="n">
        <x:v>13</x:v>
      </x:c>
      <x:c r="J512" s="10" t="n">
        <x:v>30.26</x:v>
      </x:c>
      <x:c r="K512" s="2" t="n">
        <x:v>3</x:v>
      </x:c>
      <x:c r="L512" s="2" t="n">
        <x:v>0</x:v>
      </x:c>
    </x:row>
    <x:row r="513" ht="20" customHeight="1">
      <x:c r="A513" s="9" t="n">
        <x:v>46291</x:v>
      </x:c>
      <x:c r="B513" s="2" t="str">
        <x:v>MM-1529</x:v>
      </x:c>
      <x:c r="C513" s="2" t="str">
        <x:v>Email</x:v>
      </x:c>
      <x:c r="D513" s="2" t="str">
        <x:v>CUS-052</x:v>
      </x:c>
      <x:c r="E513" s="10" t="n">
        <x:v>70.85</x:v>
      </x:c>
      <x:c r="F513" s="10" t="n">
        <x:v>7.07</x:v>
      </x:c>
      <x:c r="G513" s="10" t="n">
        <x:v>0</x:v>
      </x:c>
      <x:c r="H513" s="10" t="n">
        <x:v>63.78</x:v>
      </x:c>
      <x:c r="I513" s="10" t="n">
        <x:v>24</x:v>
      </x:c>
      <x:c r="J513" s="10" t="n">
        <x:v>39.78</x:v>
      </x:c>
      <x:c r="K513" s="2" t="n">
        <x:v>3</x:v>
      </x:c>
      <x:c r="L513" s="2" t="n">
        <x:v>0</x:v>
      </x:c>
    </x:row>
    <x:row r="514" ht="20" customHeight="1">
      <x:c r="A514" s="9" t="n">
        <x:v>46292</x:v>
      </x:c>
      <x:c r="B514" s="2" t="str">
        <x:v>MM-1550</x:v>
      </x:c>
      <x:c r="C514" s="2" t="str">
        <x:v>Email</x:v>
      </x:c>
      <x:c r="D514" s="2" t="str">
        <x:v>CUS-107</x:v>
      </x:c>
      <x:c r="E514" s="10" t="n">
        <x:v>32.95</x:v>
      </x:c>
      <x:c r="F514" s="10" t="n">
        <x:v>3.29</x:v>
      </x:c>
      <x:c r="G514" s="10" t="n">
        <x:v>0</x:v>
      </x:c>
      <x:c r="H514" s="10" t="n">
        <x:v>29.66</x:v>
      </x:c>
      <x:c r="I514" s="10" t="n">
        <x:v>12</x:v>
      </x:c>
      <x:c r="J514" s="10" t="n">
        <x:v>17.66</x:v>
      </x:c>
      <x:c r="K514" s="2" t="n">
        <x:v>1</x:v>
      </x:c>
      <x:c r="L514" s="2" t="n">
        <x:v>0</x:v>
      </x:c>
    </x:row>
    <x:row r="515" ht="20" customHeight="1">
      <x:c r="A515" s="9" t="n">
        <x:v>46292</x:v>
      </x:c>
      <x:c r="B515" s="2" t="str">
        <x:v>MM-1537</x:v>
      </x:c>
      <x:c r="C515" s="2" t="str">
        <x:v>Direct</x:v>
      </x:c>
      <x:c r="D515" s="2" t="str">
        <x:v>CUS-122</x:v>
      </x:c>
      <x:c r="E515" s="10" t="n">
        <x:v>34.9</x:v>
      </x:c>
      <x:c r="F515" s="10" t="n">
        <x:v>0.99</x:v>
      </x:c>
      <x:c r="G515" s="10" t="n">
        <x:v>0</x:v>
      </x:c>
      <x:c r="H515" s="10" t="n">
        <x:v>33.91</x:v>
      </x:c>
      <x:c r="I515" s="10" t="n">
        <x:v>11.5</x:v>
      </x:c>
      <x:c r="J515" s="10" t="n">
        <x:v>22.41</x:v>
      </x:c>
      <x:c r="K515" s="2" t="n">
        <x:v>2</x:v>
      </x:c>
      <x:c r="L515" s="2" t="n">
        <x:v>0</x:v>
      </x:c>
    </x:row>
    <x:row r="516" ht="20" customHeight="1">
      <x:c r="A516" s="9" t="n">
        <x:v>46292</x:v>
      </x:c>
      <x:c r="B516" s="2" t="str">
        <x:v>MM-1547</x:v>
      </x:c>
      <x:c r="C516" s="2" t="str">
        <x:v>Organic Search</x:v>
      </x:c>
      <x:c r="D516" s="2" t="str">
        <x:v>CUS-099</x:v>
      </x:c>
      <x:c r="E516" s="10" t="n">
        <x:v>22.95</x:v>
      </x:c>
      <x:c r="F516" s="10" t="n">
        <x:v>0</x:v>
      </x:c>
      <x:c r="G516" s="10" t="n">
        <x:v>0</x:v>
      </x:c>
      <x:c r="H516" s="10" t="n">
        <x:v>22.95</x:v>
      </x:c>
      <x:c r="I516" s="10" t="n">
        <x:v>8.5</x:v>
      </x:c>
      <x:c r="J516" s="10" t="n">
        <x:v>14.45</x:v>
      </x:c>
      <x:c r="K516" s="2" t="n">
        <x:v>1</x:v>
      </x:c>
      <x:c r="L516" s="2" t="n">
        <x:v>0</x:v>
      </x:c>
    </x:row>
    <x:row r="517" ht="20" customHeight="1">
      <x:c r="A517" s="9" t="n">
        <x:v>46292</x:v>
      </x:c>
      <x:c r="B517" s="2" t="str">
        <x:v>MM-1549</x:v>
      </x:c>
      <x:c r="C517" s="2" t="str">
        <x:v>Email</x:v>
      </x:c>
      <x:c r="D517" s="2" t="str">
        <x:v>CUS-025</x:v>
      </x:c>
      <x:c r="E517" s="10" t="n">
        <x:v>69.9</x:v>
      </x:c>
      <x:c r="F517" s="10" t="n">
        <x:v>6.99</x:v>
      </x:c>
      <x:c r="G517" s="10" t="n">
        <x:v>0</x:v>
      </x:c>
      <x:c r="H517" s="10" t="n">
        <x:v>62.91</x:v>
      </x:c>
      <x:c r="I517" s="10" t="n">
        <x:v>27</x:v>
      </x:c>
      <x:c r="J517" s="10" t="n">
        <x:v>35.91</x:v>
      </x:c>
      <x:c r="K517" s="2" t="n">
        <x:v>2</x:v>
      </x:c>
      <x:c r="L517" s="2" t="n">
        <x:v>0</x:v>
      </x:c>
    </x:row>
    <x:row r="518" ht="20" customHeight="1">
      <x:c r="A518" s="9" t="n">
        <x:v>46292</x:v>
      </x:c>
      <x:c r="B518" s="2" t="str">
        <x:v>MM-1544</x:v>
      </x:c>
      <x:c r="C518" s="2" t="str">
        <x:v>Email</x:v>
      </x:c>
      <x:c r="D518" s="2" t="str">
        <x:v>CUS-174</x:v>
      </x:c>
      <x:c r="E518" s="10" t="n">
        <x:v>9.95</x:v>
      </x:c>
      <x:c r="F518" s="10" t="n">
        <x:v>0.99</x:v>
      </x:c>
      <x:c r="G518" s="10" t="n">
        <x:v>0</x:v>
      </x:c>
      <x:c r="H518" s="10" t="n">
        <x:v>8.96</x:v>
      </x:c>
      <x:c r="I518" s="10" t="n">
        <x:v>2.5</x:v>
      </x:c>
      <x:c r="J518" s="10" t="n">
        <x:v>6.46</x:v>
      </x:c>
      <x:c r="K518" s="2" t="n">
        <x:v>1</x:v>
      </x:c>
      <x:c r="L518" s="2" t="n">
        <x:v>0</x:v>
      </x:c>
    </x:row>
    <x:row r="519" ht="20" customHeight="1">
      <x:c r="A519" s="9" t="n">
        <x:v>46292</x:v>
      </x:c>
      <x:c r="B519" s="2" t="str">
        <x:v>MM-1545</x:v>
      </x:c>
      <x:c r="C519" s="2" t="str">
        <x:v>Direct</x:v>
      </x:c>
      <x:c r="D519" s="2" t="str">
        <x:v>CUS-155</x:v>
      </x:c>
      <x:c r="E519" s="10" t="n">
        <x:v>129.9</x:v>
      </x:c>
      <x:c r="F519" s="10" t="n">
        <x:v>0</x:v>
      </x:c>
      <x:c r="G519" s="10" t="n">
        <x:v>0</x:v>
      </x:c>
      <x:c r="H519" s="10" t="n">
        <x:v>129.9</x:v>
      </x:c>
      <x:c r="I519" s="10" t="n">
        <x:v>52</x:v>
      </x:c>
      <x:c r="J519" s="10" t="n">
        <x:v>77.9</x:v>
      </x:c>
      <x:c r="K519" s="2" t="n">
        <x:v>2</x:v>
      </x:c>
      <x:c r="L519" s="2" t="n">
        <x:v>0</x:v>
      </x:c>
    </x:row>
    <x:row r="520" ht="20" customHeight="1">
      <x:c r="A520" s="9" t="n">
        <x:v>46292</x:v>
      </x:c>
      <x:c r="B520" s="2" t="str">
        <x:v>MM-1534</x:v>
      </x:c>
      <x:c r="C520" s="2" t="str">
        <x:v>Direct</x:v>
      </x:c>
      <x:c r="D520" s="2" t="str">
        <x:v>CUS-016</x:v>
      </x:c>
      <x:c r="E520" s="10" t="n">
        <x:v>54.95</x:v>
      </x:c>
      <x:c r="F520" s="10" t="n">
        <x:v>0</x:v>
      </x:c>
      <x:c r="G520" s="10" t="n">
        <x:v>54.95</x:v>
      </x:c>
      <x:c r="H520" s="10" t="n">
        <x:v>0</x:v>
      </x:c>
      <x:c r="I520" s="10" t="n">
        <x:v>0</x:v>
      </x:c>
      <x:c r="J520" s="10" t="n">
        <x:v>0</x:v>
      </x:c>
      <x:c r="K520" s="2" t="n">
        <x:v>1</x:v>
      </x:c>
      <x:c r="L520" s="2" t="n">
        <x:v>1</x:v>
      </x:c>
    </x:row>
    <x:row r="521" ht="20" customHeight="1">
      <x:c r="A521" s="9" t="n">
        <x:v>46292</x:v>
      </x:c>
      <x:c r="B521" s="2" t="str">
        <x:v>MM-1542</x:v>
      </x:c>
      <x:c r="C521" s="2" t="str">
        <x:v>Organic Search</x:v>
      </x:c>
      <x:c r="D521" s="2" t="str">
        <x:v>CUS-080</x:v>
      </x:c>
      <x:c r="E521" s="10" t="n">
        <x:v>67.9</x:v>
      </x:c>
      <x:c r="F521" s="10" t="n">
        <x:v>3.49</x:v>
      </x:c>
      <x:c r="G521" s="10" t="n">
        <x:v>0</x:v>
      </x:c>
      <x:c r="H521" s="10" t="n">
        <x:v>64.41</x:v>
      </x:c>
      <x:c r="I521" s="10" t="n">
        <x:v>25.5</x:v>
      </x:c>
      <x:c r="J521" s="10" t="n">
        <x:v>38.91</x:v>
      </x:c>
      <x:c r="K521" s="2" t="n">
        <x:v>2</x:v>
      </x:c>
      <x:c r="L521" s="2" t="n">
        <x:v>0</x:v>
      </x:c>
    </x:row>
    <x:row r="522" ht="20" customHeight="1">
      <x:c r="A522" s="9" t="n">
        <x:v>46292</x:v>
      </x:c>
      <x:c r="B522" s="2" t="str">
        <x:v>MM-1543</x:v>
      </x:c>
      <x:c r="C522" s="2" t="str">
        <x:v>Paid Social</x:v>
      </x:c>
      <x:c r="D522" s="2" t="str">
        <x:v>CUS-170</x:v>
      </x:c>
      <x:c r="E522" s="10" t="n">
        <x:v>82.9</x:v>
      </x:c>
      <x:c r="F522" s="10" t="n">
        <x:v>0</x:v>
      </x:c>
      <x:c r="G522" s="10" t="n">
        <x:v>0</x:v>
      </x:c>
      <x:c r="H522" s="10" t="n">
        <x:v>82.9</x:v>
      </x:c>
      <x:c r="I522" s="10" t="n">
        <x:v>31.5</x:v>
      </x:c>
      <x:c r="J522" s="10" t="n">
        <x:v>51.4</x:v>
      </x:c>
      <x:c r="K522" s="2" t="n">
        <x:v>2</x:v>
      </x:c>
      <x:c r="L522" s="2" t="n">
        <x:v>0</x:v>
      </x:c>
    </x:row>
    <x:row r="523" ht="20" customHeight="1">
      <x:c r="A523" s="9" t="n">
        <x:v>46292</x:v>
      </x:c>
      <x:c r="B523" s="2" t="str">
        <x:v>MM-1533</x:v>
      </x:c>
      <x:c r="C523" s="2" t="str">
        <x:v>Organic Search</x:v>
      </x:c>
      <x:c r="D523" s="2" t="str">
        <x:v>CUS-116</x:v>
      </x:c>
      <x:c r="E523" s="10" t="n">
        <x:v>194.8</x:v>
      </x:c>
      <x:c r="F523" s="10" t="n">
        <x:v>0</x:v>
      </x:c>
      <x:c r="G523" s="10" t="n">
        <x:v>0</x:v>
      </x:c>
      <x:c r="H523" s="10" t="n">
        <x:v>194.8</x:v>
      </x:c>
      <x:c r="I523" s="10" t="n">
        <x:v>77</x:v>
      </x:c>
      <x:c r="J523" s="10" t="n">
        <x:v>117.8</x:v>
      </x:c>
      <x:c r="K523" s="2" t="n">
        <x:v>4</x:v>
      </x:c>
      <x:c r="L523" s="2" t="n">
        <x:v>0</x:v>
      </x:c>
    </x:row>
    <x:row r="524" ht="20" customHeight="1">
      <x:c r="A524" s="9" t="n">
        <x:v>46292</x:v>
      </x:c>
      <x:c r="B524" s="2" t="str">
        <x:v>MM-1539</x:v>
      </x:c>
      <x:c r="C524" s="2" t="str">
        <x:v>Organic Search</x:v>
      </x:c>
      <x:c r="D524" s="2" t="str">
        <x:v>CUS-126</x:v>
      </x:c>
      <x:c r="E524" s="10" t="n">
        <x:v>94.9</x:v>
      </x:c>
      <x:c r="F524" s="10" t="n">
        <x:v>6.99</x:v>
      </x:c>
      <x:c r="G524" s="10" t="n">
        <x:v>0</x:v>
      </x:c>
      <x:c r="H524" s="10" t="n">
        <x:v>87.91</x:v>
      </x:c>
      <x:c r="I524" s="10" t="n">
        <x:v>37</x:v>
      </x:c>
      <x:c r="J524" s="10" t="n">
        <x:v>50.91</x:v>
      </x:c>
      <x:c r="K524" s="2" t="n">
        <x:v>2</x:v>
      </x:c>
      <x:c r="L524" s="2" t="n">
        <x:v>0</x:v>
      </x:c>
    </x:row>
    <x:row r="525" ht="20" customHeight="1">
      <x:c r="A525" s="9" t="n">
        <x:v>46292</x:v>
      </x:c>
      <x:c r="B525" s="2" t="str">
        <x:v>MM-1546</x:v>
      </x:c>
      <x:c r="C525" s="2" t="str">
        <x:v>Organic Search</x:v>
      </x:c>
      <x:c r="D525" s="2" t="str">
        <x:v>CUS-092</x:v>
      </x:c>
      <x:c r="E525" s="10" t="n">
        <x:v>32.95</x:v>
      </x:c>
      <x:c r="F525" s="10" t="n">
        <x:v>0</x:v>
      </x:c>
      <x:c r="G525" s="10" t="n">
        <x:v>0</x:v>
      </x:c>
      <x:c r="H525" s="10" t="n">
        <x:v>32.95</x:v>
      </x:c>
      <x:c r="I525" s="10" t="n">
        <x:v>12</x:v>
      </x:c>
      <x:c r="J525" s="10" t="n">
        <x:v>20.95</x:v>
      </x:c>
      <x:c r="K525" s="2" t="n">
        <x:v>1</x:v>
      </x:c>
      <x:c r="L525" s="2" t="n">
        <x:v>0</x:v>
      </x:c>
    </x:row>
    <x:row r="526" ht="20" customHeight="1">
      <x:c r="A526" s="9" t="n">
        <x:v>46292</x:v>
      </x:c>
      <x:c r="B526" s="2" t="str">
        <x:v>MM-1552</x:v>
      </x:c>
      <x:c r="C526" s="2" t="str">
        <x:v>Organic Search</x:v>
      </x:c>
      <x:c r="D526" s="2" t="str">
        <x:v>CUS-008</x:v>
      </x:c>
      <x:c r="E526" s="10" t="n">
        <x:v>12.95</x:v>
      </x:c>
      <x:c r="F526" s="10" t="n">
        <x:v>0</x:v>
      </x:c>
      <x:c r="G526" s="10" t="n">
        <x:v>0</x:v>
      </x:c>
      <x:c r="H526" s="10" t="n">
        <x:v>12.95</x:v>
      </x:c>
      <x:c r="I526" s="10" t="n">
        <x:v>3.5</x:v>
      </x:c>
      <x:c r="J526" s="10" t="n">
        <x:v>9.45</x:v>
      </x:c>
      <x:c r="K526" s="2" t="n">
        <x:v>1</x:v>
      </x:c>
      <x:c r="L526" s="2" t="n">
        <x:v>0</x:v>
      </x:c>
    </x:row>
    <x:row r="527" ht="20" customHeight="1">
      <x:c r="A527" s="9" t="n">
        <x:v>46292</x:v>
      </x:c>
      <x:c r="B527" s="2" t="str">
        <x:v>MM-1541</x:v>
      </x:c>
      <x:c r="C527" s="2" t="str">
        <x:v>Organic Search</x:v>
      </x:c>
      <x:c r="D527" s="2" t="str">
        <x:v>CUS-100</x:v>
      </x:c>
      <x:c r="E527" s="10" t="n">
        <x:v>54.95</x:v>
      </x:c>
      <x:c r="F527" s="10" t="n">
        <x:v>5.49</x:v>
      </x:c>
      <x:c r="G527" s="10" t="n">
        <x:v>0</x:v>
      </x:c>
      <x:c r="H527" s="10" t="n">
        <x:v>49.46</x:v>
      </x:c>
      <x:c r="I527" s="10" t="n">
        <x:v>22</x:v>
      </x:c>
      <x:c r="J527" s="10" t="n">
        <x:v>27.46</x:v>
      </x:c>
      <x:c r="K527" s="2" t="n">
        <x:v>1</x:v>
      </x:c>
      <x:c r="L527" s="2" t="n">
        <x:v>0</x:v>
      </x:c>
    </x:row>
    <x:row r="528" ht="20" customHeight="1">
      <x:c r="A528" s="9" t="n">
        <x:v>46292</x:v>
      </x:c>
      <x:c r="B528" s="2" t="str">
        <x:v>MM-1548</x:v>
      </x:c>
      <x:c r="C528" s="2" t="str">
        <x:v>Direct</x:v>
      </x:c>
      <x:c r="D528" s="2" t="str">
        <x:v>CUS-141</x:v>
      </x:c>
      <x:c r="E528" s="10" t="n">
        <x:v>18.95</x:v>
      </x:c>
      <x:c r="F528" s="10" t="n">
        <x:v>0</x:v>
      </x:c>
      <x:c r="G528" s="10" t="n">
        <x:v>0</x:v>
      </x:c>
      <x:c r="H528" s="10" t="n">
        <x:v>18.95</x:v>
      </x:c>
      <x:c r="I528" s="10" t="n">
        <x:v>6.5</x:v>
      </x:c>
      <x:c r="J528" s="10" t="n">
        <x:v>12.45</x:v>
      </x:c>
      <x:c r="K528" s="2" t="n">
        <x:v>1</x:v>
      </x:c>
      <x:c r="L528" s="2" t="n">
        <x:v>0</x:v>
      </x:c>
    </x:row>
    <x:row r="529" ht="20" customHeight="1">
      <x:c r="A529" s="9" t="n">
        <x:v>46292</x:v>
      </x:c>
      <x:c r="B529" s="2" t="str">
        <x:v>MM-1551</x:v>
      </x:c>
      <x:c r="C529" s="2" t="str">
        <x:v>Paid Social</x:v>
      </x:c>
      <x:c r="D529" s="2" t="str">
        <x:v>CUS-012</x:v>
      </x:c>
      <x:c r="E529" s="10" t="n">
        <x:v>22.95</x:v>
      </x:c>
      <x:c r="F529" s="10" t="n">
        <x:v>2.29</x:v>
      </x:c>
      <x:c r="G529" s="10" t="n">
        <x:v>0</x:v>
      </x:c>
      <x:c r="H529" s="10" t="n">
        <x:v>20.66</x:v>
      </x:c>
      <x:c r="I529" s="10" t="n">
        <x:v>8.5</x:v>
      </x:c>
      <x:c r="J529" s="10" t="n">
        <x:v>12.16</x:v>
      </x:c>
      <x:c r="K529" s="2" t="n">
        <x:v>1</x:v>
      </x:c>
      <x:c r="L529" s="2" t="n">
        <x:v>0</x:v>
      </x:c>
    </x:row>
    <x:row r="530" ht="20" customHeight="1">
      <x:c r="A530" s="9" t="n">
        <x:v>46292</x:v>
      </x:c>
      <x:c r="B530" s="2" t="str">
        <x:v>MM-1536</x:v>
      </x:c>
      <x:c r="C530" s="2" t="str">
        <x:v>Direct</x:v>
      </x:c>
      <x:c r="D530" s="2" t="str">
        <x:v>CUS-125</x:v>
      </x:c>
      <x:c r="E530" s="10" t="n">
        <x:v>32.95</x:v>
      </x:c>
      <x:c r="F530" s="10" t="n">
        <x:v>0</x:v>
      </x:c>
      <x:c r="G530" s="10" t="n">
        <x:v>0</x:v>
      </x:c>
      <x:c r="H530" s="10" t="n">
        <x:v>32.95</x:v>
      </x:c>
      <x:c r="I530" s="10" t="n">
        <x:v>12</x:v>
      </x:c>
      <x:c r="J530" s="10" t="n">
        <x:v>20.95</x:v>
      </x:c>
      <x:c r="K530" s="2" t="n">
        <x:v>1</x:v>
      </x:c>
      <x:c r="L530" s="2" t="n">
        <x:v>0</x:v>
      </x:c>
    </x:row>
    <x:row r="531" ht="20" customHeight="1">
      <x:c r="A531" s="9" t="n">
        <x:v>46292</x:v>
      </x:c>
      <x:c r="B531" s="2" t="str">
        <x:v>MM-1538</x:v>
      </x:c>
      <x:c r="C531" s="2" t="str">
        <x:v>Organic Search</x:v>
      </x:c>
      <x:c r="D531" s="2" t="str">
        <x:v>CUS-138</x:v>
      </x:c>
      <x:c r="E531" s="10" t="n">
        <x:v>93.8</x:v>
      </x:c>
      <x:c r="F531" s="10" t="n">
        <x:v>0</x:v>
      </x:c>
      <x:c r="G531" s="10" t="n">
        <x:v>0</x:v>
      </x:c>
      <x:c r="H531" s="10" t="n">
        <x:v>93.8</x:v>
      </x:c>
      <x:c r="I531" s="10" t="n">
        <x:v>32</x:v>
      </x:c>
      <x:c r="J531" s="10" t="n">
        <x:v>61.8</x:v>
      </x:c>
      <x:c r="K531" s="2" t="n">
        <x:v>4</x:v>
      </x:c>
      <x:c r="L531" s="2" t="n">
        <x:v>0</x:v>
      </x:c>
    </x:row>
    <x:row r="532" ht="20" customHeight="1">
      <x:c r="A532" s="9" t="n">
        <x:v>46292</x:v>
      </x:c>
      <x:c r="B532" s="2" t="str">
        <x:v>MM-1535</x:v>
      </x:c>
      <x:c r="C532" s="2" t="str">
        <x:v>Direct</x:v>
      </x:c>
      <x:c r="D532" s="2" t="str">
        <x:v>CUS-010</x:v>
      </x:c>
      <x:c r="E532" s="10" t="n">
        <x:v>24.95</x:v>
      </x:c>
      <x:c r="F532" s="10" t="n">
        <x:v>0</x:v>
      </x:c>
      <x:c r="G532" s="10" t="n">
        <x:v>0</x:v>
      </x:c>
      <x:c r="H532" s="10" t="n">
        <x:v>24.95</x:v>
      </x:c>
      <x:c r="I532" s="10" t="n">
        <x:v>9</x:v>
      </x:c>
      <x:c r="J532" s="10" t="n">
        <x:v>15.95</x:v>
      </x:c>
      <x:c r="K532" s="2" t="n">
        <x:v>1</x:v>
      </x:c>
      <x:c r="L532" s="2" t="n">
        <x:v>0</x:v>
      </x:c>
    </x:row>
    <x:row r="533" ht="20" customHeight="1">
      <x:c r="A533" s="9" t="n">
        <x:v>46292</x:v>
      </x:c>
      <x:c r="B533" s="2" t="str">
        <x:v>MM-1540</x:v>
      </x:c>
      <x:c r="C533" s="2" t="str">
        <x:v>Email</x:v>
      </x:c>
      <x:c r="D533" s="2" t="str">
        <x:v>CUS-065</x:v>
      </x:c>
      <x:c r="E533" s="10" t="n">
        <x:v>79.95</x:v>
      </x:c>
      <x:c r="F533" s="10" t="n">
        <x:v>7.99</x:v>
      </x:c>
      <x:c r="G533" s="10" t="n">
        <x:v>0</x:v>
      </x:c>
      <x:c r="H533" s="10" t="n">
        <x:v>71.96</x:v>
      </x:c>
      <x:c r="I533" s="10" t="n">
        <x:v>32</x:v>
      </x:c>
      <x:c r="J533" s="10" t="n">
        <x:v>39.96</x:v>
      </x:c>
      <x:c r="K533" s="2" t="n">
        <x:v>1</x:v>
      </x:c>
      <x:c r="L533" s="2" t="n">
        <x:v>0</x:v>
      </x:c>
    </x:row>
    <x:row r="534" ht="20" customHeight="1">
      <x:c r="A534" s="9" t="n">
        <x:v>46293</x:v>
      </x:c>
      <x:c r="B534" s="2" t="str">
        <x:v>MM-1553</x:v>
      </x:c>
      <x:c r="C534" s="2" t="str">
        <x:v>Organic Search</x:v>
      </x:c>
      <x:c r="D534" s="2" t="str">
        <x:v>CUS-159</x:v>
      </x:c>
      <x:c r="E534" s="10" t="n">
        <x:v>22.95</x:v>
      </x:c>
      <x:c r="F534" s="10" t="n">
        <x:v>2.29</x:v>
      </x:c>
      <x:c r="G534" s="10" t="n">
        <x:v>0</x:v>
      </x:c>
      <x:c r="H534" s="10" t="n">
        <x:v>20.66</x:v>
      </x:c>
      <x:c r="I534" s="10" t="n">
        <x:v>8.5</x:v>
      </x:c>
      <x:c r="J534" s="10" t="n">
        <x:v>12.16</x:v>
      </x:c>
      <x:c r="K534" s="2" t="n">
        <x:v>1</x:v>
      </x:c>
      <x:c r="L534" s="2" t="n">
        <x:v>0</x:v>
      </x:c>
    </x:row>
    <x:row r="535" ht="20" customHeight="1">
      <x:c r="A535" s="9" t="n">
        <x:v>46293</x:v>
      </x:c>
      <x:c r="B535" s="2" t="str">
        <x:v>MM-1562</x:v>
      </x:c>
      <x:c r="C535" s="2" t="str">
        <x:v>Paid Social</x:v>
      </x:c>
      <x:c r="D535" s="2" t="str">
        <x:v>CUS-091</x:v>
      </x:c>
      <x:c r="E535" s="10" t="n">
        <x:v>24.95</x:v>
      </x:c>
      <x:c r="F535" s="10" t="n">
        <x:v>0</x:v>
      </x:c>
      <x:c r="G535" s="10" t="n">
        <x:v>0</x:v>
      </x:c>
      <x:c r="H535" s="10" t="n">
        <x:v>24.95</x:v>
      </x:c>
      <x:c r="I535" s="10" t="n">
        <x:v>8.5</x:v>
      </x:c>
      <x:c r="J535" s="10" t="n">
        <x:v>16.45</x:v>
      </x:c>
      <x:c r="K535" s="2" t="n">
        <x:v>1</x:v>
      </x:c>
      <x:c r="L535" s="2" t="n">
        <x:v>0</x:v>
      </x:c>
    </x:row>
    <x:row r="536" ht="20" customHeight="1">
      <x:c r="A536" s="9" t="n">
        <x:v>46293</x:v>
      </x:c>
      <x:c r="B536" s="2" t="str">
        <x:v>MM-1561</x:v>
      </x:c>
      <x:c r="C536" s="2" t="str">
        <x:v>Email</x:v>
      </x:c>
      <x:c r="D536" s="2" t="str">
        <x:v>CUS-151</x:v>
      </x:c>
      <x:c r="E536" s="10" t="n">
        <x:v>68.85</x:v>
      </x:c>
      <x:c r="F536" s="10" t="n">
        <x:v>6.88</x:v>
      </x:c>
      <x:c r="G536" s="10" t="n">
        <x:v>0</x:v>
      </x:c>
      <x:c r="H536" s="10" t="n">
        <x:v>61.97</x:v>
      </x:c>
      <x:c r="I536" s="10" t="n">
        <x:v>23.5</x:v>
      </x:c>
      <x:c r="J536" s="10" t="n">
        <x:v>38.47</x:v>
      </x:c>
      <x:c r="K536" s="2" t="n">
        <x:v>3</x:v>
      </x:c>
      <x:c r="L536" s="2" t="n">
        <x:v>0</x:v>
      </x:c>
    </x:row>
    <x:row r="537" ht="20" customHeight="1">
      <x:c r="A537" s="9" t="n">
        <x:v>46293</x:v>
      </x:c>
      <x:c r="B537" s="2" t="str">
        <x:v>MM-1563</x:v>
      </x:c>
      <x:c r="C537" s="2" t="str">
        <x:v>Direct</x:v>
      </x:c>
      <x:c r="D537" s="2" t="str">
        <x:v>CUS-120</x:v>
      </x:c>
      <x:c r="E537" s="10" t="n">
        <x:v>74.9</x:v>
      </x:c>
      <x:c r="F537" s="10" t="n">
        <x:v>0</x:v>
      </x:c>
      <x:c r="G537" s="10" t="n">
        <x:v>0</x:v>
      </x:c>
      <x:c r="H537" s="10" t="n">
        <x:v>74.9</x:v>
      </x:c>
      <x:c r="I537" s="10" t="n">
        <x:v>28</x:v>
      </x:c>
      <x:c r="J537" s="10" t="n">
        <x:v>46.9</x:v>
      </x:c>
      <x:c r="K537" s="2" t="n">
        <x:v>2</x:v>
      </x:c>
      <x:c r="L537" s="2" t="n">
        <x:v>0</x:v>
      </x:c>
    </x:row>
    <x:row r="538" ht="20" customHeight="1">
      <x:c r="A538" s="9" t="n">
        <x:v>46293</x:v>
      </x:c>
      <x:c r="B538" s="2" t="str">
        <x:v>MM-1564</x:v>
      </x:c>
      <x:c r="C538" s="2" t="str">
        <x:v>Direct</x:v>
      </x:c>
      <x:c r="D538" s="2" t="str">
        <x:v>CUS-170</x:v>
      </x:c>
      <x:c r="E538" s="10" t="n">
        <x:v>35.9</x:v>
      </x:c>
      <x:c r="F538" s="10" t="n">
        <x:v>2.29</x:v>
      </x:c>
      <x:c r="G538" s="10" t="n">
        <x:v>0</x:v>
      </x:c>
      <x:c r="H538" s="10" t="n">
        <x:v>33.61</x:v>
      </x:c>
      <x:c r="I538" s="10" t="n">
        <x:v>12</x:v>
      </x:c>
      <x:c r="J538" s="10" t="n">
        <x:v>21.61</x:v>
      </x:c>
      <x:c r="K538" s="2" t="n">
        <x:v>2</x:v>
      </x:c>
      <x:c r="L538" s="2" t="n">
        <x:v>0</x:v>
      </x:c>
    </x:row>
    <x:row r="539" ht="20" customHeight="1">
      <x:c r="A539" s="9" t="n">
        <x:v>46293</x:v>
      </x:c>
      <x:c r="B539" s="2" t="str">
        <x:v>MM-1565</x:v>
      </x:c>
      <x:c r="C539" s="2" t="str">
        <x:v>Organic Search</x:v>
      </x:c>
      <x:c r="D539" s="2" t="str">
        <x:v>CUS-175</x:v>
      </x:c>
      <x:c r="E539" s="10" t="n">
        <x:v>32.95</x:v>
      </x:c>
      <x:c r="F539" s="10" t="n">
        <x:v>0</x:v>
      </x:c>
      <x:c r="G539" s="10" t="n">
        <x:v>0</x:v>
      </x:c>
      <x:c r="H539" s="10" t="n">
        <x:v>32.95</x:v>
      </x:c>
      <x:c r="I539" s="10" t="n">
        <x:v>12</x:v>
      </x:c>
      <x:c r="J539" s="10" t="n">
        <x:v>20.95</x:v>
      </x:c>
      <x:c r="K539" s="2" t="n">
        <x:v>1</x:v>
      </x:c>
      <x:c r="L539" s="2" t="n">
        <x:v>0</x:v>
      </x:c>
    </x:row>
    <x:row r="540" ht="20" customHeight="1">
      <x:c r="A540" s="9" t="n">
        <x:v>46293</x:v>
      </x:c>
      <x:c r="B540" s="2" t="str">
        <x:v>MM-1560</x:v>
      </x:c>
      <x:c r="C540" s="2" t="str">
        <x:v>Organic Search</x:v>
      </x:c>
      <x:c r="D540" s="2" t="str">
        <x:v>CUS-013</x:v>
      </x:c>
      <x:c r="E540" s="10" t="n">
        <x:v>97.8</x:v>
      </x:c>
      <x:c r="F540" s="10" t="n">
        <x:v>0</x:v>
      </x:c>
      <x:c r="G540" s="10" t="n">
        <x:v>0</x:v>
      </x:c>
      <x:c r="H540" s="10" t="n">
        <x:v>97.8</x:v>
      </x:c>
      <x:c r="I540" s="10" t="n">
        <x:v>33</x:v>
      </x:c>
      <x:c r="J540" s="10" t="n">
        <x:v>64.8</x:v>
      </x:c>
      <x:c r="K540" s="2" t="n">
        <x:v>4</x:v>
      </x:c>
      <x:c r="L540" s="2" t="n">
        <x:v>0</x:v>
      </x:c>
    </x:row>
    <x:row r="541" ht="20" customHeight="1">
      <x:c r="A541" s="9" t="n">
        <x:v>46293</x:v>
      </x:c>
      <x:c r="B541" s="2" t="str">
        <x:v>MM-1557</x:v>
      </x:c>
      <x:c r="C541" s="2" t="str">
        <x:v>Email</x:v>
      </x:c>
      <x:c r="D541" s="2" t="str">
        <x:v>CUS-036</x:v>
      </x:c>
      <x:c r="E541" s="10" t="n">
        <x:v>102.9</x:v>
      </x:c>
      <x:c r="F541" s="10" t="n">
        <x:v>10.28</x:v>
      </x:c>
      <x:c r="G541" s="10" t="n">
        <x:v>0</x:v>
      </x:c>
      <x:c r="H541" s="10" t="n">
        <x:v>92.62</x:v>
      </x:c>
      <x:c r="I541" s="10" t="n">
        <x:v>40.5</x:v>
      </x:c>
      <x:c r="J541" s="10" t="n">
        <x:v>52.12</x:v>
      </x:c>
      <x:c r="K541" s="2" t="n">
        <x:v>2</x:v>
      </x:c>
      <x:c r="L541" s="2" t="n">
        <x:v>0</x:v>
      </x:c>
    </x:row>
    <x:row r="542" ht="20" customHeight="1">
      <x:c r="A542" s="9" t="n">
        <x:v>46293</x:v>
      </x:c>
      <x:c r="B542" s="2" t="str">
        <x:v>MM-1559</x:v>
      </x:c>
      <x:c r="C542" s="2" t="str">
        <x:v>Paid Social</x:v>
      </x:c>
      <x:c r="D542" s="2" t="str">
        <x:v>CUS-053</x:v>
      </x:c>
      <x:c r="E542" s="10" t="n">
        <x:v>54.95</x:v>
      </x:c>
      <x:c r="F542" s="10" t="n">
        <x:v>0</x:v>
      </x:c>
      <x:c r="G542" s="10" t="n">
        <x:v>0</x:v>
      </x:c>
      <x:c r="H542" s="10" t="n">
        <x:v>54.95</x:v>
      </x:c>
      <x:c r="I542" s="10" t="n">
        <x:v>22</x:v>
      </x:c>
      <x:c r="J542" s="10" t="n">
        <x:v>32.95</x:v>
      </x:c>
      <x:c r="K542" s="2" t="n">
        <x:v>1</x:v>
      </x:c>
      <x:c r="L542" s="2" t="n">
        <x:v>0</x:v>
      </x:c>
    </x:row>
    <x:row r="543" ht="20" customHeight="1">
      <x:c r="A543" s="9" t="n">
        <x:v>46293</x:v>
      </x:c>
      <x:c r="B543" s="2" t="str">
        <x:v>MM-1558</x:v>
      </x:c>
      <x:c r="C543" s="2" t="str">
        <x:v>Paid Social</x:v>
      </x:c>
      <x:c r="D543" s="2" t="str">
        <x:v>CUS-079</x:v>
      </x:c>
      <x:c r="E543" s="10" t="n">
        <x:v>34.95</x:v>
      </x:c>
      <x:c r="F543" s="10" t="n">
        <x:v>0</x:v>
      </x:c>
      <x:c r="G543" s="10" t="n">
        <x:v>0</x:v>
      </x:c>
      <x:c r="H543" s="10" t="n">
        <x:v>34.95</x:v>
      </x:c>
      <x:c r="I543" s="10" t="n">
        <x:v>13.5</x:v>
      </x:c>
      <x:c r="J543" s="10" t="n">
        <x:v>21.45</x:v>
      </x:c>
      <x:c r="K543" s="2" t="n">
        <x:v>1</x:v>
      </x:c>
      <x:c r="L543" s="2" t="n">
        <x:v>0</x:v>
      </x:c>
    </x:row>
    <x:row r="544" ht="20" customHeight="1">
      <x:c r="A544" s="9" t="n">
        <x:v>46293</x:v>
      </x:c>
      <x:c r="B544" s="2" t="str">
        <x:v>MM-1554</x:v>
      </x:c>
      <x:c r="C544" s="2" t="str">
        <x:v>Email</x:v>
      </x:c>
      <x:c r="D544" s="2" t="str">
        <x:v>CUS-036</x:v>
      </x:c>
      <x:c r="E544" s="10" t="n">
        <x:v>299.75</x:v>
      </x:c>
      <x:c r="F544" s="10" t="n">
        <x:v>29.97</x:v>
      </x:c>
      <x:c r="G544" s="10" t="n">
        <x:v>0</x:v>
      </x:c>
      <x:c r="H544" s="10" t="n">
        <x:v>269.78</x:v>
      </x:c>
      <x:c r="I544" s="10" t="n">
        <x:v>119</x:v>
      </x:c>
      <x:c r="J544" s="10" t="n">
        <x:v>150.78</x:v>
      </x:c>
      <x:c r="K544" s="2" t="n">
        <x:v>5</x:v>
      </x:c>
      <x:c r="L544" s="2" t="n">
        <x:v>0</x:v>
      </x:c>
    </x:row>
    <x:row r="545" ht="20" customHeight="1">
      <x:c r="A545" s="9" t="n">
        <x:v>46293</x:v>
      </x:c>
      <x:c r="B545" s="2" t="str">
        <x:v>MM-1555</x:v>
      </x:c>
      <x:c r="C545" s="2" t="str">
        <x:v>Email</x:v>
      </x:c>
      <x:c r="D545" s="2" t="str">
        <x:v>CUS-035</x:v>
      </x:c>
      <x:c r="E545" s="10" t="n">
        <x:v>19.95</x:v>
      </x:c>
      <x:c r="F545" s="10" t="n">
        <x:v>1.99</x:v>
      </x:c>
      <x:c r="G545" s="10" t="n">
        <x:v>0</x:v>
      </x:c>
      <x:c r="H545" s="10" t="n">
        <x:v>17.96</x:v>
      </x:c>
      <x:c r="I545" s="10" t="n">
        <x:v>6</x:v>
      </x:c>
      <x:c r="J545" s="10" t="n">
        <x:v>11.96</x:v>
      </x:c>
      <x:c r="K545" s="2" t="n">
        <x:v>1</x:v>
      </x:c>
      <x:c r="L545" s="2" t="n">
        <x:v>0</x:v>
      </x:c>
    </x:row>
    <x:row r="546" ht="20" customHeight="1">
      <x:c r="A546" s="9" t="n">
        <x:v>46293</x:v>
      </x:c>
      <x:c r="B546" s="2" t="str">
        <x:v>MM-1556</x:v>
      </x:c>
      <x:c r="C546" s="2" t="str">
        <x:v>Direct</x:v>
      </x:c>
      <x:c r="D546" s="2" t="str">
        <x:v>CUS-110</x:v>
      </x:c>
      <x:c r="E546" s="10" t="n">
        <x:v>22.95</x:v>
      </x:c>
      <x:c r="F546" s="10" t="n">
        <x:v>0</x:v>
      </x:c>
      <x:c r="G546" s="10" t="n">
        <x:v>22.95</x:v>
      </x:c>
      <x:c r="H546" s="10" t="n">
        <x:v>0</x:v>
      </x:c>
      <x:c r="I546" s="10" t="n">
        <x:v>0</x:v>
      </x:c>
      <x:c r="J546" s="10" t="n">
        <x:v>0</x:v>
      </x:c>
      <x:c r="K546" s="2" t="n">
        <x:v>1</x:v>
      </x:c>
      <x:c r="L546" s="2" t="n">
        <x:v>1</x:v>
      </x:c>
    </x:row>
    <x:row r="547" ht="20" customHeight="1">
      <x:c r="A547" s="9" t="n">
        <x:v>46293</x:v>
      </x:c>
      <x:c r="B547" s="2" t="str">
        <x:v>MM-1566</x:v>
      </x:c>
      <x:c r="C547" s="2" t="str">
        <x:v>Paid Social</x:v>
      </x:c>
      <x:c r="D547" s="2" t="str">
        <x:v>CUS-091</x:v>
      </x:c>
      <x:c r="E547" s="10" t="n">
        <x:v>22.95</x:v>
      </x:c>
      <x:c r="F547" s="10" t="n">
        <x:v>0</x:v>
      </x:c>
      <x:c r="G547" s="10" t="n">
        <x:v>0</x:v>
      </x:c>
      <x:c r="H547" s="10" t="n">
        <x:v>22.95</x:v>
      </x:c>
      <x:c r="I547" s="10" t="n">
        <x:v>8.5</x:v>
      </x:c>
      <x:c r="J547" s="10" t="n">
        <x:v>14.45</x:v>
      </x:c>
      <x:c r="K547" s="2" t="n">
        <x:v>1</x:v>
      </x:c>
      <x:c r="L547" s="2" t="n">
        <x:v>0</x:v>
      </x:c>
    </x:row>
    <x:row r="548" ht="20" customHeight="1">
      <x:c r="A548" s="9" t="n">
        <x:v>46294</x:v>
      </x:c>
      <x:c r="B548" s="2" t="str">
        <x:v>MM-1570</x:v>
      </x:c>
      <x:c r="C548" s="2" t="str">
        <x:v>Organic Search</x:v>
      </x:c>
      <x:c r="D548" s="2" t="str">
        <x:v>CUS-005</x:v>
      </x:c>
      <x:c r="E548" s="10" t="n">
        <x:v>12.95</x:v>
      </x:c>
      <x:c r="F548" s="10" t="n">
        <x:v>1.29</x:v>
      </x:c>
      <x:c r="G548" s="10" t="n">
        <x:v>0</x:v>
      </x:c>
      <x:c r="H548" s="10" t="n">
        <x:v>11.66</x:v>
      </x:c>
      <x:c r="I548" s="10" t="n">
        <x:v>3.5</x:v>
      </x:c>
      <x:c r="J548" s="10" t="n">
        <x:v>8.16</x:v>
      </x:c>
      <x:c r="K548" s="2" t="n">
        <x:v>1</x:v>
      </x:c>
      <x:c r="L548" s="2" t="n">
        <x:v>0</x:v>
      </x:c>
    </x:row>
    <x:row r="549" ht="20" customHeight="1">
      <x:c r="A549" s="9" t="n">
        <x:v>46294</x:v>
      </x:c>
      <x:c r="B549" s="2" t="str">
        <x:v>MM-1569</x:v>
      </x:c>
      <x:c r="C549" s="2" t="str">
        <x:v>Paid Social</x:v>
      </x:c>
      <x:c r="D549" s="2" t="str">
        <x:v>CUS-139</x:v>
      </x:c>
      <x:c r="E549" s="10" t="n">
        <x:v>19.95</x:v>
      </x:c>
      <x:c r="F549" s="10" t="n">
        <x:v>0</x:v>
      </x:c>
      <x:c r="G549" s="10" t="n">
        <x:v>0</x:v>
      </x:c>
      <x:c r="H549" s="10" t="n">
        <x:v>19.95</x:v>
      </x:c>
      <x:c r="I549" s="10" t="n">
        <x:v>6</x:v>
      </x:c>
      <x:c r="J549" s="10" t="n">
        <x:v>13.95</x:v>
      </x:c>
      <x:c r="K549" s="2" t="n">
        <x:v>1</x:v>
      </x:c>
      <x:c r="L549" s="2" t="n">
        <x:v>0</x:v>
      </x:c>
    </x:row>
    <x:row r="550" ht="20" customHeight="1">
      <x:c r="A550" s="9" t="n">
        <x:v>46294</x:v>
      </x:c>
      <x:c r="B550" s="2" t="str">
        <x:v>MM-1575</x:v>
      </x:c>
      <x:c r="C550" s="2" t="str">
        <x:v>Paid Social</x:v>
      </x:c>
      <x:c r="D550" s="2" t="str">
        <x:v>CUS-161</x:v>
      </x:c>
      <x:c r="E550" s="10" t="n">
        <x:v>59.85</x:v>
      </x:c>
      <x:c r="F550" s="10" t="n">
        <x:v>0</x:v>
      </x:c>
      <x:c r="G550" s="10" t="n">
        <x:v>0</x:v>
      </x:c>
      <x:c r="H550" s="10" t="n">
        <x:v>59.85</x:v>
      </x:c>
      <x:c r="I550" s="10" t="n">
        <x:v>20.5</x:v>
      </x:c>
      <x:c r="J550" s="10" t="n">
        <x:v>39.35</x:v>
      </x:c>
      <x:c r="K550" s="2" t="n">
        <x:v>3</x:v>
      </x:c>
      <x:c r="L550" s="2" t="n">
        <x:v>0</x:v>
      </x:c>
    </x:row>
    <x:row r="551" ht="20" customHeight="1">
      <x:c r="A551" s="9" t="n">
        <x:v>46294</x:v>
      </x:c>
      <x:c r="B551" s="2" t="str">
        <x:v>MM-1582</x:v>
      </x:c>
      <x:c r="C551" s="2" t="str">
        <x:v>Direct</x:v>
      </x:c>
      <x:c r="D551" s="2" t="str">
        <x:v>CUS-032</x:v>
      </x:c>
      <x:c r="E551" s="10" t="n">
        <x:v>74.9</x:v>
      </x:c>
      <x:c r="F551" s="10" t="n">
        <x:v>0</x:v>
      </x:c>
      <x:c r="G551" s="10" t="n">
        <x:v>0</x:v>
      </x:c>
      <x:c r="H551" s="10" t="n">
        <x:v>74.9</x:v>
      </x:c>
      <x:c r="I551" s="10" t="n">
        <x:v>28</x:v>
      </x:c>
      <x:c r="J551" s="10" t="n">
        <x:v>46.9</x:v>
      </x:c>
      <x:c r="K551" s="2" t="n">
        <x:v>2</x:v>
      </x:c>
      <x:c r="L551" s="2" t="n">
        <x:v>0</x:v>
      </x:c>
    </x:row>
    <x:row r="552" ht="20" customHeight="1">
      <x:c r="A552" s="9" t="n">
        <x:v>46294</x:v>
      </x:c>
      <x:c r="B552" s="2" t="str">
        <x:v>MM-1574</x:v>
      </x:c>
      <x:c r="C552" s="2" t="str">
        <x:v>Organic Search</x:v>
      </x:c>
      <x:c r="D552" s="2" t="str">
        <x:v>CUS-074</x:v>
      </x:c>
      <x:c r="E552" s="10" t="n">
        <x:v>19.95</x:v>
      </x:c>
      <x:c r="F552" s="10" t="n">
        <x:v>0</x:v>
      </x:c>
      <x:c r="G552" s="10" t="n">
        <x:v>0</x:v>
      </x:c>
      <x:c r="H552" s="10" t="n">
        <x:v>19.95</x:v>
      </x:c>
      <x:c r="I552" s="10" t="n">
        <x:v>6</x:v>
      </x:c>
      <x:c r="J552" s="10" t="n">
        <x:v>13.95</x:v>
      </x:c>
      <x:c r="K552" s="2" t="n">
        <x:v>1</x:v>
      </x:c>
      <x:c r="L552" s="2" t="n">
        <x:v>0</x:v>
      </x:c>
    </x:row>
    <x:row r="553" ht="20" customHeight="1">
      <x:c r="A553" s="9" t="n">
        <x:v>46294</x:v>
      </x:c>
      <x:c r="B553" s="2" t="str">
        <x:v>MM-1580</x:v>
      </x:c>
      <x:c r="C553" s="2" t="str">
        <x:v>Email</x:v>
      </x:c>
      <x:c r="D553" s="2" t="str">
        <x:v>CUS-036</x:v>
      </x:c>
      <x:c r="E553" s="10" t="n">
        <x:v>24.95</x:v>
      </x:c>
      <x:c r="F553" s="10" t="n">
        <x:v>2.49</x:v>
      </x:c>
      <x:c r="G553" s="10" t="n">
        <x:v>0</x:v>
      </x:c>
      <x:c r="H553" s="10" t="n">
        <x:v>22.46</x:v>
      </x:c>
      <x:c r="I553" s="10" t="n">
        <x:v>8.5</x:v>
      </x:c>
      <x:c r="J553" s="10" t="n">
        <x:v>13.96</x:v>
      </x:c>
      <x:c r="K553" s="2" t="n">
        <x:v>1</x:v>
      </x:c>
      <x:c r="L553" s="2" t="n">
        <x:v>0</x:v>
      </x:c>
    </x:row>
    <x:row r="554" ht="20" customHeight="1">
      <x:c r="A554" s="9" t="n">
        <x:v>46294</x:v>
      </x:c>
      <x:c r="B554" s="2" t="str">
        <x:v>MM-1567</x:v>
      </x:c>
      <x:c r="C554" s="2" t="str">
        <x:v>Email</x:v>
      </x:c>
      <x:c r="D554" s="2" t="str">
        <x:v>CUS-107</x:v>
      </x:c>
      <x:c r="E554" s="10" t="n">
        <x:v>54.95</x:v>
      </x:c>
      <x:c r="F554" s="10" t="n">
        <x:v>5.49</x:v>
      </x:c>
      <x:c r="G554" s="10" t="n">
        <x:v>0</x:v>
      </x:c>
      <x:c r="H554" s="10" t="n">
        <x:v>49.46</x:v>
      </x:c>
      <x:c r="I554" s="10" t="n">
        <x:v>22</x:v>
      </x:c>
      <x:c r="J554" s="10" t="n">
        <x:v>27.46</x:v>
      </x:c>
      <x:c r="K554" s="2" t="n">
        <x:v>1</x:v>
      </x:c>
      <x:c r="L554" s="2" t="n">
        <x:v>0</x:v>
      </x:c>
    </x:row>
    <x:row r="555" ht="20" customHeight="1">
      <x:c r="A555" s="9" t="n">
        <x:v>46294</x:v>
      </x:c>
      <x:c r="B555" s="2" t="str">
        <x:v>MM-1577</x:v>
      </x:c>
      <x:c r="C555" s="2" t="str">
        <x:v>Paid Social</x:v>
      </x:c>
      <x:c r="D555" s="2" t="str">
        <x:v>CUS-023</x:v>
      </x:c>
      <x:c r="E555" s="10" t="n">
        <x:v>51.85</x:v>
      </x:c>
      <x:c r="F555" s="10" t="n">
        <x:v>0</x:v>
      </x:c>
      <x:c r="G555" s="10" t="n">
        <x:v>0</x:v>
      </x:c>
      <x:c r="H555" s="10" t="n">
        <x:v>51.85</x:v>
      </x:c>
      <x:c r="I555" s="10" t="n">
        <x:v>17.5</x:v>
      </x:c>
      <x:c r="J555" s="10" t="n">
        <x:v>34.35</x:v>
      </x:c>
      <x:c r="K555" s="2" t="n">
        <x:v>3</x:v>
      </x:c>
      <x:c r="L555" s="2" t="n">
        <x:v>0</x:v>
      </x:c>
    </x:row>
    <x:row r="556" ht="20" customHeight="1">
      <x:c r="A556" s="9" t="n">
        <x:v>46294</x:v>
      </x:c>
      <x:c r="B556" s="2" t="str">
        <x:v>MM-1579</x:v>
      </x:c>
      <x:c r="C556" s="2" t="str">
        <x:v>Direct</x:v>
      </x:c>
      <x:c r="D556" s="2" t="str">
        <x:v>CUS-007</x:v>
      </x:c>
      <x:c r="E556" s="10" t="n">
        <x:v>89.9</x:v>
      </x:c>
      <x:c r="F556" s="10" t="n">
        <x:v>0</x:v>
      </x:c>
      <x:c r="G556" s="10" t="n">
        <x:v>0</x:v>
      </x:c>
      <x:c r="H556" s="10" t="n">
        <x:v>89.9</x:v>
      </x:c>
      <x:c r="I556" s="10" t="n">
        <x:v>34.5</x:v>
      </x:c>
      <x:c r="J556" s="10" t="n">
        <x:v>55.4</x:v>
      </x:c>
      <x:c r="K556" s="2" t="n">
        <x:v>2</x:v>
      </x:c>
      <x:c r="L556" s="2" t="n">
        <x:v>0</x:v>
      </x:c>
    </x:row>
    <x:row r="557" ht="20" customHeight="1">
      <x:c r="A557" s="9" t="n">
        <x:v>46294</x:v>
      </x:c>
      <x:c r="B557" s="2" t="str">
        <x:v>MM-1585</x:v>
      </x:c>
      <x:c r="C557" s="2" t="str">
        <x:v>Paid Social</x:v>
      </x:c>
      <x:c r="D557" s="2" t="str">
        <x:v>CUS-066</x:v>
      </x:c>
      <x:c r="E557" s="10" t="n">
        <x:v>49.9</x:v>
      </x:c>
      <x:c r="F557" s="10" t="n">
        <x:v>0</x:v>
      </x:c>
      <x:c r="G557" s="10" t="n">
        <x:v>0</x:v>
      </x:c>
      <x:c r="H557" s="10" t="n">
        <x:v>49.9</x:v>
      </x:c>
      <x:c r="I557" s="10" t="n">
        <x:v>17</x:v>
      </x:c>
      <x:c r="J557" s="10" t="n">
        <x:v>32.9</x:v>
      </x:c>
      <x:c r="K557" s="2" t="n">
        <x:v>2</x:v>
      </x:c>
      <x:c r="L557" s="2" t="n">
        <x:v>0</x:v>
      </x:c>
    </x:row>
    <x:row r="558" ht="20" customHeight="1">
      <x:c r="A558" s="9" t="n">
        <x:v>46294</x:v>
      </x:c>
      <x:c r="B558" s="2" t="str">
        <x:v>MM-1573</x:v>
      </x:c>
      <x:c r="C558" s="2" t="str">
        <x:v>Email</x:v>
      </x:c>
      <x:c r="D558" s="2" t="str">
        <x:v>CUS-180</x:v>
      </x:c>
      <x:c r="E558" s="10" t="n">
        <x:v>25.9</x:v>
      </x:c>
      <x:c r="F558" s="10" t="n">
        <x:v>2.59</x:v>
      </x:c>
      <x:c r="G558" s="10" t="n">
        <x:v>0</x:v>
      </x:c>
      <x:c r="H558" s="10" t="n">
        <x:v>23.31</x:v>
      </x:c>
      <x:c r="I558" s="10" t="n">
        <x:v>7</x:v>
      </x:c>
      <x:c r="J558" s="10" t="n">
        <x:v>16.31</x:v>
      </x:c>
      <x:c r="K558" s="2" t="n">
        <x:v>2</x:v>
      </x:c>
      <x:c r="L558" s="2" t="n">
        <x:v>0</x:v>
      </x:c>
    </x:row>
    <x:row r="559" ht="20" customHeight="1">
      <x:c r="A559" s="9" t="n">
        <x:v>46294</x:v>
      </x:c>
      <x:c r="B559" s="2" t="str">
        <x:v>MM-1571</x:v>
      </x:c>
      <x:c r="C559" s="2" t="str">
        <x:v>Organic Search</x:v>
      </x:c>
      <x:c r="D559" s="2" t="str">
        <x:v>CUS-162</x:v>
      </x:c>
      <x:c r="E559" s="10" t="n">
        <x:v>98.9</x:v>
      </x:c>
      <x:c r="F559" s="10" t="n">
        <x:v>0</x:v>
      </x:c>
      <x:c r="G559" s="10" t="n">
        <x:v>0</x:v>
      </x:c>
      <x:c r="H559" s="10" t="n">
        <x:v>98.9</x:v>
      </x:c>
      <x:c r="I559" s="10" t="n">
        <x:v>38.5</x:v>
      </x:c>
      <x:c r="J559" s="10" t="n">
        <x:v>60.4</x:v>
      </x:c>
      <x:c r="K559" s="2" t="n">
        <x:v>2</x:v>
      </x:c>
      <x:c r="L559" s="2" t="n">
        <x:v>0</x:v>
      </x:c>
    </x:row>
    <x:row r="560" ht="20" customHeight="1">
      <x:c r="A560" s="9" t="n">
        <x:v>46294</x:v>
      </x:c>
      <x:c r="B560" s="2" t="str">
        <x:v>MM-1583</x:v>
      </x:c>
      <x:c r="C560" s="2" t="str">
        <x:v>Organic Search</x:v>
      </x:c>
      <x:c r="D560" s="2" t="str">
        <x:v>CUS-131</x:v>
      </x:c>
      <x:c r="E560" s="10" t="n">
        <x:v>102.9</x:v>
      </x:c>
      <x:c r="F560" s="10" t="n">
        <x:v>0</x:v>
      </x:c>
      <x:c r="G560" s="10" t="n">
        <x:v>0</x:v>
      </x:c>
      <x:c r="H560" s="10" t="n">
        <x:v>102.9</x:v>
      </x:c>
      <x:c r="I560" s="10" t="n">
        <x:v>40</x:v>
      </x:c>
      <x:c r="J560" s="10" t="n">
        <x:v>62.9</x:v>
      </x:c>
      <x:c r="K560" s="2" t="n">
        <x:v>2</x:v>
      </x:c>
      <x:c r="L560" s="2" t="n">
        <x:v>0</x:v>
      </x:c>
    </x:row>
    <x:row r="561" ht="20" customHeight="1">
      <x:c r="A561" s="9" t="n">
        <x:v>46294</x:v>
      </x:c>
      <x:c r="B561" s="2" t="str">
        <x:v>MM-1568</x:v>
      </x:c>
      <x:c r="C561" s="2" t="str">
        <x:v>Email</x:v>
      </x:c>
      <x:c r="D561" s="2" t="str">
        <x:v>CUS-062</x:v>
      </x:c>
      <x:c r="E561" s="10" t="n">
        <x:v>49.85</x:v>
      </x:c>
      <x:c r="F561" s="10" t="n">
        <x:v>4.98</x:v>
      </x:c>
      <x:c r="G561" s="10" t="n">
        <x:v>0</x:v>
      </x:c>
      <x:c r="H561" s="10" t="n">
        <x:v>44.87</x:v>
      </x:c>
      <x:c r="I561" s="10" t="n">
        <x:v>14.5</x:v>
      </x:c>
      <x:c r="J561" s="10" t="n">
        <x:v>30.37</x:v>
      </x:c>
      <x:c r="K561" s="2" t="n">
        <x:v>3</x:v>
      </x:c>
      <x:c r="L561" s="2" t="n">
        <x:v>0</x:v>
      </x:c>
    </x:row>
    <x:row r="562" ht="20" customHeight="1">
      <x:c r="A562" s="9" t="n">
        <x:v>46294</x:v>
      </x:c>
      <x:c r="B562" s="2" t="str">
        <x:v>MM-1578</x:v>
      </x:c>
      <x:c r="C562" s="2" t="str">
        <x:v>Email</x:v>
      </x:c>
      <x:c r="D562" s="2" t="str">
        <x:v>CUS-005</x:v>
      </x:c>
      <x:c r="E562" s="10" t="n">
        <x:v>79.95</x:v>
      </x:c>
      <x:c r="F562" s="10" t="n">
        <x:v>7.99</x:v>
      </x:c>
      <x:c r="G562" s="10" t="n">
        <x:v>0</x:v>
      </x:c>
      <x:c r="H562" s="10" t="n">
        <x:v>71.96</x:v>
      </x:c>
      <x:c r="I562" s="10" t="n">
        <x:v>32</x:v>
      </x:c>
      <x:c r="J562" s="10" t="n">
        <x:v>39.96</x:v>
      </x:c>
      <x:c r="K562" s="2" t="n">
        <x:v>1</x:v>
      </x:c>
      <x:c r="L562" s="2" t="n">
        <x:v>0</x:v>
      </x:c>
    </x:row>
    <x:row r="563" ht="20" customHeight="1">
      <x:c r="A563" s="9" t="n">
        <x:v>46294</x:v>
      </x:c>
      <x:c r="B563" s="2" t="str">
        <x:v>MM-1584</x:v>
      </x:c>
      <x:c r="C563" s="2" t="str">
        <x:v>Organic Search</x:v>
      </x:c>
      <x:c r="D563" s="2" t="str">
        <x:v>CUS-057</x:v>
      </x:c>
      <x:c r="E563" s="10" t="n">
        <x:v>124.75</x:v>
      </x:c>
      <x:c r="F563" s="10" t="n">
        <x:v>0</x:v>
      </x:c>
      <x:c r="G563" s="10" t="n">
        <x:v>0</x:v>
      </x:c>
      <x:c r="H563" s="10" t="n">
        <x:v>124.75</x:v>
      </x:c>
      <x:c r="I563" s="10" t="n">
        <x:v>45.5</x:v>
      </x:c>
      <x:c r="J563" s="10" t="n">
        <x:v>79.25</x:v>
      </x:c>
      <x:c r="K563" s="2" t="n">
        <x:v>5</x:v>
      </x:c>
      <x:c r="L563" s="2" t="n">
        <x:v>0</x:v>
      </x:c>
    </x:row>
    <x:row r="564" ht="20" customHeight="1">
      <x:c r="A564" s="9" t="n">
        <x:v>46294</x:v>
      </x:c>
      <x:c r="B564" s="2" t="str">
        <x:v>MM-1576</x:v>
      </x:c>
      <x:c r="C564" s="2" t="str">
        <x:v>Email</x:v>
      </x:c>
      <x:c r="D564" s="2" t="str">
        <x:v>CUS-148</x:v>
      </x:c>
      <x:c r="E564" s="10" t="n">
        <x:v>57.9</x:v>
      </x:c>
      <x:c r="F564" s="10" t="n">
        <x:v>5.78</x:v>
      </x:c>
      <x:c r="G564" s="10" t="n">
        <x:v>22.46</x:v>
      </x:c>
      <x:c r="H564" s="10" t="n">
        <x:v>29.66</x:v>
      </x:c>
      <x:c r="I564" s="10" t="n">
        <x:v>12</x:v>
      </x:c>
      <x:c r="J564" s="10" t="n">
        <x:v>17.66</x:v>
      </x:c>
      <x:c r="K564" s="2" t="n">
        <x:v>2</x:v>
      </x:c>
      <x:c r="L564" s="2" t="n">
        <x:v>1</x:v>
      </x:c>
    </x:row>
    <x:row r="565" ht="20" customHeight="1">
      <x:c r="A565" s="9" t="n">
        <x:v>46294</x:v>
      </x:c>
      <x:c r="B565" s="2" t="str">
        <x:v>MM-1581</x:v>
      </x:c>
      <x:c r="C565" s="2" t="str">
        <x:v>Organic Search</x:v>
      </x:c>
      <x:c r="D565" s="2" t="str">
        <x:v>CUS-040</x:v>
      </x:c>
      <x:c r="E565" s="10" t="n">
        <x:v>54.95</x:v>
      </x:c>
      <x:c r="F565" s="10" t="n">
        <x:v>0</x:v>
      </x:c>
      <x:c r="G565" s="10" t="n">
        <x:v>0</x:v>
      </x:c>
      <x:c r="H565" s="10" t="n">
        <x:v>54.95</x:v>
      </x:c>
      <x:c r="I565" s="10" t="n">
        <x:v>22</x:v>
      </x:c>
      <x:c r="J565" s="10" t="n">
        <x:v>32.95</x:v>
      </x:c>
      <x:c r="K565" s="2" t="n">
        <x:v>1</x:v>
      </x:c>
      <x:c r="L565" s="2" t="n">
        <x:v>0</x:v>
      </x:c>
    </x:row>
    <x:row r="566" ht="20" customHeight="1">
      <x:c r="A566" s="9" t="n">
        <x:v>46295</x:v>
      </x:c>
      <x:c r="B566" s="2" t="str">
        <x:v>MM-1593</x:v>
      </x:c>
      <x:c r="C566" s="2" t="str">
        <x:v>Direct</x:v>
      </x:c>
      <x:c r="D566" s="2" t="str">
        <x:v>CUS-097</x:v>
      </x:c>
      <x:c r="E566" s="10" t="n">
        <x:v>12.95</x:v>
      </x:c>
      <x:c r="F566" s="10" t="n">
        <x:v>0</x:v>
      </x:c>
      <x:c r="G566" s="10" t="n">
        <x:v>0</x:v>
      </x:c>
      <x:c r="H566" s="10" t="n">
        <x:v>12.95</x:v>
      </x:c>
      <x:c r="I566" s="10" t="n">
        <x:v>3.5</x:v>
      </x:c>
      <x:c r="J566" s="10" t="n">
        <x:v>9.45</x:v>
      </x:c>
      <x:c r="K566" s="2" t="n">
        <x:v>1</x:v>
      </x:c>
      <x:c r="L566" s="2" t="n">
        <x:v>0</x:v>
      </x:c>
    </x:row>
    <x:row r="567" ht="20" customHeight="1">
      <x:c r="A567" s="9" t="n">
        <x:v>46295</x:v>
      </x:c>
      <x:c r="B567" s="2" t="str">
        <x:v>MM-1592</x:v>
      </x:c>
      <x:c r="C567" s="2" t="str">
        <x:v>Organic Search</x:v>
      </x:c>
      <x:c r="D567" s="2" t="str">
        <x:v>CUS-127</x:v>
      </x:c>
      <x:c r="E567" s="10" t="n">
        <x:v>24.95</x:v>
      </x:c>
      <x:c r="F567" s="10" t="n">
        <x:v>2.49</x:v>
      </x:c>
      <x:c r="G567" s="10" t="n">
        <x:v>0</x:v>
      </x:c>
      <x:c r="H567" s="10" t="n">
        <x:v>22.46</x:v>
      </x:c>
      <x:c r="I567" s="10" t="n">
        <x:v>8.5</x:v>
      </x:c>
      <x:c r="J567" s="10" t="n">
        <x:v>13.96</x:v>
      </x:c>
      <x:c r="K567" s="2" t="n">
        <x:v>1</x:v>
      </x:c>
      <x:c r="L567" s="2" t="n">
        <x:v>0</x:v>
      </x:c>
    </x:row>
    <x:row r="568" ht="20" customHeight="1">
      <x:c r="A568" s="9" t="n">
        <x:v>46295</x:v>
      </x:c>
      <x:c r="B568" s="2" t="str">
        <x:v>MM-1601</x:v>
      </x:c>
      <x:c r="C568" s="2" t="str">
        <x:v>Email</x:v>
      </x:c>
      <x:c r="D568" s="2" t="str">
        <x:v>CUS-103</x:v>
      </x:c>
      <x:c r="E568" s="10" t="n">
        <x:v>97.85</x:v>
      </x:c>
      <x:c r="F568" s="10" t="n">
        <x:v>9.77</x:v>
      </x:c>
      <x:c r="G568" s="10" t="n">
        <x:v>0</x:v>
      </x:c>
      <x:c r="H568" s="10" t="n">
        <x:v>88.08</x:v>
      </x:c>
      <x:c r="I568" s="10" t="n">
        <x:v>35.5</x:v>
      </x:c>
      <x:c r="J568" s="10" t="n">
        <x:v>52.58</x:v>
      </x:c>
      <x:c r="K568" s="2" t="n">
        <x:v>3</x:v>
      </x:c>
      <x:c r="L568" s="2" t="n">
        <x:v>0</x:v>
      </x:c>
    </x:row>
    <x:row r="569" ht="20" customHeight="1">
      <x:c r="A569" s="9" t="n">
        <x:v>46295</x:v>
      </x:c>
      <x:c r="B569" s="2" t="str">
        <x:v>MM-1605</x:v>
      </x:c>
      <x:c r="C569" s="2" t="str">
        <x:v>Organic Search</x:v>
      </x:c>
      <x:c r="D569" s="2" t="str">
        <x:v>CUS-111</x:v>
      </x:c>
      <x:c r="E569" s="10" t="n">
        <x:v>62.85</x:v>
      </x:c>
      <x:c r="F569" s="10" t="n">
        <x:v>4.99</x:v>
      </x:c>
      <x:c r="G569" s="10" t="n">
        <x:v>0</x:v>
      </x:c>
      <x:c r="H569" s="10" t="n">
        <x:v>57.86</x:v>
      </x:c>
      <x:c r="I569" s="10" t="n">
        <x:v>20.5</x:v>
      </x:c>
      <x:c r="J569" s="10" t="n">
        <x:v>37.36</x:v>
      </x:c>
      <x:c r="K569" s="2" t="n">
        <x:v>3</x:v>
      </x:c>
      <x:c r="L569" s="2" t="n">
        <x:v>0</x:v>
      </x:c>
    </x:row>
    <x:row r="570" ht="20" customHeight="1">
      <x:c r="A570" s="9" t="n">
        <x:v>46295</x:v>
      </x:c>
      <x:c r="B570" s="2" t="str">
        <x:v>MM-1599</x:v>
      </x:c>
      <x:c r="C570" s="2" t="str">
        <x:v>Email</x:v>
      </x:c>
      <x:c r="D570" s="2" t="str">
        <x:v>CUS-108</x:v>
      </x:c>
      <x:c r="E570" s="10" t="n">
        <x:v>48.9</x:v>
      </x:c>
      <x:c r="F570" s="10" t="n">
        <x:v>4.88</x:v>
      </x:c>
      <x:c r="G570" s="10" t="n">
        <x:v>0</x:v>
      </x:c>
      <x:c r="H570" s="10" t="n">
        <x:v>44.02</x:v>
      </x:c>
      <x:c r="I570" s="10" t="n">
        <x:v>16.5</x:v>
      </x:c>
      <x:c r="J570" s="10" t="n">
        <x:v>27.52</x:v>
      </x:c>
      <x:c r="K570" s="2" t="n">
        <x:v>2</x:v>
      </x:c>
      <x:c r="L570" s="2" t="n">
        <x:v>0</x:v>
      </x:c>
    </x:row>
    <x:row r="571" ht="20" customHeight="1">
      <x:c r="A571" s="9" t="n">
        <x:v>46295</x:v>
      </x:c>
      <x:c r="B571" s="2" t="str">
        <x:v>MM-1587</x:v>
      </x:c>
      <x:c r="C571" s="2" t="str">
        <x:v>Paid Social</x:v>
      </x:c>
      <x:c r="D571" s="2" t="str">
        <x:v>CUS-047</x:v>
      </x:c>
      <x:c r="E571" s="10" t="n">
        <x:v>109.9</x:v>
      </x:c>
      <x:c r="F571" s="10" t="n">
        <x:v>0</x:v>
      </x:c>
      <x:c r="G571" s="10" t="n">
        <x:v>0</x:v>
      </x:c>
      <x:c r="H571" s="10" t="n">
        <x:v>109.9</x:v>
      </x:c>
      <x:c r="I571" s="10" t="n">
        <x:v>44</x:v>
      </x:c>
      <x:c r="J571" s="10" t="n">
        <x:v>65.9</x:v>
      </x:c>
      <x:c r="K571" s="2" t="n">
        <x:v>2</x:v>
      </x:c>
      <x:c r="L571" s="2" t="n">
        <x:v>0</x:v>
      </x:c>
    </x:row>
    <x:row r="572" ht="20" customHeight="1">
      <x:c r="A572" s="9" t="n">
        <x:v>46295</x:v>
      </x:c>
      <x:c r="B572" s="2" t="str">
        <x:v>MM-1597</x:v>
      </x:c>
      <x:c r="C572" s="2" t="str">
        <x:v>Organic Search</x:v>
      </x:c>
      <x:c r="D572" s="2" t="str">
        <x:v>CUS-037</x:v>
      </x:c>
      <x:c r="E572" s="10" t="n">
        <x:v>78.9</x:v>
      </x:c>
      <x:c r="F572" s="10" t="n">
        <x:v>0</x:v>
      </x:c>
      <x:c r="G572" s="10" t="n">
        <x:v>0</x:v>
      </x:c>
      <x:c r="H572" s="10" t="n">
        <x:v>78.9</x:v>
      </x:c>
      <x:c r="I572" s="10" t="n">
        <x:v>30.5</x:v>
      </x:c>
      <x:c r="J572" s="10" t="n">
        <x:v>48.4</x:v>
      </x:c>
      <x:c r="K572" s="2" t="n">
        <x:v>2</x:v>
      </x:c>
      <x:c r="L572" s="2" t="n">
        <x:v>0</x:v>
      </x:c>
    </x:row>
    <x:row r="573" ht="20" customHeight="1">
      <x:c r="A573" s="9" t="n">
        <x:v>46295</x:v>
      </x:c>
      <x:c r="B573" s="2" t="str">
        <x:v>MM-1594</x:v>
      </x:c>
      <x:c r="C573" s="2" t="str">
        <x:v>Organic Search</x:v>
      </x:c>
      <x:c r="D573" s="2" t="str">
        <x:v>CUS-118</x:v>
      </x:c>
      <x:c r="E573" s="10" t="n">
        <x:v>52.9</x:v>
      </x:c>
      <x:c r="F573" s="10" t="n">
        <x:v>0</x:v>
      </x:c>
      <x:c r="G573" s="10" t="n">
        <x:v>0</x:v>
      </x:c>
      <x:c r="H573" s="10" t="n">
        <x:v>52.9</x:v>
      </x:c>
      <x:c r="I573" s="10" t="n">
        <x:v>18</x:v>
      </x:c>
      <x:c r="J573" s="10" t="n">
        <x:v>34.9</x:v>
      </x:c>
      <x:c r="K573" s="2" t="n">
        <x:v>2</x:v>
      </x:c>
      <x:c r="L573" s="2" t="n">
        <x:v>0</x:v>
      </x:c>
    </x:row>
    <x:row r="574" ht="20" customHeight="1">
      <x:c r="A574" s="9" t="n">
        <x:v>46295</x:v>
      </x:c>
      <x:c r="B574" s="2" t="str">
        <x:v>MM-1606</x:v>
      </x:c>
      <x:c r="C574" s="2" t="str">
        <x:v>Direct</x:v>
      </x:c>
      <x:c r="D574" s="2" t="str">
        <x:v>CUS-025</x:v>
      </x:c>
      <x:c r="E574" s="10" t="n">
        <x:v>34.95</x:v>
      </x:c>
      <x:c r="F574" s="10" t="n">
        <x:v>0</x:v>
      </x:c>
      <x:c r="G574" s="10" t="n">
        <x:v>0</x:v>
      </x:c>
      <x:c r="H574" s="10" t="n">
        <x:v>34.95</x:v>
      </x:c>
      <x:c r="I574" s="10" t="n">
        <x:v>13.5</x:v>
      </x:c>
      <x:c r="J574" s="10" t="n">
        <x:v>21.45</x:v>
      </x:c>
      <x:c r="K574" s="2" t="n">
        <x:v>1</x:v>
      </x:c>
      <x:c r="L574" s="2" t="n">
        <x:v>0</x:v>
      </x:c>
    </x:row>
    <x:row r="575" ht="20" customHeight="1">
      <x:c r="A575" s="9" t="n">
        <x:v>46295</x:v>
      </x:c>
      <x:c r="B575" s="2" t="str">
        <x:v>MM-1607</x:v>
      </x:c>
      <x:c r="C575" s="2" t="str">
        <x:v>Direct</x:v>
      </x:c>
      <x:c r="D575" s="2" t="str">
        <x:v>CUS-120</x:v>
      </x:c>
      <x:c r="E575" s="10" t="n">
        <x:v>24.95</x:v>
      </x:c>
      <x:c r="F575" s="10" t="n">
        <x:v>0</x:v>
      </x:c>
      <x:c r="G575" s="10" t="n">
        <x:v>0</x:v>
      </x:c>
      <x:c r="H575" s="10" t="n">
        <x:v>24.95</x:v>
      </x:c>
      <x:c r="I575" s="10" t="n">
        <x:v>8.5</x:v>
      </x:c>
      <x:c r="J575" s="10" t="n">
        <x:v>16.45</x:v>
      </x:c>
      <x:c r="K575" s="2" t="n">
        <x:v>1</x:v>
      </x:c>
      <x:c r="L575" s="2" t="n">
        <x:v>0</x:v>
      </x:c>
    </x:row>
    <x:row r="576" ht="20" customHeight="1">
      <x:c r="A576" s="9" t="n">
        <x:v>46295</x:v>
      </x:c>
      <x:c r="B576" s="2" t="str">
        <x:v>MM-1602</x:v>
      </x:c>
      <x:c r="C576" s="2" t="str">
        <x:v>Email</x:v>
      </x:c>
      <x:c r="D576" s="2" t="str">
        <x:v>CUS-069</x:v>
      </x:c>
      <x:c r="E576" s="10" t="n">
        <x:v>177.7</x:v>
      </x:c>
      <x:c r="F576" s="10" t="n">
        <x:v>17.76</x:v>
      </x:c>
      <x:c r="G576" s="10" t="n">
        <x:v>0</x:v>
      </x:c>
      <x:c r="H576" s="10" t="n">
        <x:v>159.94</x:v>
      </x:c>
      <x:c r="I576" s="10" t="n">
        <x:v>66</x:v>
      </x:c>
      <x:c r="J576" s="10" t="n">
        <x:v>93.94</x:v>
      </x:c>
      <x:c r="K576" s="2" t="n">
        <x:v>6</x:v>
      </x:c>
      <x:c r="L576" s="2" t="n">
        <x:v>0</x:v>
      </x:c>
    </x:row>
    <x:row r="577" ht="20" customHeight="1">
      <x:c r="A577" s="9" t="n">
        <x:v>46295</x:v>
      </x:c>
      <x:c r="B577" s="2" t="str">
        <x:v>MM-1589</x:v>
      </x:c>
      <x:c r="C577" s="2" t="str">
        <x:v>Organic Search</x:v>
      </x:c>
      <x:c r="D577" s="2" t="str">
        <x:v>CUS-081</x:v>
      </x:c>
      <x:c r="E577" s="10" t="n">
        <x:v>29.95</x:v>
      </x:c>
      <x:c r="F577" s="10" t="n">
        <x:v>0</x:v>
      </x:c>
      <x:c r="G577" s="10" t="n">
        <x:v>0</x:v>
      </x:c>
      <x:c r="H577" s="10" t="n">
        <x:v>29.95</x:v>
      </x:c>
      <x:c r="I577" s="10" t="n">
        <x:v>10</x:v>
      </x:c>
      <x:c r="J577" s="10" t="n">
        <x:v>19.95</x:v>
      </x:c>
      <x:c r="K577" s="2" t="n">
        <x:v>1</x:v>
      </x:c>
      <x:c r="L577" s="2" t="n">
        <x:v>0</x:v>
      </x:c>
    </x:row>
    <x:row r="578" ht="20" customHeight="1">
      <x:c r="A578" s="9" t="n">
        <x:v>46295</x:v>
      </x:c>
      <x:c r="B578" s="2" t="str">
        <x:v>MM-1603</x:v>
      </x:c>
      <x:c r="C578" s="2" t="str">
        <x:v>Paid Social</x:v>
      </x:c>
      <x:c r="D578" s="2" t="str">
        <x:v>CUS-161</x:v>
      </x:c>
      <x:c r="E578" s="10" t="n">
        <x:v>51.9</x:v>
      </x:c>
      <x:c r="F578" s="10" t="n">
        <x:v>1.89</x:v>
      </x:c>
      <x:c r="G578" s="10" t="n">
        <x:v>0</x:v>
      </x:c>
      <x:c r="H578" s="10" t="n">
        <x:v>50.01</x:v>
      </x:c>
      <x:c r="I578" s="10" t="n">
        <x:v>18.5</x:v>
      </x:c>
      <x:c r="J578" s="10" t="n">
        <x:v>31.51</x:v>
      </x:c>
      <x:c r="K578" s="2" t="n">
        <x:v>2</x:v>
      </x:c>
      <x:c r="L578" s="2" t="n">
        <x:v>0</x:v>
      </x:c>
    </x:row>
    <x:row r="579" ht="20" customHeight="1">
      <x:c r="A579" s="9" t="n">
        <x:v>46295</x:v>
      </x:c>
      <x:c r="B579" s="2" t="str">
        <x:v>MM-1596</x:v>
      </x:c>
      <x:c r="C579" s="2" t="str">
        <x:v>Email</x:v>
      </x:c>
      <x:c r="D579" s="2" t="str">
        <x:v>CUS-098</x:v>
      </x:c>
      <x:c r="E579" s="10" t="n">
        <x:v>54.95</x:v>
      </x:c>
      <x:c r="F579" s="10" t="n">
        <x:v>5.49</x:v>
      </x:c>
      <x:c r="G579" s="10" t="n">
        <x:v>0</x:v>
      </x:c>
      <x:c r="H579" s="10" t="n">
        <x:v>49.46</x:v>
      </x:c>
      <x:c r="I579" s="10" t="n">
        <x:v>22</x:v>
      </x:c>
      <x:c r="J579" s="10" t="n">
        <x:v>27.46</x:v>
      </x:c>
      <x:c r="K579" s="2" t="n">
        <x:v>1</x:v>
      </x:c>
      <x:c r="L579" s="2" t="n">
        <x:v>0</x:v>
      </x:c>
    </x:row>
    <x:row r="580" ht="20" customHeight="1">
      <x:c r="A580" s="9" t="n">
        <x:v>46295</x:v>
      </x:c>
      <x:c r="B580" s="2" t="str">
        <x:v>MM-1600</x:v>
      </x:c>
      <x:c r="C580" s="2" t="str">
        <x:v>Email</x:v>
      </x:c>
      <x:c r="D580" s="2" t="str">
        <x:v>CUS-150</x:v>
      </x:c>
      <x:c r="E580" s="10" t="n">
        <x:v>119.9</x:v>
      </x:c>
      <x:c r="F580" s="10" t="n">
        <x:v>11.99</x:v>
      </x:c>
      <x:c r="G580" s="10" t="n">
        <x:v>0</x:v>
      </x:c>
      <x:c r="H580" s="10" t="n">
        <x:v>107.91</x:v>
      </x:c>
      <x:c r="I580" s="10" t="n">
        <x:v>48</x:v>
      </x:c>
      <x:c r="J580" s="10" t="n">
        <x:v>59.91</x:v>
      </x:c>
      <x:c r="K580" s="2" t="n">
        <x:v>2</x:v>
      </x:c>
      <x:c r="L580" s="2" t="n">
        <x:v>0</x:v>
      </x:c>
    </x:row>
    <x:row r="581" ht="20" customHeight="1">
      <x:c r="A581" s="9" t="n">
        <x:v>46295</x:v>
      </x:c>
      <x:c r="B581" s="2" t="str">
        <x:v>MM-1586</x:v>
      </x:c>
      <x:c r="C581" s="2" t="str">
        <x:v>Paid Social</x:v>
      </x:c>
      <x:c r="D581" s="2" t="str">
        <x:v>CUS-145</x:v>
      </x:c>
      <x:c r="E581" s="10" t="n">
        <x:v>119.85</x:v>
      </x:c>
      <x:c r="F581" s="10" t="n">
        <x:v>0</x:v>
      </x:c>
      <x:c r="G581" s="10" t="n">
        <x:v>0</x:v>
      </x:c>
      <x:c r="H581" s="10" t="n">
        <x:v>119.85</x:v>
      </x:c>
      <x:c r="I581" s="10" t="n">
        <x:v>44</x:v>
      </x:c>
      <x:c r="J581" s="10" t="n">
        <x:v>75.85</x:v>
      </x:c>
      <x:c r="K581" s="2" t="n">
        <x:v>3</x:v>
      </x:c>
      <x:c r="L581" s="2" t="n">
        <x:v>0</x:v>
      </x:c>
    </x:row>
    <x:row r="582" ht="20" customHeight="1">
      <x:c r="A582" s="9" t="n">
        <x:v>46295</x:v>
      </x:c>
      <x:c r="B582" s="2" t="str">
        <x:v>MM-1588</x:v>
      </x:c>
      <x:c r="C582" s="2" t="str">
        <x:v>Email</x:v>
      </x:c>
      <x:c r="D582" s="2" t="str">
        <x:v>CUS-009</x:v>
      </x:c>
      <x:c r="E582" s="10" t="n">
        <x:v>12.95</x:v>
      </x:c>
      <x:c r="F582" s="10" t="n">
        <x:v>1.29</x:v>
      </x:c>
      <x:c r="G582" s="10" t="n">
        <x:v>0</x:v>
      </x:c>
      <x:c r="H582" s="10" t="n">
        <x:v>11.66</x:v>
      </x:c>
      <x:c r="I582" s="10" t="n">
        <x:v>3.5</x:v>
      </x:c>
      <x:c r="J582" s="10" t="n">
        <x:v>8.16</x:v>
      </x:c>
      <x:c r="K582" s="2" t="n">
        <x:v>1</x:v>
      </x:c>
      <x:c r="L582" s="2" t="n">
        <x:v>0</x:v>
      </x:c>
    </x:row>
    <x:row r="583" ht="20" customHeight="1">
      <x:c r="A583" s="9" t="n">
        <x:v>46295</x:v>
      </x:c>
      <x:c r="B583" s="2" t="str">
        <x:v>MM-1590</x:v>
      </x:c>
      <x:c r="C583" s="2" t="str">
        <x:v>Email</x:v>
      </x:c>
      <x:c r="D583" s="2" t="str">
        <x:v>CUS-026</x:v>
      </x:c>
      <x:c r="E583" s="10" t="n">
        <x:v>92.8</x:v>
      </x:c>
      <x:c r="F583" s="10" t="n">
        <x:v>9.27</x:v>
      </x:c>
      <x:c r="G583" s="10" t="n">
        <x:v>0</x:v>
      </x:c>
      <x:c r="H583" s="10" t="n">
        <x:v>83.53</x:v>
      </x:c>
      <x:c r="I583" s="10" t="n">
        <x:v>30</x:v>
      </x:c>
      <x:c r="J583" s="10" t="n">
        <x:v>53.53</x:v>
      </x:c>
      <x:c r="K583" s="2" t="n">
        <x:v>4</x:v>
      </x:c>
      <x:c r="L583" s="2" t="n">
        <x:v>0</x:v>
      </x:c>
    </x:row>
    <x:row r="584" ht="20" customHeight="1">
      <x:c r="A584" s="9" t="n">
        <x:v>46295</x:v>
      </x:c>
      <x:c r="B584" s="2" t="str">
        <x:v>MM-1591</x:v>
      </x:c>
      <x:c r="C584" s="2" t="str">
        <x:v>Direct</x:v>
      </x:c>
      <x:c r="D584" s="2" t="str">
        <x:v>CUS-054</x:v>
      </x:c>
      <x:c r="E584" s="10" t="n">
        <x:v>12.95</x:v>
      </x:c>
      <x:c r="F584" s="10" t="n">
        <x:v>0</x:v>
      </x:c>
      <x:c r="G584" s="10" t="n">
        <x:v>0</x:v>
      </x:c>
      <x:c r="H584" s="10" t="n">
        <x:v>12.95</x:v>
      </x:c>
      <x:c r="I584" s="10" t="n">
        <x:v>3.5</x:v>
      </x:c>
      <x:c r="J584" s="10" t="n">
        <x:v>9.45</x:v>
      </x:c>
      <x:c r="K584" s="2" t="n">
        <x:v>1</x:v>
      </x:c>
      <x:c r="L584" s="2" t="n">
        <x:v>0</x:v>
      </x:c>
    </x:row>
    <x:row r="585" ht="20" customHeight="1">
      <x:c r="A585" s="9" t="n">
        <x:v>46295</x:v>
      </x:c>
      <x:c r="B585" s="2" t="str">
        <x:v>MM-1595</x:v>
      </x:c>
      <x:c r="C585" s="2" t="str">
        <x:v>Organic Search</x:v>
      </x:c>
      <x:c r="D585" s="2" t="str">
        <x:v>CUS-054</x:v>
      </x:c>
      <x:c r="E585" s="10" t="n">
        <x:v>42.9</x:v>
      </x:c>
      <x:c r="F585" s="10" t="n">
        <x:v>0</x:v>
      </x:c>
      <x:c r="G585" s="10" t="n">
        <x:v>0</x:v>
      </x:c>
      <x:c r="H585" s="10" t="n">
        <x:v>42.9</x:v>
      </x:c>
      <x:c r="I585" s="10" t="n">
        <x:v>13.5</x:v>
      </x:c>
      <x:c r="J585" s="10" t="n">
        <x:v>29.4</x:v>
      </x:c>
      <x:c r="K585" s="2" t="n">
        <x:v>2</x:v>
      </x:c>
      <x:c r="L585" s="2" t="n">
        <x:v>0</x:v>
      </x:c>
    </x:row>
    <x:row r="586" ht="20" customHeight="1">
      <x:c r="A586" s="9" t="n">
        <x:v>46296</x:v>
      </x:c>
      <x:c r="B586" s="2" t="str">
        <x:v>MM-1621</x:v>
      </x:c>
      <x:c r="C586" s="2" t="str">
        <x:v>Organic Search</x:v>
      </x:c>
      <x:c r="D586" s="2" t="str">
        <x:v>CUS-012</x:v>
      </x:c>
      <x:c r="E586" s="10" t="n">
        <x:v>19.9</x:v>
      </x:c>
      <x:c r="F586" s="10" t="n">
        <x:v>0</x:v>
      </x:c>
      <x:c r="G586" s="10" t="n">
        <x:v>0</x:v>
      </x:c>
      <x:c r="H586" s="10" t="n">
        <x:v>19.9</x:v>
      </x:c>
      <x:c r="I586" s="10" t="n">
        <x:v>5</x:v>
      </x:c>
      <x:c r="J586" s="10" t="n">
        <x:v>14.9</x:v>
      </x:c>
      <x:c r="K586" s="2" t="n">
        <x:v>2</x:v>
      </x:c>
      <x:c r="L586" s="2" t="n">
        <x:v>0</x:v>
      </x:c>
    </x:row>
    <x:row r="587" ht="20" customHeight="1">
      <x:c r="A587" s="9" t="n">
        <x:v>46296</x:v>
      </x:c>
      <x:c r="B587" s="2" t="str">
        <x:v>MM-1610</x:v>
      </x:c>
      <x:c r="C587" s="2" t="str">
        <x:v>Organic Search</x:v>
      </x:c>
      <x:c r="D587" s="2" t="str">
        <x:v>CUS-146</x:v>
      </x:c>
      <x:c r="E587" s="10" t="n">
        <x:v>157.85</x:v>
      </x:c>
      <x:c r="F587" s="10" t="n">
        <x:v>0</x:v>
      </x:c>
      <x:c r="G587" s="10" t="n">
        <x:v>54.95</x:v>
      </x:c>
      <x:c r="H587" s="10" t="n">
        <x:v>102.9</x:v>
      </x:c>
      <x:c r="I587" s="10" t="n">
        <x:v>40</x:v>
      </x:c>
      <x:c r="J587" s="10" t="n">
        <x:v>62.9</x:v>
      </x:c>
      <x:c r="K587" s="2" t="n">
        <x:v>3</x:v>
      </x:c>
      <x:c r="L587" s="2" t="n">
        <x:v>1</x:v>
      </x:c>
    </x:row>
    <x:row r="588" ht="20" customHeight="1">
      <x:c r="A588" s="9" t="n">
        <x:v>46296</x:v>
      </x:c>
      <x:c r="B588" s="2" t="str">
        <x:v>MM-1611</x:v>
      </x:c>
      <x:c r="C588" s="2" t="str">
        <x:v>Direct</x:v>
      </x:c>
      <x:c r="D588" s="2" t="str">
        <x:v>CUS-083</x:v>
      </x:c>
      <x:c r="E588" s="10" t="n">
        <x:v>69.95</x:v>
      </x:c>
      <x:c r="F588" s="10" t="n">
        <x:v>0</x:v>
      </x:c>
      <x:c r="G588" s="10" t="n">
        <x:v>0</x:v>
      </x:c>
      <x:c r="H588" s="10" t="n">
        <x:v>69.95</x:v>
      </x:c>
      <x:c r="I588" s="10" t="n">
        <x:v>28</x:v>
      </x:c>
      <x:c r="J588" s="10" t="n">
        <x:v>41.95</x:v>
      </x:c>
      <x:c r="K588" s="2" t="n">
        <x:v>1</x:v>
      </x:c>
      <x:c r="L588" s="2" t="n">
        <x:v>0</x:v>
      </x:c>
    </x:row>
    <x:row r="589" ht="20" customHeight="1">
      <x:c r="A589" s="9" t="n">
        <x:v>46296</x:v>
      </x:c>
      <x:c r="B589" s="2" t="str">
        <x:v>MM-1613</x:v>
      </x:c>
      <x:c r="C589" s="2" t="str">
        <x:v>Organic Search</x:v>
      </x:c>
      <x:c r="D589" s="2" t="str">
        <x:v>CUS-178</x:v>
      </x:c>
      <x:c r="E589" s="10" t="n">
        <x:v>82.8</x:v>
      </x:c>
      <x:c r="F589" s="10" t="n">
        <x:v>0</x:v>
      </x:c>
      <x:c r="G589" s="10" t="n">
        <x:v>0</x:v>
      </x:c>
      <x:c r="H589" s="10" t="n">
        <x:v>82.8</x:v>
      </x:c>
      <x:c r="I589" s="10" t="n">
        <x:v>27.5</x:v>
      </x:c>
      <x:c r="J589" s="10" t="n">
        <x:v>55.3</x:v>
      </x:c>
      <x:c r="K589" s="2" t="n">
        <x:v>4</x:v>
      </x:c>
      <x:c r="L589" s="2" t="n">
        <x:v>0</x:v>
      </x:c>
    </x:row>
    <x:row r="590" ht="20" customHeight="1">
      <x:c r="A590" s="9" t="n">
        <x:v>46296</x:v>
      </x:c>
      <x:c r="B590" s="2" t="str">
        <x:v>MM-1619</x:v>
      </x:c>
      <x:c r="C590" s="2" t="str">
        <x:v>Organic Search</x:v>
      </x:c>
      <x:c r="D590" s="2" t="str">
        <x:v>CUS-013</x:v>
      </x:c>
      <x:c r="E590" s="10" t="n">
        <x:v>79.95</x:v>
      </x:c>
      <x:c r="F590" s="10" t="n">
        <x:v>7.99</x:v>
      </x:c>
      <x:c r="G590" s="10" t="n">
        <x:v>0</x:v>
      </x:c>
      <x:c r="H590" s="10" t="n">
        <x:v>71.96</x:v>
      </x:c>
      <x:c r="I590" s="10" t="n">
        <x:v>32</x:v>
      </x:c>
      <x:c r="J590" s="10" t="n">
        <x:v>39.96</x:v>
      </x:c>
      <x:c r="K590" s="2" t="n">
        <x:v>1</x:v>
      </x:c>
      <x:c r="L590" s="2" t="n">
        <x:v>0</x:v>
      </x:c>
    </x:row>
    <x:row r="591" ht="20" customHeight="1">
      <x:c r="A591" s="9" t="n">
        <x:v>46296</x:v>
      </x:c>
      <x:c r="B591" s="2" t="str">
        <x:v>MM-1624</x:v>
      </x:c>
      <x:c r="C591" s="2" t="str">
        <x:v>Paid Social</x:v>
      </x:c>
      <x:c r="D591" s="2" t="str">
        <x:v>CUS-172</x:v>
      </x:c>
      <x:c r="E591" s="10" t="n">
        <x:v>124.9</x:v>
      </x:c>
      <x:c r="F591" s="10" t="n">
        <x:v>0</x:v>
      </x:c>
      <x:c r="G591" s="10" t="n">
        <x:v>0</x:v>
      </x:c>
      <x:c r="H591" s="10" t="n">
        <x:v>124.9</x:v>
      </x:c>
      <x:c r="I591" s="10" t="n">
        <x:v>50</x:v>
      </x:c>
      <x:c r="J591" s="10" t="n">
        <x:v>74.9</x:v>
      </x:c>
      <x:c r="K591" s="2" t="n">
        <x:v>2</x:v>
      </x:c>
      <x:c r="L591" s="2" t="n">
        <x:v>0</x:v>
      </x:c>
    </x:row>
    <x:row r="592" ht="20" customHeight="1">
      <x:c r="A592" s="9" t="n">
        <x:v>46296</x:v>
      </x:c>
      <x:c r="B592" s="2" t="str">
        <x:v>MM-1608</x:v>
      </x:c>
      <x:c r="C592" s="2" t="str">
        <x:v>Organic Search</x:v>
      </x:c>
      <x:c r="D592" s="2" t="str">
        <x:v>CUS-093</x:v>
      </x:c>
      <x:c r="E592" s="10" t="n">
        <x:v>22.95</x:v>
      </x:c>
      <x:c r="F592" s="10" t="n">
        <x:v>0</x:v>
      </x:c>
      <x:c r="G592" s="10" t="n">
        <x:v>0</x:v>
      </x:c>
      <x:c r="H592" s="10" t="n">
        <x:v>22.95</x:v>
      </x:c>
      <x:c r="I592" s="10" t="n">
        <x:v>8.5</x:v>
      </x:c>
      <x:c r="J592" s="10" t="n">
        <x:v>14.45</x:v>
      </x:c>
      <x:c r="K592" s="2" t="n">
        <x:v>1</x:v>
      </x:c>
      <x:c r="L592" s="2" t="n">
        <x:v>0</x:v>
      </x:c>
    </x:row>
    <x:row r="593" ht="20" customHeight="1">
      <x:c r="A593" s="9" t="n">
        <x:v>46296</x:v>
      </x:c>
      <x:c r="B593" s="2" t="str">
        <x:v>MM-1614</x:v>
      </x:c>
      <x:c r="C593" s="2" t="str">
        <x:v>Organic Search</x:v>
      </x:c>
      <x:c r="D593" s="2" t="str">
        <x:v>CUS-165</x:v>
      </x:c>
      <x:c r="E593" s="10" t="n">
        <x:v>24.95</x:v>
      </x:c>
      <x:c r="F593" s="10" t="n">
        <x:v>0</x:v>
      </x:c>
      <x:c r="G593" s="10" t="n">
        <x:v>0</x:v>
      </x:c>
      <x:c r="H593" s="10" t="n">
        <x:v>24.95</x:v>
      </x:c>
      <x:c r="I593" s="10" t="n">
        <x:v>9</x:v>
      </x:c>
      <x:c r="J593" s="10" t="n">
        <x:v>15.95</x:v>
      </x:c>
      <x:c r="K593" s="2" t="n">
        <x:v>1</x:v>
      </x:c>
      <x:c r="L593" s="2" t="n">
        <x:v>0</x:v>
      </x:c>
    </x:row>
    <x:row r="594" ht="20" customHeight="1">
      <x:c r="A594" s="9" t="n">
        <x:v>46296</x:v>
      </x:c>
      <x:c r="B594" s="2" t="str">
        <x:v>MM-1620</x:v>
      </x:c>
      <x:c r="C594" s="2" t="str">
        <x:v>Email</x:v>
      </x:c>
      <x:c r="D594" s="2" t="str">
        <x:v>CUS-096</x:v>
      </x:c>
      <x:c r="E594" s="10" t="n">
        <x:v>43.9</x:v>
      </x:c>
      <x:c r="F594" s="10" t="n">
        <x:v>4.38</x:v>
      </x:c>
      <x:c r="G594" s="10" t="n">
        <x:v>0</x:v>
      </x:c>
      <x:c r="H594" s="10" t="n">
        <x:v>39.52</x:v>
      </x:c>
      <x:c r="I594" s="10" t="n">
        <x:v>15.5</x:v>
      </x:c>
      <x:c r="J594" s="10" t="n">
        <x:v>24.02</x:v>
      </x:c>
      <x:c r="K594" s="2" t="n">
        <x:v>2</x:v>
      </x:c>
      <x:c r="L594" s="2" t="n">
        <x:v>0</x:v>
      </x:c>
    </x:row>
    <x:row r="595" ht="20" customHeight="1">
      <x:c r="A595" s="9" t="n">
        <x:v>46296</x:v>
      </x:c>
      <x:c r="B595" s="2" t="str">
        <x:v>MM-1623</x:v>
      </x:c>
      <x:c r="C595" s="2" t="str">
        <x:v>Paid Social</x:v>
      </x:c>
      <x:c r="D595" s="2" t="str">
        <x:v>CUS-060</x:v>
      </x:c>
      <x:c r="E595" s="10" t="n">
        <x:v>74.9</x:v>
      </x:c>
      <x:c r="F595" s="10" t="n">
        <x:v>1.99</x:v>
      </x:c>
      <x:c r="G595" s="10" t="n">
        <x:v>0</x:v>
      </x:c>
      <x:c r="H595" s="10" t="n">
        <x:v>72.91</x:v>
      </x:c>
      <x:c r="I595" s="10" t="n">
        <x:v>28</x:v>
      </x:c>
      <x:c r="J595" s="10" t="n">
        <x:v>44.91</x:v>
      </x:c>
      <x:c r="K595" s="2" t="n">
        <x:v>2</x:v>
      </x:c>
      <x:c r="L595" s="2" t="n">
        <x:v>0</x:v>
      </x:c>
    </x:row>
    <x:row r="596" ht="20" customHeight="1">
      <x:c r="A596" s="9" t="n">
        <x:v>46296</x:v>
      </x:c>
      <x:c r="B596" s="2" t="str">
        <x:v>MM-1618</x:v>
      </x:c>
      <x:c r="C596" s="2" t="str">
        <x:v>Paid Social</x:v>
      </x:c>
      <x:c r="D596" s="2" t="str">
        <x:v>CUS-022</x:v>
      </x:c>
      <x:c r="E596" s="10" t="n">
        <x:v>85.85</x:v>
      </x:c>
      <x:c r="F596" s="10" t="n">
        <x:v>6.59</x:v>
      </x:c>
      <x:c r="G596" s="10" t="n">
        <x:v>0</x:v>
      </x:c>
      <x:c r="H596" s="10" t="n">
        <x:v>79.26</x:v>
      </x:c>
      <x:c r="I596" s="10" t="n">
        <x:v>30</x:v>
      </x:c>
      <x:c r="J596" s="10" t="n">
        <x:v>49.26</x:v>
      </x:c>
      <x:c r="K596" s="2" t="n">
        <x:v>3</x:v>
      </x:c>
      <x:c r="L596" s="2" t="n">
        <x:v>0</x:v>
      </x:c>
    </x:row>
    <x:row r="597" ht="20" customHeight="1">
      <x:c r="A597" s="9" t="n">
        <x:v>46296</x:v>
      </x:c>
      <x:c r="B597" s="2" t="str">
        <x:v>MM-1625</x:v>
      </x:c>
      <x:c r="C597" s="2" t="str">
        <x:v>Direct</x:v>
      </x:c>
      <x:c r="D597" s="2" t="str">
        <x:v>CUS-103</x:v>
      </x:c>
      <x:c r="E597" s="10" t="n">
        <x:v>50.85</x:v>
      </x:c>
      <x:c r="F597" s="10" t="n">
        <x:v>2.49</x:v>
      </x:c>
      <x:c r="G597" s="10" t="n">
        <x:v>0</x:v>
      </x:c>
      <x:c r="H597" s="10" t="n">
        <x:v>48.36</x:v>
      </x:c>
      <x:c r="I597" s="10" t="n">
        <x:v>15.5</x:v>
      </x:c>
      <x:c r="J597" s="10" t="n">
        <x:v>32.86</x:v>
      </x:c>
      <x:c r="K597" s="2" t="n">
        <x:v>3</x:v>
      </x:c>
      <x:c r="L597" s="2" t="n">
        <x:v>0</x:v>
      </x:c>
    </x:row>
    <x:row r="598" ht="20" customHeight="1">
      <x:c r="A598" s="9" t="n">
        <x:v>46296</x:v>
      </x:c>
      <x:c r="B598" s="2" t="str">
        <x:v>MM-1615</x:v>
      </x:c>
      <x:c r="C598" s="2" t="str">
        <x:v>Paid Social</x:v>
      </x:c>
      <x:c r="D598" s="2" t="str">
        <x:v>CUS-133</x:v>
      </x:c>
      <x:c r="E598" s="10" t="n">
        <x:v>18.95</x:v>
      </x:c>
      <x:c r="F598" s="10" t="n">
        <x:v>0</x:v>
      </x:c>
      <x:c r="G598" s="10" t="n">
        <x:v>0</x:v>
      </x:c>
      <x:c r="H598" s="10" t="n">
        <x:v>18.95</x:v>
      </x:c>
      <x:c r="I598" s="10" t="n">
        <x:v>6.5</x:v>
      </x:c>
      <x:c r="J598" s="10" t="n">
        <x:v>12.45</x:v>
      </x:c>
      <x:c r="K598" s="2" t="n">
        <x:v>1</x:v>
      </x:c>
      <x:c r="L598" s="2" t="n">
        <x:v>0</x:v>
      </x:c>
    </x:row>
    <x:row r="599" ht="20" customHeight="1">
      <x:c r="A599" s="9" t="n">
        <x:v>46296</x:v>
      </x:c>
      <x:c r="B599" s="2" t="str">
        <x:v>MM-1622</x:v>
      </x:c>
      <x:c r="C599" s="2" t="str">
        <x:v>Email</x:v>
      </x:c>
      <x:c r="D599" s="2" t="str">
        <x:v>CUS-169</x:v>
      </x:c>
      <x:c r="E599" s="10" t="n">
        <x:v>24.95</x:v>
      </x:c>
      <x:c r="F599" s="10" t="n">
        <x:v>2.49</x:v>
      </x:c>
      <x:c r="G599" s="10" t="n">
        <x:v>0</x:v>
      </x:c>
      <x:c r="H599" s="10" t="n">
        <x:v>22.46</x:v>
      </x:c>
      <x:c r="I599" s="10" t="n">
        <x:v>9</x:v>
      </x:c>
      <x:c r="J599" s="10" t="n">
        <x:v>13.46</x:v>
      </x:c>
      <x:c r="K599" s="2" t="n">
        <x:v>1</x:v>
      </x:c>
      <x:c r="L599" s="2" t="n">
        <x:v>0</x:v>
      </x:c>
    </x:row>
    <x:row r="600" ht="20" customHeight="1">
      <x:c r="A600" s="9" t="n">
        <x:v>46296</x:v>
      </x:c>
      <x:c r="B600" s="2" t="str">
        <x:v>MM-1626</x:v>
      </x:c>
      <x:c r="C600" s="2" t="str">
        <x:v>Paid Social</x:v>
      </x:c>
      <x:c r="D600" s="2" t="str">
        <x:v>CUS-061</x:v>
      </x:c>
      <x:c r="E600" s="10" t="n">
        <x:v>69.9</x:v>
      </x:c>
      <x:c r="F600" s="10" t="n">
        <x:v>6.99</x:v>
      </x:c>
      <x:c r="G600" s="10" t="n">
        <x:v>0</x:v>
      </x:c>
      <x:c r="H600" s="10" t="n">
        <x:v>62.91</x:v>
      </x:c>
      <x:c r="I600" s="10" t="n">
        <x:v>27</x:v>
      </x:c>
      <x:c r="J600" s="10" t="n">
        <x:v>35.91</x:v>
      </x:c>
      <x:c r="K600" s="2" t="n">
        <x:v>2</x:v>
      </x:c>
      <x:c r="L600" s="2" t="n">
        <x:v>0</x:v>
      </x:c>
    </x:row>
    <x:row r="601" ht="20" customHeight="1">
      <x:c r="A601" s="9" t="n">
        <x:v>46296</x:v>
      </x:c>
      <x:c r="B601" s="2" t="str">
        <x:v>MM-1616</x:v>
      </x:c>
      <x:c r="C601" s="2" t="str">
        <x:v>Email</x:v>
      </x:c>
      <x:c r="D601" s="2" t="str">
        <x:v>CUS-126</x:v>
      </x:c>
      <x:c r="E601" s="10" t="n">
        <x:v>164.85</x:v>
      </x:c>
      <x:c r="F601" s="10" t="n">
        <x:v>16.48</x:v>
      </x:c>
      <x:c r="G601" s="10" t="n">
        <x:v>0</x:v>
      </x:c>
      <x:c r="H601" s="10" t="n">
        <x:v>148.37</x:v>
      </x:c>
      <x:c r="I601" s="10" t="n">
        <x:v>66</x:v>
      </x:c>
      <x:c r="J601" s="10" t="n">
        <x:v>82.37</x:v>
      </x:c>
      <x:c r="K601" s="2" t="n">
        <x:v>3</x:v>
      </x:c>
      <x:c r="L601" s="2" t="n">
        <x:v>0</x:v>
      </x:c>
    </x:row>
    <x:row r="602" ht="20" customHeight="1">
      <x:c r="A602" s="9" t="n">
        <x:v>46297</x:v>
      </x:c>
      <x:c r="B602" s="2" t="str">
        <x:v>MM-1629</x:v>
      </x:c>
      <x:c r="C602" s="2" t="str">
        <x:v>Paid Social</x:v>
      </x:c>
      <x:c r="D602" s="2" t="str">
        <x:v>CUS-141</x:v>
      </x:c>
      <x:c r="E602" s="10" t="n">
        <x:v>172.85</x:v>
      </x:c>
      <x:c r="F602" s="10" t="n">
        <x:v>3.29</x:v>
      </x:c>
      <x:c r="G602" s="10" t="n">
        <x:v>0</x:v>
      </x:c>
      <x:c r="H602" s="10" t="n">
        <x:v>169.56</x:v>
      </x:c>
      <x:c r="I602" s="10" t="n">
        <x:v>68</x:v>
      </x:c>
      <x:c r="J602" s="10" t="n">
        <x:v>101.56</x:v>
      </x:c>
      <x:c r="K602" s="2" t="n">
        <x:v>3</x:v>
      </x:c>
      <x:c r="L602" s="2" t="n">
        <x:v>0</x:v>
      </x:c>
    </x:row>
    <x:row r="603" ht="20" customHeight="1">
      <x:c r="A603" s="9" t="n">
        <x:v>46297</x:v>
      </x:c>
      <x:c r="B603" s="2" t="str">
        <x:v>MM-1636</x:v>
      </x:c>
      <x:c r="C603" s="2" t="str">
        <x:v>Email</x:v>
      </x:c>
      <x:c r="D603" s="2" t="str">
        <x:v>CUS-128</x:v>
      </x:c>
      <x:c r="E603" s="10" t="n">
        <x:v>25.9</x:v>
      </x:c>
      <x:c r="F603" s="10" t="n">
        <x:v>2.59</x:v>
      </x:c>
      <x:c r="G603" s="10" t="n">
        <x:v>0</x:v>
      </x:c>
      <x:c r="H603" s="10" t="n">
        <x:v>23.31</x:v>
      </x:c>
      <x:c r="I603" s="10" t="n">
        <x:v>7</x:v>
      </x:c>
      <x:c r="J603" s="10" t="n">
        <x:v>16.31</x:v>
      </x:c>
      <x:c r="K603" s="2" t="n">
        <x:v>2</x:v>
      </x:c>
      <x:c r="L603" s="2" t="n">
        <x:v>0</x:v>
      </x:c>
    </x:row>
    <x:row r="604" ht="20" customHeight="1">
      <x:c r="A604" s="9" t="n">
        <x:v>46297</x:v>
      </x:c>
      <x:c r="B604" s="2" t="str">
        <x:v>MM-1634</x:v>
      </x:c>
      <x:c r="C604" s="2" t="str">
        <x:v>Email</x:v>
      </x:c>
      <x:c r="D604" s="2" t="str">
        <x:v>CUS-114</x:v>
      </x:c>
      <x:c r="E604" s="10" t="n">
        <x:v>45.9</x:v>
      </x:c>
      <x:c r="F604" s="10" t="n">
        <x:v>4.59</x:v>
      </x:c>
      <x:c r="G604" s="10" t="n">
        <x:v>0</x:v>
      </x:c>
      <x:c r="H604" s="10" t="n">
        <x:v>41.31</x:v>
      </x:c>
      <x:c r="I604" s="10" t="n">
        <x:v>17</x:v>
      </x:c>
      <x:c r="J604" s="10" t="n">
        <x:v>24.31</x:v>
      </x:c>
      <x:c r="K604" s="2" t="n">
        <x:v>2</x:v>
      </x:c>
      <x:c r="L604" s="2" t="n">
        <x:v>0</x:v>
      </x:c>
    </x:row>
    <x:row r="605" ht="20" customHeight="1">
      <x:c r="A605" s="9" t="n">
        <x:v>46297</x:v>
      </x:c>
      <x:c r="B605" s="2" t="str">
        <x:v>MM-1638</x:v>
      </x:c>
      <x:c r="C605" s="2" t="str">
        <x:v>Email</x:v>
      </x:c>
      <x:c r="D605" s="2" t="str">
        <x:v>CUS-167</x:v>
      </x:c>
      <x:c r="E605" s="10" t="n">
        <x:v>159.9</x:v>
      </x:c>
      <x:c r="F605" s="10" t="n">
        <x:v>15.99</x:v>
      </x:c>
      <x:c r="G605" s="10" t="n">
        <x:v>0</x:v>
      </x:c>
      <x:c r="H605" s="10" t="n">
        <x:v>143.91</x:v>
      </x:c>
      <x:c r="I605" s="10" t="n">
        <x:v>64</x:v>
      </x:c>
      <x:c r="J605" s="10" t="n">
        <x:v>79.91</x:v>
      </x:c>
      <x:c r="K605" s="2" t="n">
        <x:v>2</x:v>
      </x:c>
      <x:c r="L605" s="2" t="n">
        <x:v>0</x:v>
      </x:c>
    </x:row>
    <x:row r="606" ht="20" customHeight="1">
      <x:c r="A606" s="9" t="n">
        <x:v>46297</x:v>
      </x:c>
      <x:c r="B606" s="2" t="str">
        <x:v>MM-1628</x:v>
      </x:c>
      <x:c r="C606" s="2" t="str">
        <x:v>Email</x:v>
      </x:c>
      <x:c r="D606" s="2" t="str">
        <x:v>CUS-023</x:v>
      </x:c>
      <x:c r="E606" s="10" t="n">
        <x:v>56.85</x:v>
      </x:c>
      <x:c r="F606" s="10" t="n">
        <x:v>5.68</x:v>
      </x:c>
      <x:c r="G606" s="10" t="n">
        <x:v>0</x:v>
      </x:c>
      <x:c r="H606" s="10" t="n">
        <x:v>51.17</x:v>
      </x:c>
      <x:c r="I606" s="10" t="n">
        <x:v>19.5</x:v>
      </x:c>
      <x:c r="J606" s="10" t="n">
        <x:v>31.67</x:v>
      </x:c>
      <x:c r="K606" s="2" t="n">
        <x:v>3</x:v>
      </x:c>
      <x:c r="L606" s="2" t="n">
        <x:v>0</x:v>
      </x:c>
    </x:row>
    <x:row r="607" ht="20" customHeight="1">
      <x:c r="A607" s="9" t="n">
        <x:v>46297</x:v>
      </x:c>
      <x:c r="B607" s="2" t="str">
        <x:v>MM-1632</x:v>
      </x:c>
      <x:c r="C607" s="2" t="str">
        <x:v>Direct</x:v>
      </x:c>
      <x:c r="D607" s="2" t="str">
        <x:v>CUS-019</x:v>
      </x:c>
      <x:c r="E607" s="10" t="n">
        <x:v>34.95</x:v>
      </x:c>
      <x:c r="F607" s="10" t="n">
        <x:v>3.49</x:v>
      </x:c>
      <x:c r="G607" s="10" t="n">
        <x:v>0</x:v>
      </x:c>
      <x:c r="H607" s="10" t="n">
        <x:v>31.46</x:v>
      </x:c>
      <x:c r="I607" s="10" t="n">
        <x:v>13.5</x:v>
      </x:c>
      <x:c r="J607" s="10" t="n">
        <x:v>17.96</x:v>
      </x:c>
      <x:c r="K607" s="2" t="n">
        <x:v>1</x:v>
      </x:c>
      <x:c r="L607" s="2" t="n">
        <x:v>0</x:v>
      </x:c>
    </x:row>
    <x:row r="608" ht="20" customHeight="1">
      <x:c r="A608" s="9" t="n">
        <x:v>46297</x:v>
      </x:c>
      <x:c r="B608" s="2" t="str">
        <x:v>MM-1641</x:v>
      </x:c>
      <x:c r="C608" s="2" t="str">
        <x:v>Email</x:v>
      </x:c>
      <x:c r="D608" s="2" t="str">
        <x:v>CUS-115</x:v>
      </x:c>
      <x:c r="E608" s="10" t="n">
        <x:v>139.85</x:v>
      </x:c>
      <x:c r="F608" s="10" t="n">
        <x:v>13.97</x:v>
      </x:c>
      <x:c r="G608" s="10" t="n">
        <x:v>0</x:v>
      </x:c>
      <x:c r="H608" s="10" t="n">
        <x:v>125.88</x:v>
      </x:c>
      <x:c r="I608" s="10" t="n">
        <x:v>55</x:v>
      </x:c>
      <x:c r="J608" s="10" t="n">
        <x:v>70.88</x:v>
      </x:c>
      <x:c r="K608" s="2" t="n">
        <x:v>3</x:v>
      </x:c>
      <x:c r="L608" s="2" t="n">
        <x:v>0</x:v>
      </x:c>
    </x:row>
    <x:row r="609" ht="20" customHeight="1">
      <x:c r="A609" s="9" t="n">
        <x:v>46297</x:v>
      </x:c>
      <x:c r="B609" s="2" t="str">
        <x:v>MM-1637</x:v>
      </x:c>
      <x:c r="C609" s="2" t="str">
        <x:v>Organic Search</x:v>
      </x:c>
      <x:c r="D609" s="2" t="str">
        <x:v>CUS-178</x:v>
      </x:c>
      <x:c r="E609" s="10" t="n">
        <x:v>18.95</x:v>
      </x:c>
      <x:c r="F609" s="10" t="n">
        <x:v>0</x:v>
      </x:c>
      <x:c r="G609" s="10" t="n">
        <x:v>0</x:v>
      </x:c>
      <x:c r="H609" s="10" t="n">
        <x:v>18.95</x:v>
      </x:c>
      <x:c r="I609" s="10" t="n">
        <x:v>6.5</x:v>
      </x:c>
      <x:c r="J609" s="10" t="n">
        <x:v>12.45</x:v>
      </x:c>
      <x:c r="K609" s="2" t="n">
        <x:v>1</x:v>
      </x:c>
      <x:c r="L609" s="2" t="n">
        <x:v>0</x:v>
      </x:c>
    </x:row>
    <x:row r="610" ht="20" customHeight="1">
      <x:c r="A610" s="9" t="n">
        <x:v>46297</x:v>
      </x:c>
      <x:c r="B610" s="2" t="str">
        <x:v>MM-1640</x:v>
      </x:c>
      <x:c r="C610" s="2" t="str">
        <x:v>Paid Social</x:v>
      </x:c>
      <x:c r="D610" s="2" t="str">
        <x:v>CUS-003</x:v>
      </x:c>
      <x:c r="E610" s="10" t="n">
        <x:v>154.85</x:v>
      </x:c>
      <x:c r="F610" s="10" t="n">
        <x:v>11.99</x:v>
      </x:c>
      <x:c r="G610" s="10" t="n">
        <x:v>34.95</x:v>
      </x:c>
      <x:c r="H610" s="10" t="n">
        <x:v>107.91</x:v>
      </x:c>
      <x:c r="I610" s="10" t="n">
        <x:v>48</x:v>
      </x:c>
      <x:c r="J610" s="10" t="n">
        <x:v>59.91</x:v>
      </x:c>
      <x:c r="K610" s="2" t="n">
        <x:v>3</x:v>
      </x:c>
      <x:c r="L610" s="2" t="n">
        <x:v>1</x:v>
      </x:c>
    </x:row>
    <x:row r="611" ht="20" customHeight="1">
      <x:c r="A611" s="9" t="n">
        <x:v>46297</x:v>
      </x:c>
      <x:c r="B611" s="2" t="str">
        <x:v>MM-1642</x:v>
      </x:c>
      <x:c r="C611" s="2" t="str">
        <x:v>Organic Search</x:v>
      </x:c>
      <x:c r="D611" s="2" t="str">
        <x:v>CUS-124</x:v>
      </x:c>
      <x:c r="E611" s="10" t="n">
        <x:v>74.9</x:v>
      </x:c>
      <x:c r="F611" s="10" t="n">
        <x:v>1.99</x:v>
      </x:c>
      <x:c r="G611" s="10" t="n">
        <x:v>0</x:v>
      </x:c>
      <x:c r="H611" s="10" t="n">
        <x:v>72.91</x:v>
      </x:c>
      <x:c r="I611" s="10" t="n">
        <x:v>28</x:v>
      </x:c>
      <x:c r="J611" s="10" t="n">
        <x:v>44.91</x:v>
      </x:c>
      <x:c r="K611" s="2" t="n">
        <x:v>2</x:v>
      </x:c>
      <x:c r="L611" s="2" t="n">
        <x:v>0</x:v>
      </x:c>
    </x:row>
    <x:row r="612" ht="20" customHeight="1">
      <x:c r="A612" s="9" t="n">
        <x:v>46297</x:v>
      </x:c>
      <x:c r="B612" s="2" t="str">
        <x:v>MM-1639</x:v>
      </x:c>
      <x:c r="C612" s="2" t="str">
        <x:v>Organic Search</x:v>
      </x:c>
      <x:c r="D612" s="2" t="str">
        <x:v>CUS-138</x:v>
      </x:c>
      <x:c r="E612" s="10" t="n">
        <x:v>9.95</x:v>
      </x:c>
      <x:c r="F612" s="10" t="n">
        <x:v>0</x:v>
      </x:c>
      <x:c r="G612" s="10" t="n">
        <x:v>0</x:v>
      </x:c>
      <x:c r="H612" s="10" t="n">
        <x:v>9.95</x:v>
      </x:c>
      <x:c r="I612" s="10" t="n">
        <x:v>2.5</x:v>
      </x:c>
      <x:c r="J612" s="10" t="n">
        <x:v>7.45</x:v>
      </x:c>
      <x:c r="K612" s="2" t="n">
        <x:v>1</x:v>
      </x:c>
      <x:c r="L612" s="2" t="n">
        <x:v>0</x:v>
      </x:c>
    </x:row>
    <x:row r="613" ht="20" customHeight="1">
      <x:c r="A613" s="9" t="n">
        <x:v>46297</x:v>
      </x:c>
      <x:c r="B613" s="2" t="str">
        <x:v>MM-1635</x:v>
      </x:c>
      <x:c r="C613" s="2" t="str">
        <x:v>Email</x:v>
      </x:c>
      <x:c r="D613" s="2" t="str">
        <x:v>CUS-082</x:v>
      </x:c>
      <x:c r="E613" s="10" t="n">
        <x:v>34.95</x:v>
      </x:c>
      <x:c r="F613" s="10" t="n">
        <x:v>3.49</x:v>
      </x:c>
      <x:c r="G613" s="10" t="n">
        <x:v>0</x:v>
      </x:c>
      <x:c r="H613" s="10" t="n">
        <x:v>31.46</x:v>
      </x:c>
      <x:c r="I613" s="10" t="n">
        <x:v>13.5</x:v>
      </x:c>
      <x:c r="J613" s="10" t="n">
        <x:v>17.96</x:v>
      </x:c>
      <x:c r="K613" s="2" t="n">
        <x:v>1</x:v>
      </x:c>
      <x:c r="L613" s="2" t="n">
        <x:v>0</x:v>
      </x:c>
    </x:row>
    <x:row r="614" ht="20" customHeight="1">
      <x:c r="A614" s="9" t="n">
        <x:v>46297</x:v>
      </x:c>
      <x:c r="B614" s="2" t="str">
        <x:v>MM-1627</x:v>
      </x:c>
      <x:c r="C614" s="2" t="str">
        <x:v>Email</x:v>
      </x:c>
      <x:c r="D614" s="2" t="str">
        <x:v>CUS-060</x:v>
      </x:c>
      <x:c r="E614" s="10" t="n">
        <x:v>42.9</x:v>
      </x:c>
      <x:c r="F614" s="10" t="n">
        <x:v>4.28</x:v>
      </x:c>
      <x:c r="G614" s="10" t="n">
        <x:v>0</x:v>
      </x:c>
      <x:c r="H614" s="10" t="n">
        <x:v>38.62</x:v>
      </x:c>
      <x:c r="I614" s="10" t="n">
        <x:v>13.5</x:v>
      </x:c>
      <x:c r="J614" s="10" t="n">
        <x:v>25.12</x:v>
      </x:c>
      <x:c r="K614" s="2" t="n">
        <x:v>2</x:v>
      </x:c>
      <x:c r="L614" s="2" t="n">
        <x:v>0</x:v>
      </x:c>
    </x:row>
    <x:row r="615" ht="20" customHeight="1">
      <x:c r="A615" s="9" t="n">
        <x:v>46297</x:v>
      </x:c>
      <x:c r="B615" s="2" t="str">
        <x:v>MM-1630</x:v>
      </x:c>
      <x:c r="C615" s="2" t="str">
        <x:v>Email</x:v>
      </x:c>
      <x:c r="D615" s="2" t="str">
        <x:v>CUS-095</x:v>
      </x:c>
      <x:c r="E615" s="10" t="n">
        <x:v>59.95</x:v>
      </x:c>
      <x:c r="F615" s="10" t="n">
        <x:v>5.99</x:v>
      </x:c>
      <x:c r="G615" s="10" t="n">
        <x:v>0</x:v>
      </x:c>
      <x:c r="H615" s="10" t="n">
        <x:v>53.96</x:v>
      </x:c>
      <x:c r="I615" s="10" t="n">
        <x:v>24</x:v>
      </x:c>
      <x:c r="J615" s="10" t="n">
        <x:v>29.96</x:v>
      </x:c>
      <x:c r="K615" s="2" t="n">
        <x:v>1</x:v>
      </x:c>
      <x:c r="L615" s="2" t="n">
        <x:v>0</x:v>
      </x:c>
    </x:row>
    <x:row r="616" ht="20" customHeight="1">
      <x:c r="A616" s="9" t="n">
        <x:v>46297</x:v>
      </x:c>
      <x:c r="B616" s="2" t="str">
        <x:v>MM-1631</x:v>
      </x:c>
      <x:c r="C616" s="2" t="str">
        <x:v>Email</x:v>
      </x:c>
      <x:c r="D616" s="2" t="str">
        <x:v>CUS-089</x:v>
      </x:c>
      <x:c r="E616" s="10" t="n">
        <x:v>69.9</x:v>
      </x:c>
      <x:c r="F616" s="10" t="n">
        <x:v>6.99</x:v>
      </x:c>
      <x:c r="G616" s="10" t="n">
        <x:v>0</x:v>
      </x:c>
      <x:c r="H616" s="10" t="n">
        <x:v>62.91</x:v>
      </x:c>
      <x:c r="I616" s="10" t="n">
        <x:v>27</x:v>
      </x:c>
      <x:c r="J616" s="10" t="n">
        <x:v>35.91</x:v>
      </x:c>
      <x:c r="K616" s="2" t="n">
        <x:v>2</x:v>
      </x:c>
      <x:c r="L616" s="2" t="n">
        <x:v>0</x:v>
      </x:c>
    </x:row>
    <x:row r="617" ht="20" customHeight="1">
      <x:c r="A617" s="9" t="n">
        <x:v>46297</x:v>
      </x:c>
      <x:c r="B617" s="2" t="str">
        <x:v>MM-1633</x:v>
      </x:c>
      <x:c r="C617" s="2" t="str">
        <x:v>Email</x:v>
      </x:c>
      <x:c r="D617" s="2" t="str">
        <x:v>CUS-146</x:v>
      </x:c>
      <x:c r="E617" s="10" t="n">
        <x:v>138.8</x:v>
      </x:c>
      <x:c r="F617" s="10" t="n">
        <x:v>13.87</x:v>
      </x:c>
      <x:c r="G617" s="10" t="n">
        <x:v>0</x:v>
      </x:c>
      <x:c r="H617" s="10" t="n">
        <x:v>124.93</x:v>
      </x:c>
      <x:c r="I617" s="10" t="n">
        <x:v>52.5</x:v>
      </x:c>
      <x:c r="J617" s="10" t="n">
        <x:v>72.43</x:v>
      </x:c>
      <x:c r="K617" s="2" t="n">
        <x:v>4</x:v>
      </x:c>
      <x:c r="L617" s="2" t="n">
        <x:v>0</x:v>
      </x:c>
    </x:row>
    <x:row r="618" ht="20" customHeight="1">
      <x:c r="A618" s="9" t="n">
        <x:v>46298</x:v>
      </x:c>
      <x:c r="B618" s="2" t="str">
        <x:v>MM-1658</x:v>
      </x:c>
      <x:c r="C618" s="2" t="str">
        <x:v>Email</x:v>
      </x:c>
      <x:c r="D618" s="2" t="str">
        <x:v>CUS-070</x:v>
      </x:c>
      <x:c r="E618" s="10" t="n">
        <x:v>12.95</x:v>
      </x:c>
      <x:c r="F618" s="10" t="n">
        <x:v>1.29</x:v>
      </x:c>
      <x:c r="G618" s="10" t="n">
        <x:v>0</x:v>
      </x:c>
      <x:c r="H618" s="10" t="n">
        <x:v>11.66</x:v>
      </x:c>
      <x:c r="I618" s="10" t="n">
        <x:v>3.5</x:v>
      </x:c>
      <x:c r="J618" s="10" t="n">
        <x:v>8.16</x:v>
      </x:c>
      <x:c r="K618" s="2" t="n">
        <x:v>1</x:v>
      </x:c>
      <x:c r="L618" s="2" t="n">
        <x:v>0</x:v>
      </x:c>
    </x:row>
    <x:row r="619" ht="20" customHeight="1">
      <x:c r="A619" s="9" t="n">
        <x:v>46298</x:v>
      </x:c>
      <x:c r="B619" s="2" t="str">
        <x:v>MM-1661</x:v>
      </x:c>
      <x:c r="C619" s="2" t="str">
        <x:v>Email</x:v>
      </x:c>
      <x:c r="D619" s="2" t="str">
        <x:v>CUS-032</x:v>
      </x:c>
      <x:c r="E619" s="10" t="n">
        <x:v>69.9</x:v>
      </x:c>
      <x:c r="F619" s="10" t="n">
        <x:v>6.99</x:v>
      </x:c>
      <x:c r="G619" s="10" t="n">
        <x:v>0</x:v>
      </x:c>
      <x:c r="H619" s="10" t="n">
        <x:v>62.91</x:v>
      </x:c>
      <x:c r="I619" s="10" t="n">
        <x:v>27</x:v>
      </x:c>
      <x:c r="J619" s="10" t="n">
        <x:v>35.91</x:v>
      </x:c>
      <x:c r="K619" s="2" t="n">
        <x:v>2</x:v>
      </x:c>
      <x:c r="L619" s="2" t="n">
        <x:v>0</x:v>
      </x:c>
    </x:row>
    <x:row r="620" ht="20" customHeight="1">
      <x:c r="A620" s="9" t="n">
        <x:v>46298</x:v>
      </x:c>
      <x:c r="B620" s="2" t="str">
        <x:v>MM-1647</x:v>
      </x:c>
      <x:c r="C620" s="2" t="str">
        <x:v>Email</x:v>
      </x:c>
      <x:c r="D620" s="2" t="str">
        <x:v>CUS-014</x:v>
      </x:c>
      <x:c r="E620" s="10" t="n">
        <x:v>48.85</x:v>
      </x:c>
      <x:c r="F620" s="10" t="n">
        <x:v>4.88</x:v>
      </x:c>
      <x:c r="G620" s="10" t="n">
        <x:v>0</x:v>
      </x:c>
      <x:c r="H620" s="10" t="n">
        <x:v>43.97</x:v>
      </x:c>
      <x:c r="I620" s="10" t="n">
        <x:v>15.5</x:v>
      </x:c>
      <x:c r="J620" s="10" t="n">
        <x:v>28.47</x:v>
      </x:c>
      <x:c r="K620" s="2" t="n">
        <x:v>3</x:v>
      </x:c>
      <x:c r="L620" s="2" t="n">
        <x:v>0</x:v>
      </x:c>
    </x:row>
    <x:row r="621" ht="20" customHeight="1">
      <x:c r="A621" s="9" t="n">
        <x:v>46298</x:v>
      </x:c>
      <x:c r="B621" s="2" t="str">
        <x:v>MM-1651</x:v>
      </x:c>
      <x:c r="C621" s="2" t="str">
        <x:v>Organic Search</x:v>
      </x:c>
      <x:c r="D621" s="2" t="str">
        <x:v>CUS-130</x:v>
      </x:c>
      <x:c r="E621" s="10" t="n">
        <x:v>18.95</x:v>
      </x:c>
      <x:c r="F621" s="10" t="n">
        <x:v>1.89</x:v>
      </x:c>
      <x:c r="G621" s="10" t="n">
        <x:v>0</x:v>
      </x:c>
      <x:c r="H621" s="10" t="n">
        <x:v>17.06</x:v>
      </x:c>
      <x:c r="I621" s="10" t="n">
        <x:v>6.5</x:v>
      </x:c>
      <x:c r="J621" s="10" t="n">
        <x:v>10.56</x:v>
      </x:c>
      <x:c r="K621" s="2" t="n">
        <x:v>1</x:v>
      </x:c>
      <x:c r="L621" s="2" t="n">
        <x:v>0</x:v>
      </x:c>
    </x:row>
    <x:row r="622" ht="20" customHeight="1">
      <x:c r="A622" s="9" t="n">
        <x:v>46298</x:v>
      </x:c>
      <x:c r="B622" s="2" t="str">
        <x:v>MM-1652</x:v>
      </x:c>
      <x:c r="C622" s="2" t="str">
        <x:v>Email</x:v>
      </x:c>
      <x:c r="D622" s="2" t="str">
        <x:v>CUS-122</x:v>
      </x:c>
      <x:c r="E622" s="10" t="n">
        <x:v>139.9</x:v>
      </x:c>
      <x:c r="F622" s="10" t="n">
        <x:v>13.99</x:v>
      </x:c>
      <x:c r="G622" s="10" t="n">
        <x:v>0</x:v>
      </x:c>
      <x:c r="H622" s="10" t="n">
        <x:v>125.91</x:v>
      </x:c>
      <x:c r="I622" s="10" t="n">
        <x:v>56</x:v>
      </x:c>
      <x:c r="J622" s="10" t="n">
        <x:v>69.91</x:v>
      </x:c>
      <x:c r="K622" s="2" t="n">
        <x:v>2</x:v>
      </x:c>
      <x:c r="L622" s="2" t="n">
        <x:v>0</x:v>
      </x:c>
    </x:row>
    <x:row r="623" ht="20" customHeight="1">
      <x:c r="A623" s="9" t="n">
        <x:v>46298</x:v>
      </x:c>
      <x:c r="B623" s="2" t="str">
        <x:v>MM-1657</x:v>
      </x:c>
      <x:c r="C623" s="2" t="str">
        <x:v>Direct</x:v>
      </x:c>
      <x:c r="D623" s="2" t="str">
        <x:v>CUS-131</x:v>
      </x:c>
      <x:c r="E623" s="10" t="n">
        <x:v>24.95</x:v>
      </x:c>
      <x:c r="F623" s="10" t="n">
        <x:v>0</x:v>
      </x:c>
      <x:c r="G623" s="10" t="n">
        <x:v>0</x:v>
      </x:c>
      <x:c r="H623" s="10" t="n">
        <x:v>24.95</x:v>
      </x:c>
      <x:c r="I623" s="10" t="n">
        <x:v>9</x:v>
      </x:c>
      <x:c r="J623" s="10" t="n">
        <x:v>15.95</x:v>
      </x:c>
      <x:c r="K623" s="2" t="n">
        <x:v>1</x:v>
      </x:c>
      <x:c r="L623" s="2" t="n">
        <x:v>0</x:v>
      </x:c>
    </x:row>
    <x:row r="624" ht="20" customHeight="1">
      <x:c r="A624" s="9" t="n">
        <x:v>46298</x:v>
      </x:c>
      <x:c r="B624" s="2" t="str">
        <x:v>MM-1659</x:v>
      </x:c>
      <x:c r="C624" s="2" t="str">
        <x:v>Direct</x:v>
      </x:c>
      <x:c r="D624" s="2" t="str">
        <x:v>CUS-016</x:v>
      </x:c>
      <x:c r="E624" s="10" t="n">
        <x:v>109.9</x:v>
      </x:c>
      <x:c r="F624" s="10" t="n">
        <x:v>0</x:v>
      </x:c>
      <x:c r="G624" s="10" t="n">
        <x:v>0</x:v>
      </x:c>
      <x:c r="H624" s="10" t="n">
        <x:v>109.9</x:v>
      </x:c>
      <x:c r="I624" s="10" t="n">
        <x:v>44</x:v>
      </x:c>
      <x:c r="J624" s="10" t="n">
        <x:v>65.9</x:v>
      </x:c>
      <x:c r="K624" s="2" t="n">
        <x:v>2</x:v>
      </x:c>
      <x:c r="L624" s="2" t="n">
        <x:v>0</x:v>
      </x:c>
    </x:row>
    <x:row r="625" ht="20" customHeight="1">
      <x:c r="A625" s="9" t="n">
        <x:v>46298</x:v>
      </x:c>
      <x:c r="B625" s="2" t="str">
        <x:v>MM-1646</x:v>
      </x:c>
      <x:c r="C625" s="2" t="str">
        <x:v>Paid Social</x:v>
      </x:c>
      <x:c r="D625" s="2" t="str">
        <x:v>CUS-120</x:v>
      </x:c>
      <x:c r="E625" s="10" t="n">
        <x:v>19.95</x:v>
      </x:c>
      <x:c r="F625" s="10" t="n">
        <x:v>1.99</x:v>
      </x:c>
      <x:c r="G625" s="10" t="n">
        <x:v>0</x:v>
      </x:c>
      <x:c r="H625" s="10" t="n">
        <x:v>17.96</x:v>
      </x:c>
      <x:c r="I625" s="10" t="n">
        <x:v>6</x:v>
      </x:c>
      <x:c r="J625" s="10" t="n">
        <x:v>11.96</x:v>
      </x:c>
      <x:c r="K625" s="2" t="n">
        <x:v>1</x:v>
      </x:c>
      <x:c r="L625" s="2" t="n">
        <x:v>0</x:v>
      </x:c>
    </x:row>
    <x:row r="626" ht="20" customHeight="1">
      <x:c r="A626" s="9" t="n">
        <x:v>46298</x:v>
      </x:c>
      <x:c r="B626" s="2" t="str">
        <x:v>MM-1648</x:v>
      </x:c>
      <x:c r="C626" s="2" t="str">
        <x:v>Email</x:v>
      </x:c>
      <x:c r="D626" s="2" t="str">
        <x:v>CUS-080</x:v>
      </x:c>
      <x:c r="E626" s="10" t="n">
        <x:v>78.85</x:v>
      </x:c>
      <x:c r="F626" s="10" t="n">
        <x:v>7.88</x:v>
      </x:c>
      <x:c r="G626" s="10" t="n">
        <x:v>0</x:v>
      </x:c>
      <x:c r="H626" s="10" t="n">
        <x:v>70.97</x:v>
      </x:c>
      <x:c r="I626" s="10" t="n">
        <x:v>26.5</x:v>
      </x:c>
      <x:c r="J626" s="10" t="n">
        <x:v>44.47</x:v>
      </x:c>
      <x:c r="K626" s="2" t="n">
        <x:v>3</x:v>
      </x:c>
      <x:c r="L626" s="2" t="n">
        <x:v>0</x:v>
      </x:c>
    </x:row>
    <x:row r="627" ht="20" customHeight="1">
      <x:c r="A627" s="9" t="n">
        <x:v>46298</x:v>
      </x:c>
      <x:c r="B627" s="2" t="str">
        <x:v>MM-1660</x:v>
      </x:c>
      <x:c r="C627" s="2" t="str">
        <x:v>Email</x:v>
      </x:c>
      <x:c r="D627" s="2" t="str">
        <x:v>CUS-064</x:v>
      </x:c>
      <x:c r="E627" s="10" t="n">
        <x:v>37.9</x:v>
      </x:c>
      <x:c r="F627" s="10" t="n">
        <x:v>3.79</x:v>
      </x:c>
      <x:c r="G627" s="10" t="n">
        <x:v>0</x:v>
      </x:c>
      <x:c r="H627" s="10" t="n">
        <x:v>34.11</x:v>
      </x:c>
      <x:c r="I627" s="10" t="n">
        <x:v>13</x:v>
      </x:c>
      <x:c r="J627" s="10" t="n">
        <x:v>21.11</x:v>
      </x:c>
      <x:c r="K627" s="2" t="n">
        <x:v>2</x:v>
      </x:c>
      <x:c r="L627" s="2" t="n">
        <x:v>0</x:v>
      </x:c>
    </x:row>
    <x:row r="628" ht="20" customHeight="1">
      <x:c r="A628" s="9" t="n">
        <x:v>46298</x:v>
      </x:c>
      <x:c r="B628" s="2" t="str">
        <x:v>MM-1649</x:v>
      </x:c>
      <x:c r="C628" s="2" t="str">
        <x:v>Direct</x:v>
      </x:c>
      <x:c r="D628" s="2" t="str">
        <x:v>CUS-057</x:v>
      </x:c>
      <x:c r="E628" s="10" t="n">
        <x:v>19.95</x:v>
      </x:c>
      <x:c r="F628" s="10" t="n">
        <x:v>0</x:v>
      </x:c>
      <x:c r="G628" s="10" t="n">
        <x:v>0</x:v>
      </x:c>
      <x:c r="H628" s="10" t="n">
        <x:v>19.95</x:v>
      </x:c>
      <x:c r="I628" s="10" t="n">
        <x:v>6</x:v>
      </x:c>
      <x:c r="J628" s="10" t="n">
        <x:v>13.95</x:v>
      </x:c>
      <x:c r="K628" s="2" t="n">
        <x:v>1</x:v>
      </x:c>
      <x:c r="L628" s="2" t="n">
        <x:v>0</x:v>
      </x:c>
    </x:row>
    <x:row r="629" ht="20" customHeight="1">
      <x:c r="A629" s="9" t="n">
        <x:v>46298</x:v>
      </x:c>
      <x:c r="B629" s="2" t="str">
        <x:v>MM-1664</x:v>
      </x:c>
      <x:c r="C629" s="2" t="str">
        <x:v>Email</x:v>
      </x:c>
      <x:c r="D629" s="2" t="str">
        <x:v>CUS-149</x:v>
      </x:c>
      <x:c r="E629" s="10" t="n">
        <x:v>32.95</x:v>
      </x:c>
      <x:c r="F629" s="10" t="n">
        <x:v>3.29</x:v>
      </x:c>
      <x:c r="G629" s="10" t="n">
        <x:v>0</x:v>
      </x:c>
      <x:c r="H629" s="10" t="n">
        <x:v>29.66</x:v>
      </x:c>
      <x:c r="I629" s="10" t="n">
        <x:v>12</x:v>
      </x:c>
      <x:c r="J629" s="10" t="n">
        <x:v>17.66</x:v>
      </x:c>
      <x:c r="K629" s="2" t="n">
        <x:v>1</x:v>
      </x:c>
      <x:c r="L629" s="2" t="n">
        <x:v>0</x:v>
      </x:c>
    </x:row>
    <x:row r="630" ht="20" customHeight="1">
      <x:c r="A630" s="9" t="n">
        <x:v>46298</x:v>
      </x:c>
      <x:c r="B630" s="2" t="str">
        <x:v>MM-1645</x:v>
      </x:c>
      <x:c r="C630" s="2" t="str">
        <x:v>Organic Search</x:v>
      </x:c>
      <x:c r="D630" s="2" t="str">
        <x:v>CUS-175</x:v>
      </x:c>
      <x:c r="E630" s="10" t="n">
        <x:v>79.95</x:v>
      </x:c>
      <x:c r="F630" s="10" t="n">
        <x:v>0</x:v>
      </x:c>
      <x:c r="G630" s="10" t="n">
        <x:v>0</x:v>
      </x:c>
      <x:c r="H630" s="10" t="n">
        <x:v>79.95</x:v>
      </x:c>
      <x:c r="I630" s="10" t="n">
        <x:v>32</x:v>
      </x:c>
      <x:c r="J630" s="10" t="n">
        <x:v>47.95</x:v>
      </x:c>
      <x:c r="K630" s="2" t="n">
        <x:v>1</x:v>
      </x:c>
      <x:c r="L630" s="2" t="n">
        <x:v>0</x:v>
      </x:c>
    </x:row>
    <x:row r="631" ht="20" customHeight="1">
      <x:c r="A631" s="9" t="n">
        <x:v>46298</x:v>
      </x:c>
      <x:c r="B631" s="2" t="str">
        <x:v>MM-1653</x:v>
      </x:c>
      <x:c r="C631" s="2" t="str">
        <x:v>Email</x:v>
      </x:c>
      <x:c r="D631" s="2" t="str">
        <x:v>CUS-005</x:v>
      </x:c>
      <x:c r="E631" s="10" t="n">
        <x:v>275.75</x:v>
      </x:c>
      <x:c r="F631" s="10" t="n">
        <x:v>27.57</x:v>
      </x:c>
      <x:c r="G631" s="10" t="n">
        <x:v>0</x:v>
      </x:c>
      <x:c r="H631" s="10" t="n">
        <x:v>248.18</x:v>
      </x:c>
      <x:c r="I631" s="10" t="n">
        <x:v>108</x:v>
      </x:c>
      <x:c r="J631" s="10" t="n">
        <x:v>140.18</x:v>
      </x:c>
      <x:c r="K631" s="2" t="n">
        <x:v>5</x:v>
      </x:c>
      <x:c r="L631" s="2" t="n">
        <x:v>0</x:v>
      </x:c>
    </x:row>
    <x:row r="632" ht="20" customHeight="1">
      <x:c r="A632" s="9" t="n">
        <x:v>46298</x:v>
      </x:c>
      <x:c r="B632" s="2" t="str">
        <x:v>MM-1655</x:v>
      </x:c>
      <x:c r="C632" s="2" t="str">
        <x:v>Organic Search</x:v>
      </x:c>
      <x:c r="D632" s="2" t="str">
        <x:v>CUS-072</x:v>
      </x:c>
      <x:c r="E632" s="10" t="n">
        <x:v>34.95</x:v>
      </x:c>
      <x:c r="F632" s="10" t="n">
        <x:v>0</x:v>
      </x:c>
      <x:c r="G632" s="10" t="n">
        <x:v>0</x:v>
      </x:c>
      <x:c r="H632" s="10" t="n">
        <x:v>34.95</x:v>
      </x:c>
      <x:c r="I632" s="10" t="n">
        <x:v>13.5</x:v>
      </x:c>
      <x:c r="J632" s="10" t="n">
        <x:v>21.45</x:v>
      </x:c>
      <x:c r="K632" s="2" t="n">
        <x:v>1</x:v>
      </x:c>
      <x:c r="L632" s="2" t="n">
        <x:v>0</x:v>
      </x:c>
    </x:row>
    <x:row r="633" ht="20" customHeight="1">
      <x:c r="A633" s="9" t="n">
        <x:v>46298</x:v>
      </x:c>
      <x:c r="B633" s="2" t="str">
        <x:v>MM-1656</x:v>
      </x:c>
      <x:c r="C633" s="2" t="str">
        <x:v>Paid Social</x:v>
      </x:c>
      <x:c r="D633" s="2" t="str">
        <x:v>CUS-053</x:v>
      </x:c>
      <x:c r="E633" s="10" t="n">
        <x:v>92.85</x:v>
      </x:c>
      <x:c r="F633" s="10" t="n">
        <x:v>0</x:v>
      </x:c>
      <x:c r="G633" s="10" t="n">
        <x:v>0</x:v>
      </x:c>
      <x:c r="H633" s="10" t="n">
        <x:v>92.85</x:v>
      </x:c>
      <x:c r="I633" s="10" t="n">
        <x:v>32</x:v>
      </x:c>
      <x:c r="J633" s="10" t="n">
        <x:v>60.85</x:v>
      </x:c>
      <x:c r="K633" s="2" t="n">
        <x:v>3</x:v>
      </x:c>
      <x:c r="L633" s="2" t="n">
        <x:v>0</x:v>
      </x:c>
    </x:row>
    <x:row r="634" ht="20" customHeight="1">
      <x:c r="A634" s="9" t="n">
        <x:v>46298</x:v>
      </x:c>
      <x:c r="B634" s="2" t="str">
        <x:v>MM-1662</x:v>
      </x:c>
      <x:c r="C634" s="2" t="str">
        <x:v>Organic Search</x:v>
      </x:c>
      <x:c r="D634" s="2" t="str">
        <x:v>CUS-077</x:v>
      </x:c>
      <x:c r="E634" s="10" t="n">
        <x:v>98.85</x:v>
      </x:c>
      <x:c r="F634" s="10" t="n">
        <x:v>0</x:v>
      </x:c>
      <x:c r="G634" s="10" t="n">
        <x:v>0</x:v>
      </x:c>
      <x:c r="H634" s="10" t="n">
        <x:v>98.85</x:v>
      </x:c>
      <x:c r="I634" s="10" t="n">
        <x:v>36</x:v>
      </x:c>
      <x:c r="J634" s="10" t="n">
        <x:v>62.85</x:v>
      </x:c>
      <x:c r="K634" s="2" t="n">
        <x:v>3</x:v>
      </x:c>
      <x:c r="L634" s="2" t="n">
        <x:v>0</x:v>
      </x:c>
    </x:row>
    <x:row r="635" ht="20" customHeight="1">
      <x:c r="A635" s="9" t="n">
        <x:v>46298</x:v>
      </x:c>
      <x:c r="B635" s="2" t="str">
        <x:v>MM-1643</x:v>
      </x:c>
      <x:c r="C635" s="2" t="str">
        <x:v>Paid Social</x:v>
      </x:c>
      <x:c r="D635" s="2" t="str">
        <x:v>CUS-168</x:v>
      </x:c>
      <x:c r="E635" s="10" t="n">
        <x:v>59.95</x:v>
      </x:c>
      <x:c r="F635" s="10" t="n">
        <x:v>0</x:v>
      </x:c>
      <x:c r="G635" s="10" t="n">
        <x:v>0</x:v>
      </x:c>
      <x:c r="H635" s="10" t="n">
        <x:v>59.95</x:v>
      </x:c>
      <x:c r="I635" s="10" t="n">
        <x:v>24</x:v>
      </x:c>
      <x:c r="J635" s="10" t="n">
        <x:v>35.95</x:v>
      </x:c>
      <x:c r="K635" s="2" t="n">
        <x:v>1</x:v>
      </x:c>
      <x:c r="L635" s="2" t="n">
        <x:v>0</x:v>
      </x:c>
    </x:row>
    <x:row r="636" ht="20" customHeight="1">
      <x:c r="A636" s="9" t="n">
        <x:v>46298</x:v>
      </x:c>
      <x:c r="B636" s="2" t="str">
        <x:v>MM-1663</x:v>
      </x:c>
      <x:c r="C636" s="2" t="str">
        <x:v>Direct</x:v>
      </x:c>
      <x:c r="D636" s="2" t="str">
        <x:v>CUS-152</x:v>
      </x:c>
      <x:c r="E636" s="10" t="n">
        <x:v>29.85</x:v>
      </x:c>
      <x:c r="F636" s="10" t="n">
        <x:v>0</x:v>
      </x:c>
      <x:c r="G636" s="10" t="n">
        <x:v>0</x:v>
      </x:c>
      <x:c r="H636" s="10" t="n">
        <x:v>29.85</x:v>
      </x:c>
      <x:c r="I636" s="10" t="n">
        <x:v>7.5</x:v>
      </x:c>
      <x:c r="J636" s="10" t="n">
        <x:v>22.35</x:v>
      </x:c>
      <x:c r="K636" s="2" t="n">
        <x:v>3</x:v>
      </x:c>
      <x:c r="L636" s="2" t="n">
        <x:v>0</x:v>
      </x:c>
    </x:row>
    <x:row r="637" ht="20" customHeight="1">
      <x:c r="A637" s="9" t="n">
        <x:v>46298</x:v>
      </x:c>
      <x:c r="B637" s="2" t="str">
        <x:v>MM-1650</x:v>
      </x:c>
      <x:c r="C637" s="2" t="str">
        <x:v>Direct</x:v>
      </x:c>
      <x:c r="D637" s="2" t="str">
        <x:v>CUS-078</x:v>
      </x:c>
      <x:c r="E637" s="10" t="n">
        <x:v>32.95</x:v>
      </x:c>
      <x:c r="F637" s="10" t="n">
        <x:v>0</x:v>
      </x:c>
      <x:c r="G637" s="10" t="n">
        <x:v>0</x:v>
      </x:c>
      <x:c r="H637" s="10" t="n">
        <x:v>32.95</x:v>
      </x:c>
      <x:c r="I637" s="10" t="n">
        <x:v>12</x:v>
      </x:c>
      <x:c r="J637" s="10" t="n">
        <x:v>20.95</x:v>
      </x:c>
      <x:c r="K637" s="2" t="n">
        <x:v>1</x:v>
      </x:c>
      <x:c r="L637" s="2" t="n">
        <x:v>0</x:v>
      </x:c>
    </x:row>
    <x:row r="638" ht="20" customHeight="1">
      <x:c r="A638" s="9" t="n">
        <x:v>46298</x:v>
      </x:c>
      <x:c r="B638" s="2" t="str">
        <x:v>MM-1654</x:v>
      </x:c>
      <x:c r="C638" s="2" t="str">
        <x:v>Organic Search</x:v>
      </x:c>
      <x:c r="D638" s="2" t="str">
        <x:v>CUS-111</x:v>
      </x:c>
      <x:c r="E638" s="10" t="n">
        <x:v>214.75</x:v>
      </x:c>
      <x:c r="F638" s="10" t="n">
        <x:v>13.99</x:v>
      </x:c>
      <x:c r="G638" s="10" t="n">
        <x:v>0</x:v>
      </x:c>
      <x:c r="H638" s="10" t="n">
        <x:v>200.76</x:v>
      </x:c>
      <x:c r="I638" s="10" t="n">
        <x:v>82</x:v>
      </x:c>
      <x:c r="J638" s="10" t="n">
        <x:v>118.76</x:v>
      </x:c>
      <x:c r="K638" s="2" t="n">
        <x:v>5</x:v>
      </x:c>
      <x:c r="L638" s="2" t="n">
        <x:v>0</x:v>
      </x:c>
    </x:row>
    <x:row r="639" ht="20" customHeight="1">
      <x:c r="A639" s="9" t="n">
        <x:v>46299</x:v>
      </x:c>
      <x:c r="B639" s="2" t="str">
        <x:v>MM-1669</x:v>
      </x:c>
      <x:c r="C639" s="2" t="str">
        <x:v>Paid Social</x:v>
      </x:c>
      <x:c r="D639" s="2" t="str">
        <x:v>CUS-058</x:v>
      </x:c>
      <x:c r="E639" s="10" t="n">
        <x:v>34.95</x:v>
      </x:c>
      <x:c r="F639" s="10" t="n">
        <x:v>0</x:v>
      </x:c>
      <x:c r="G639" s="10" t="n">
        <x:v>0</x:v>
      </x:c>
      <x:c r="H639" s="10" t="n">
        <x:v>34.95</x:v>
      </x:c>
      <x:c r="I639" s="10" t="n">
        <x:v>13.5</x:v>
      </x:c>
      <x:c r="J639" s="10" t="n">
        <x:v>21.45</x:v>
      </x:c>
      <x:c r="K639" s="2" t="n">
        <x:v>1</x:v>
      </x:c>
      <x:c r="L639" s="2" t="n">
        <x:v>0</x:v>
      </x:c>
    </x:row>
    <x:row r="640" ht="20" customHeight="1">
      <x:c r="A640" s="9" t="n">
        <x:v>46299</x:v>
      </x:c>
      <x:c r="B640" s="2" t="str">
        <x:v>MM-1665</x:v>
      </x:c>
      <x:c r="C640" s="2" t="str">
        <x:v>Organic Search</x:v>
      </x:c>
      <x:c r="D640" s="2" t="str">
        <x:v>CUS-105</x:v>
      </x:c>
      <x:c r="E640" s="10" t="n">
        <x:v>59.95</x:v>
      </x:c>
      <x:c r="F640" s="10" t="n">
        <x:v>0</x:v>
      </x:c>
      <x:c r="G640" s="10" t="n">
        <x:v>0</x:v>
      </x:c>
      <x:c r="H640" s="10" t="n">
        <x:v>59.95</x:v>
      </x:c>
      <x:c r="I640" s="10" t="n">
        <x:v>24</x:v>
      </x:c>
      <x:c r="J640" s="10" t="n">
        <x:v>35.95</x:v>
      </x:c>
      <x:c r="K640" s="2" t="n">
        <x:v>1</x:v>
      </x:c>
      <x:c r="L640" s="2" t="n">
        <x:v>0</x:v>
      </x:c>
    </x:row>
    <x:row r="641" ht="20" customHeight="1">
      <x:c r="A641" s="9" t="n">
        <x:v>46299</x:v>
      </x:c>
      <x:c r="B641" s="2" t="str">
        <x:v>MM-1666</x:v>
      </x:c>
      <x:c r="C641" s="2" t="str">
        <x:v>Email</x:v>
      </x:c>
      <x:c r="D641" s="2" t="str">
        <x:v>CUS-021</x:v>
      </x:c>
      <x:c r="E641" s="10" t="n">
        <x:v>24.95</x:v>
      </x:c>
      <x:c r="F641" s="10" t="n">
        <x:v>2.49</x:v>
      </x:c>
      <x:c r="G641" s="10" t="n">
        <x:v>0</x:v>
      </x:c>
      <x:c r="H641" s="10" t="n">
        <x:v>22.46</x:v>
      </x:c>
      <x:c r="I641" s="10" t="n">
        <x:v>9</x:v>
      </x:c>
      <x:c r="J641" s="10" t="n">
        <x:v>13.46</x:v>
      </x:c>
      <x:c r="K641" s="2" t="n">
        <x:v>1</x:v>
      </x:c>
      <x:c r="L641" s="2" t="n">
        <x:v>0</x:v>
      </x:c>
    </x:row>
    <x:row r="642" ht="20" customHeight="1">
      <x:c r="A642" s="9" t="n">
        <x:v>46299</x:v>
      </x:c>
      <x:c r="B642" s="2" t="str">
        <x:v>MM-1671</x:v>
      </x:c>
      <x:c r="C642" s="2" t="str">
        <x:v>Email</x:v>
      </x:c>
      <x:c r="D642" s="2" t="str">
        <x:v>CUS-040</x:v>
      </x:c>
      <x:c r="E642" s="10" t="n">
        <x:v>67.9</x:v>
      </x:c>
      <x:c r="F642" s="10" t="n">
        <x:v>6.78</x:v>
      </x:c>
      <x:c r="G642" s="10" t="n">
        <x:v>0</x:v>
      </x:c>
      <x:c r="H642" s="10" t="n">
        <x:v>61.12</x:v>
      </x:c>
      <x:c r="I642" s="10" t="n">
        <x:v>25.5</x:v>
      </x:c>
      <x:c r="J642" s="10" t="n">
        <x:v>35.62</x:v>
      </x:c>
      <x:c r="K642" s="2" t="n">
        <x:v>2</x:v>
      </x:c>
      <x:c r="L642" s="2" t="n">
        <x:v>0</x:v>
      </x:c>
    </x:row>
    <x:row r="643" ht="20" customHeight="1">
      <x:c r="A643" s="9" t="n">
        <x:v>46299</x:v>
      </x:c>
      <x:c r="B643" s="2" t="str">
        <x:v>MM-1667</x:v>
      </x:c>
      <x:c r="C643" s="2" t="str">
        <x:v>Organic Search</x:v>
      </x:c>
      <x:c r="D643" s="2" t="str">
        <x:v>CUS-092</x:v>
      </x:c>
      <x:c r="E643" s="10" t="n">
        <x:v>29.95</x:v>
      </x:c>
      <x:c r="F643" s="10" t="n">
        <x:v>0</x:v>
      </x:c>
      <x:c r="G643" s="10" t="n">
        <x:v>0</x:v>
      </x:c>
      <x:c r="H643" s="10" t="n">
        <x:v>29.95</x:v>
      </x:c>
      <x:c r="I643" s="10" t="n">
        <x:v>10</x:v>
      </x:c>
      <x:c r="J643" s="10" t="n">
        <x:v>19.95</x:v>
      </x:c>
      <x:c r="K643" s="2" t="n">
        <x:v>1</x:v>
      </x:c>
      <x:c r="L643" s="2" t="n">
        <x:v>0</x:v>
      </x:c>
    </x:row>
    <x:row r="644" ht="20" customHeight="1">
      <x:c r="A644" s="9" t="n">
        <x:v>46299</x:v>
      </x:c>
      <x:c r="B644" s="2" t="str">
        <x:v>MM-1672</x:v>
      </x:c>
      <x:c r="C644" s="2" t="str">
        <x:v>Paid Social</x:v>
      </x:c>
      <x:c r="D644" s="2" t="str">
        <x:v>CUS-137</x:v>
      </x:c>
      <x:c r="E644" s="10" t="n">
        <x:v>39.9</x:v>
      </x:c>
      <x:c r="F644" s="10" t="n">
        <x:v>3.99</x:v>
      </x:c>
      <x:c r="G644" s="10" t="n">
        <x:v>0</x:v>
      </x:c>
      <x:c r="H644" s="10" t="n">
        <x:v>35.91</x:v>
      </x:c>
      <x:c r="I644" s="10" t="n">
        <x:v>12</x:v>
      </x:c>
      <x:c r="J644" s="10" t="n">
        <x:v>23.91</x:v>
      </x:c>
      <x:c r="K644" s="2" t="n">
        <x:v>2</x:v>
      </x:c>
      <x:c r="L644" s="2" t="n">
        <x:v>0</x:v>
      </x:c>
    </x:row>
    <x:row r="645" ht="20" customHeight="1">
      <x:c r="A645" s="9" t="n">
        <x:v>46299</x:v>
      </x:c>
      <x:c r="B645" s="2" t="str">
        <x:v>MM-1670</x:v>
      </x:c>
      <x:c r="C645" s="2" t="str">
        <x:v>Paid Social</x:v>
      </x:c>
      <x:c r="D645" s="2" t="str">
        <x:v>CUS-060</x:v>
      </x:c>
      <x:c r="E645" s="10" t="n">
        <x:v>24.95</x:v>
      </x:c>
      <x:c r="F645" s="10" t="n">
        <x:v>0</x:v>
      </x:c>
      <x:c r="G645" s="10" t="n">
        <x:v>0</x:v>
      </x:c>
      <x:c r="H645" s="10" t="n">
        <x:v>24.95</x:v>
      </x:c>
      <x:c r="I645" s="10" t="n">
        <x:v>9</x:v>
      </x:c>
      <x:c r="J645" s="10" t="n">
        <x:v>15.95</x:v>
      </x:c>
      <x:c r="K645" s="2" t="n">
        <x:v>1</x:v>
      </x:c>
      <x:c r="L645" s="2" t="n">
        <x:v>0</x:v>
      </x:c>
    </x:row>
    <x:row r="646" ht="20" customHeight="1">
      <x:c r="A646" s="9" t="n">
        <x:v>46299</x:v>
      </x:c>
      <x:c r="B646" s="2" t="str">
        <x:v>MM-1674</x:v>
      </x:c>
      <x:c r="C646" s="2" t="str">
        <x:v>Organic Search</x:v>
      </x:c>
      <x:c r="D646" s="2" t="str">
        <x:v>CUS-121</x:v>
      </x:c>
      <x:c r="E646" s="10" t="n">
        <x:v>24.95</x:v>
      </x:c>
      <x:c r="F646" s="10" t="n">
        <x:v>0</x:v>
      </x:c>
      <x:c r="G646" s="10" t="n">
        <x:v>0</x:v>
      </x:c>
      <x:c r="H646" s="10" t="n">
        <x:v>24.95</x:v>
      </x:c>
      <x:c r="I646" s="10" t="n">
        <x:v>8.5</x:v>
      </x:c>
      <x:c r="J646" s="10" t="n">
        <x:v>16.45</x:v>
      </x:c>
      <x:c r="K646" s="2" t="n">
        <x:v>1</x:v>
      </x:c>
      <x:c r="L646" s="2" t="n">
        <x:v>0</x:v>
      </x:c>
    </x:row>
    <x:row r="647" ht="20" customHeight="1">
      <x:c r="A647" s="9" t="n">
        <x:v>46299</x:v>
      </x:c>
      <x:c r="B647" s="2" t="str">
        <x:v>MM-1668</x:v>
      </x:c>
      <x:c r="C647" s="2" t="str">
        <x:v>Organic Search</x:v>
      </x:c>
      <x:c r="D647" s="2" t="str">
        <x:v>CUS-176</x:v>
      </x:c>
      <x:c r="E647" s="10" t="n">
        <x:v>79.95</x:v>
      </x:c>
      <x:c r="F647" s="10" t="n">
        <x:v>0</x:v>
      </x:c>
      <x:c r="G647" s="10" t="n">
        <x:v>0</x:v>
      </x:c>
      <x:c r="H647" s="10" t="n">
        <x:v>79.95</x:v>
      </x:c>
      <x:c r="I647" s="10" t="n">
        <x:v>32</x:v>
      </x:c>
      <x:c r="J647" s="10" t="n">
        <x:v>47.95</x:v>
      </x:c>
      <x:c r="K647" s="2" t="n">
        <x:v>1</x:v>
      </x:c>
      <x:c r="L647" s="2" t="n">
        <x:v>0</x:v>
      </x:c>
    </x:row>
    <x:row r="648" ht="20" customHeight="1">
      <x:c r="A648" s="9" t="n">
        <x:v>46300</x:v>
      </x:c>
      <x:c r="B648" s="2" t="str">
        <x:v>MM-1675</x:v>
      </x:c>
      <x:c r="C648" s="2" t="str">
        <x:v>Direct</x:v>
      </x:c>
      <x:c r="D648" s="2" t="str">
        <x:v>CUS-127</x:v>
      </x:c>
      <x:c r="E648" s="10" t="n">
        <x:v>19.95</x:v>
      </x:c>
      <x:c r="F648" s="10" t="n">
        <x:v>1.99</x:v>
      </x:c>
      <x:c r="G648" s="10" t="n">
        <x:v>0</x:v>
      </x:c>
      <x:c r="H648" s="10" t="n">
        <x:v>17.96</x:v>
      </x:c>
      <x:c r="I648" s="10" t="n">
        <x:v>6</x:v>
      </x:c>
      <x:c r="J648" s="10" t="n">
        <x:v>11.96</x:v>
      </x:c>
      <x:c r="K648" s="2" t="n">
        <x:v>1</x:v>
      </x:c>
      <x:c r="L648" s="2" t="n">
        <x:v>0</x:v>
      </x:c>
    </x:row>
    <x:row r="649" ht="20" customHeight="1">
      <x:c r="A649" s="9" t="n">
        <x:v>46300</x:v>
      </x:c>
      <x:c r="B649" s="2" t="str">
        <x:v>MM-1676</x:v>
      </x:c>
      <x:c r="C649" s="2" t="str">
        <x:v>Organic Search</x:v>
      </x:c>
      <x:c r="D649" s="2" t="str">
        <x:v>CUS-159</x:v>
      </x:c>
      <x:c r="E649" s="10" t="n">
        <x:v>79.95</x:v>
      </x:c>
      <x:c r="F649" s="10" t="n">
        <x:v>7.99</x:v>
      </x:c>
      <x:c r="G649" s="10" t="n">
        <x:v>0</x:v>
      </x:c>
      <x:c r="H649" s="10" t="n">
        <x:v>71.96</x:v>
      </x:c>
      <x:c r="I649" s="10" t="n">
        <x:v>32</x:v>
      </x:c>
      <x:c r="J649" s="10" t="n">
        <x:v>39.96</x:v>
      </x:c>
      <x:c r="K649" s="2" t="n">
        <x:v>1</x:v>
      </x:c>
      <x:c r="L649" s="2" t="n">
        <x:v>0</x:v>
      </x:c>
    </x:row>
    <x:row r="650" ht="20" customHeight="1">
      <x:c r="A650" s="9" t="n">
        <x:v>46300</x:v>
      </x:c>
      <x:c r="B650" s="2" t="str">
        <x:v>MM-1681</x:v>
      </x:c>
      <x:c r="C650" s="2" t="str">
        <x:v>Direct</x:v>
      </x:c>
      <x:c r="D650" s="2" t="str">
        <x:v>CUS-101</x:v>
      </x:c>
      <x:c r="E650" s="10" t="n">
        <x:v>9.95</x:v>
      </x:c>
      <x:c r="F650" s="10" t="n">
        <x:v>0</x:v>
      </x:c>
      <x:c r="G650" s="10" t="n">
        <x:v>0</x:v>
      </x:c>
      <x:c r="H650" s="10" t="n">
        <x:v>9.95</x:v>
      </x:c>
      <x:c r="I650" s="10" t="n">
        <x:v>2.5</x:v>
      </x:c>
      <x:c r="J650" s="10" t="n">
        <x:v>7.45</x:v>
      </x:c>
      <x:c r="K650" s="2" t="n">
        <x:v>1</x:v>
      </x:c>
      <x:c r="L650" s="2" t="n">
        <x:v>0</x:v>
      </x:c>
    </x:row>
    <x:row r="651" ht="20" customHeight="1">
      <x:c r="A651" s="9" t="n">
        <x:v>46300</x:v>
      </x:c>
      <x:c r="B651" s="2" t="str">
        <x:v>MM-1685</x:v>
      </x:c>
      <x:c r="C651" s="2" t="str">
        <x:v>Paid Social</x:v>
      </x:c>
      <x:c r="D651" s="2" t="str">
        <x:v>CUS-075</x:v>
      </x:c>
      <x:c r="E651" s="10" t="n">
        <x:v>79.95</x:v>
      </x:c>
      <x:c r="F651" s="10" t="n">
        <x:v>0</x:v>
      </x:c>
      <x:c r="G651" s="10" t="n">
        <x:v>0</x:v>
      </x:c>
      <x:c r="H651" s="10" t="n">
        <x:v>79.95</x:v>
      </x:c>
      <x:c r="I651" s="10" t="n">
        <x:v>32</x:v>
      </x:c>
      <x:c r="J651" s="10" t="n">
        <x:v>47.95</x:v>
      </x:c>
      <x:c r="K651" s="2" t="n">
        <x:v>1</x:v>
      </x:c>
      <x:c r="L651" s="2" t="n">
        <x:v>0</x:v>
      </x:c>
    </x:row>
    <x:row r="652" ht="20" customHeight="1">
      <x:c r="A652" s="9" t="n">
        <x:v>46300</x:v>
      </x:c>
      <x:c r="B652" s="2" t="str">
        <x:v>MM-1690</x:v>
      </x:c>
      <x:c r="C652" s="2" t="str">
        <x:v>Email</x:v>
      </x:c>
      <x:c r="D652" s="2" t="str">
        <x:v>CUS-151</x:v>
      </x:c>
      <x:c r="E652" s="10" t="n">
        <x:v>108.75</x:v>
      </x:c>
      <x:c r="F652" s="10" t="n">
        <x:v>10.87</x:v>
      </x:c>
      <x:c r="G652" s="10" t="n">
        <x:v>0</x:v>
      </x:c>
      <x:c r="H652" s="10" t="n">
        <x:v>97.88</x:v>
      </x:c>
      <x:c r="I652" s="10" t="n">
        <x:v>36</x:v>
      </x:c>
      <x:c r="J652" s="10" t="n">
        <x:v>61.88</x:v>
      </x:c>
      <x:c r="K652" s="2" t="n">
        <x:v>5</x:v>
      </x:c>
      <x:c r="L652" s="2" t="n">
        <x:v>0</x:v>
      </x:c>
    </x:row>
    <x:row r="653" ht="20" customHeight="1">
      <x:c r="A653" s="9" t="n">
        <x:v>46300</x:v>
      </x:c>
      <x:c r="B653" s="2" t="str">
        <x:v>MM-1677</x:v>
      </x:c>
      <x:c r="C653" s="2" t="str">
        <x:v>Organic Search</x:v>
      </x:c>
      <x:c r="D653" s="2" t="str">
        <x:v>CUS-031</x:v>
      </x:c>
      <x:c r="E653" s="10" t="n">
        <x:v>99.9</x:v>
      </x:c>
      <x:c r="F653" s="10" t="n">
        <x:v>0</x:v>
      </x:c>
      <x:c r="G653" s="10" t="n">
        <x:v>0</x:v>
      </x:c>
      <x:c r="H653" s="10" t="n">
        <x:v>99.9</x:v>
      </x:c>
      <x:c r="I653" s="10" t="n">
        <x:v>38</x:v>
      </x:c>
      <x:c r="J653" s="10" t="n">
        <x:v>61.9</x:v>
      </x:c>
      <x:c r="K653" s="2" t="n">
        <x:v>2</x:v>
      </x:c>
      <x:c r="L653" s="2" t="n">
        <x:v>0</x:v>
      </x:c>
    </x:row>
    <x:row r="654" ht="20" customHeight="1">
      <x:c r="A654" s="9" t="n">
        <x:v>46300</x:v>
      </x:c>
      <x:c r="B654" s="2" t="str">
        <x:v>MM-1687</x:v>
      </x:c>
      <x:c r="C654" s="2" t="str">
        <x:v>Organic Search</x:v>
      </x:c>
      <x:c r="D654" s="2" t="str">
        <x:v>CUS-066</x:v>
      </x:c>
      <x:c r="E654" s="10" t="n">
        <x:v>29.95</x:v>
      </x:c>
      <x:c r="F654" s="10" t="n">
        <x:v>0</x:v>
      </x:c>
      <x:c r="G654" s="10" t="n">
        <x:v>0</x:v>
      </x:c>
      <x:c r="H654" s="10" t="n">
        <x:v>29.95</x:v>
      </x:c>
      <x:c r="I654" s="10" t="n">
        <x:v>10</x:v>
      </x:c>
      <x:c r="J654" s="10" t="n">
        <x:v>19.95</x:v>
      </x:c>
      <x:c r="K654" s="2" t="n">
        <x:v>1</x:v>
      </x:c>
      <x:c r="L654" s="2" t="n">
        <x:v>0</x:v>
      </x:c>
    </x:row>
    <x:row r="655" ht="20" customHeight="1">
      <x:c r="A655" s="9" t="n">
        <x:v>46300</x:v>
      </x:c>
      <x:c r="B655" s="2" t="str">
        <x:v>MM-1691</x:v>
      </x:c>
      <x:c r="C655" s="2" t="str">
        <x:v>Organic Search</x:v>
      </x:c>
      <x:c r="D655" s="2" t="str">
        <x:v>CUS-072</x:v>
      </x:c>
      <x:c r="E655" s="10" t="n">
        <x:v>100.85</x:v>
      </x:c>
      <x:c r="F655" s="10" t="n">
        <x:v>3.49</x:v>
      </x:c>
      <x:c r="G655" s="10" t="n">
        <x:v>0</x:v>
      </x:c>
      <x:c r="H655" s="10" t="n">
        <x:v>97.36</x:v>
      </x:c>
      <x:c r="I655" s="10" t="n">
        <x:v>37.5</x:v>
      </x:c>
      <x:c r="J655" s="10" t="n">
        <x:v>59.86</x:v>
      </x:c>
      <x:c r="K655" s="2" t="n">
        <x:v>3</x:v>
      </x:c>
      <x:c r="L655" s="2" t="n">
        <x:v>0</x:v>
      </x:c>
    </x:row>
    <x:row r="656" ht="20" customHeight="1">
      <x:c r="A656" s="9" t="n">
        <x:v>46300</x:v>
      </x:c>
      <x:c r="B656" s="2" t="str">
        <x:v>MM-1683</x:v>
      </x:c>
      <x:c r="C656" s="2" t="str">
        <x:v>Direct</x:v>
      </x:c>
      <x:c r="D656" s="2" t="str">
        <x:v>CUS-094</x:v>
      </x:c>
      <x:c r="E656" s="10" t="n">
        <x:v>144.8</x:v>
      </x:c>
      <x:c r="F656" s="10" t="n">
        <x:v>3.49</x:v>
      </x:c>
      <x:c r="G656" s="10" t="n">
        <x:v>59.95</x:v>
      </x:c>
      <x:c r="H656" s="10" t="n">
        <x:v>81.36</x:v>
      </x:c>
      <x:c r="I656" s="10" t="n">
        <x:v>31.5</x:v>
      </x:c>
      <x:c r="J656" s="10" t="n">
        <x:v>49.86</x:v>
      </x:c>
      <x:c r="K656" s="2" t="n">
        <x:v>4</x:v>
      </x:c>
      <x:c r="L656" s="2" t="n">
        <x:v>1</x:v>
      </x:c>
    </x:row>
    <x:row r="657" ht="20" customHeight="1">
      <x:c r="A657" s="9" t="n">
        <x:v>46300</x:v>
      </x:c>
      <x:c r="B657" s="2" t="str">
        <x:v>MM-1692</x:v>
      </x:c>
      <x:c r="C657" s="2" t="str">
        <x:v>Organic Search</x:v>
      </x:c>
      <x:c r="D657" s="2" t="str">
        <x:v>CUS-131</x:v>
      </x:c>
      <x:c r="E657" s="10" t="n">
        <x:v>9.95</x:v>
      </x:c>
      <x:c r="F657" s="10" t="n">
        <x:v>0</x:v>
      </x:c>
      <x:c r="G657" s="10" t="n">
        <x:v>0</x:v>
      </x:c>
      <x:c r="H657" s="10" t="n">
        <x:v>9.95</x:v>
      </x:c>
      <x:c r="I657" s="10" t="n">
        <x:v>2.5</x:v>
      </x:c>
      <x:c r="J657" s="10" t="n">
        <x:v>7.45</x:v>
      </x:c>
      <x:c r="K657" s="2" t="n">
        <x:v>1</x:v>
      </x:c>
      <x:c r="L657" s="2" t="n">
        <x:v>0</x:v>
      </x:c>
    </x:row>
    <x:row r="658" ht="20" customHeight="1">
      <x:c r="A658" s="9" t="n">
        <x:v>46300</x:v>
      </x:c>
      <x:c r="B658" s="2" t="str">
        <x:v>MM-1686</x:v>
      </x:c>
      <x:c r="C658" s="2" t="str">
        <x:v>Organic Search</x:v>
      </x:c>
      <x:c r="D658" s="2" t="str">
        <x:v>CUS-095</x:v>
      </x:c>
      <x:c r="E658" s="10" t="n">
        <x:v>37.9</x:v>
      </x:c>
      <x:c r="F658" s="10" t="n">
        <x:v>3.79</x:v>
      </x:c>
      <x:c r="G658" s="10" t="n">
        <x:v>0</x:v>
      </x:c>
      <x:c r="H658" s="10" t="n">
        <x:v>34.11</x:v>
      </x:c>
      <x:c r="I658" s="10" t="n">
        <x:v>13</x:v>
      </x:c>
      <x:c r="J658" s="10" t="n">
        <x:v>21.11</x:v>
      </x:c>
      <x:c r="K658" s="2" t="n">
        <x:v>2</x:v>
      </x:c>
      <x:c r="L658" s="2" t="n">
        <x:v>0</x:v>
      </x:c>
    </x:row>
    <x:row r="659" ht="20" customHeight="1">
      <x:c r="A659" s="9" t="n">
        <x:v>46300</x:v>
      </x:c>
      <x:c r="B659" s="2" t="str">
        <x:v>MM-1679</x:v>
      </x:c>
      <x:c r="C659" s="2" t="str">
        <x:v>Paid Social</x:v>
      </x:c>
      <x:c r="D659" s="2" t="str">
        <x:v>CUS-013</x:v>
      </x:c>
      <x:c r="E659" s="10" t="n">
        <x:v>98.9</x:v>
      </x:c>
      <x:c r="F659" s="10" t="n">
        <x:v>0</x:v>
      </x:c>
      <x:c r="G659" s="10" t="n">
        <x:v>0</x:v>
      </x:c>
      <x:c r="H659" s="10" t="n">
        <x:v>98.9</x:v>
      </x:c>
      <x:c r="I659" s="10" t="n">
        <x:v>38.5</x:v>
      </x:c>
      <x:c r="J659" s="10" t="n">
        <x:v>60.4</x:v>
      </x:c>
      <x:c r="K659" s="2" t="n">
        <x:v>2</x:v>
      </x:c>
      <x:c r="L659" s="2" t="n">
        <x:v>0</x:v>
      </x:c>
    </x:row>
    <x:row r="660" ht="20" customHeight="1">
      <x:c r="A660" s="9" t="n">
        <x:v>46300</x:v>
      </x:c>
      <x:c r="B660" s="2" t="str">
        <x:v>MM-1680</x:v>
      </x:c>
      <x:c r="C660" s="2" t="str">
        <x:v>Email</x:v>
      </x:c>
      <x:c r="D660" s="2" t="str">
        <x:v>CUS-138</x:v>
      </x:c>
      <x:c r="E660" s="10" t="n">
        <x:v>25.9</x:v>
      </x:c>
      <x:c r="F660" s="10" t="n">
        <x:v>2.59</x:v>
      </x:c>
      <x:c r="G660" s="10" t="n">
        <x:v>0</x:v>
      </x:c>
      <x:c r="H660" s="10" t="n">
        <x:v>23.31</x:v>
      </x:c>
      <x:c r="I660" s="10" t="n">
        <x:v>7</x:v>
      </x:c>
      <x:c r="J660" s="10" t="n">
        <x:v>16.31</x:v>
      </x:c>
      <x:c r="K660" s="2" t="n">
        <x:v>2</x:v>
      </x:c>
      <x:c r="L660" s="2" t="n">
        <x:v>0</x:v>
      </x:c>
    </x:row>
    <x:row r="661" ht="20" customHeight="1">
      <x:c r="A661" s="9" t="n">
        <x:v>46300</x:v>
      </x:c>
      <x:c r="B661" s="2" t="str">
        <x:v>MM-1684</x:v>
      </x:c>
      <x:c r="C661" s="2" t="str">
        <x:v>Email</x:v>
      </x:c>
      <x:c r="D661" s="2" t="str">
        <x:v>CUS-084</x:v>
      </x:c>
      <x:c r="E661" s="10" t="n">
        <x:v>18.95</x:v>
      </x:c>
      <x:c r="F661" s="10" t="n">
        <x:v>1.89</x:v>
      </x:c>
      <x:c r="G661" s="10" t="n">
        <x:v>0</x:v>
      </x:c>
      <x:c r="H661" s="10" t="n">
        <x:v>17.06</x:v>
      </x:c>
      <x:c r="I661" s="10" t="n">
        <x:v>6.5</x:v>
      </x:c>
      <x:c r="J661" s="10" t="n">
        <x:v>10.56</x:v>
      </x:c>
      <x:c r="K661" s="2" t="n">
        <x:v>1</x:v>
      </x:c>
      <x:c r="L661" s="2" t="n">
        <x:v>0</x:v>
      </x:c>
    </x:row>
    <x:row r="662" ht="20" customHeight="1">
      <x:c r="A662" s="9" t="n">
        <x:v>46300</x:v>
      </x:c>
      <x:c r="B662" s="2" t="str">
        <x:v>MM-1689</x:v>
      </x:c>
      <x:c r="C662" s="2" t="str">
        <x:v>Organic Search</x:v>
      </x:c>
      <x:c r="D662" s="2" t="str">
        <x:v>CUS-031</x:v>
      </x:c>
      <x:c r="E662" s="10" t="n">
        <x:v>74.85</x:v>
      </x:c>
      <x:c r="F662" s="10" t="n">
        <x:v>0</x:v>
      </x:c>
      <x:c r="G662" s="10" t="n">
        <x:v>0</x:v>
      </x:c>
      <x:c r="H662" s="10" t="n">
        <x:v>74.85</x:v>
      </x:c>
      <x:c r="I662" s="10" t="n">
        <x:v>27</x:v>
      </x:c>
      <x:c r="J662" s="10" t="n">
        <x:v>47.85</x:v>
      </x:c>
      <x:c r="K662" s="2" t="n">
        <x:v>3</x:v>
      </x:c>
      <x:c r="L662" s="2" t="n">
        <x:v>0</x:v>
      </x:c>
    </x:row>
    <x:row r="663" ht="20" customHeight="1">
      <x:c r="A663" s="9" t="n">
        <x:v>46300</x:v>
      </x:c>
      <x:c r="B663" s="2" t="str">
        <x:v>MM-1678</x:v>
      </x:c>
      <x:c r="C663" s="2" t="str">
        <x:v>Direct</x:v>
      </x:c>
      <x:c r="D663" s="2" t="str">
        <x:v>CUS-170</x:v>
      </x:c>
      <x:c r="E663" s="10" t="n">
        <x:v>74.85</x:v>
      </x:c>
      <x:c r="F663" s="10" t="n">
        <x:v>0</x:v>
      </x:c>
      <x:c r="G663" s="10" t="n">
        <x:v>0</x:v>
      </x:c>
      <x:c r="H663" s="10" t="n">
        <x:v>74.85</x:v>
      </x:c>
      <x:c r="I663" s="10" t="n">
        <x:v>25.5</x:v>
      </x:c>
      <x:c r="J663" s="10" t="n">
        <x:v>49.35</x:v>
      </x:c>
      <x:c r="K663" s="2" t="n">
        <x:v>3</x:v>
      </x:c>
      <x:c r="L663" s="2" t="n">
        <x:v>0</x:v>
      </x:c>
    </x:row>
    <x:row r="664" ht="20" customHeight="1">
      <x:c r="A664" s="9" t="n">
        <x:v>46300</x:v>
      </x:c>
      <x:c r="B664" s="2" t="str">
        <x:v>MM-1682</x:v>
      </x:c>
      <x:c r="C664" s="2" t="str">
        <x:v>Email</x:v>
      </x:c>
      <x:c r="D664" s="2" t="str">
        <x:v>CUS-082</x:v>
      </x:c>
      <x:c r="E664" s="10" t="n">
        <x:v>129.8</x:v>
      </x:c>
      <x:c r="F664" s="10" t="n">
        <x:v>12.97</x:v>
      </x:c>
      <x:c r="G664" s="10" t="n">
        <x:v>0</x:v>
      </x:c>
      <x:c r="H664" s="10" t="n">
        <x:v>116.83</x:v>
      </x:c>
      <x:c r="I664" s="10" t="n">
        <x:v>46</x:v>
      </x:c>
      <x:c r="J664" s="10" t="n">
        <x:v>70.83</x:v>
      </x:c>
      <x:c r="K664" s="2" t="n">
        <x:v>4</x:v>
      </x:c>
      <x:c r="L664" s="2" t="n">
        <x:v>0</x:v>
      </x:c>
    </x:row>
    <x:row r="665" ht="20" customHeight="1">
      <x:c r="A665" s="9" t="n">
        <x:v>46300</x:v>
      </x:c>
      <x:c r="B665" s="2" t="str">
        <x:v>MM-1693</x:v>
      </x:c>
      <x:c r="C665" s="2" t="str">
        <x:v>Paid Social</x:v>
      </x:c>
      <x:c r="D665" s="2" t="str">
        <x:v>CUS-048</x:v>
      </x:c>
      <x:c r="E665" s="10" t="n">
        <x:v>69.95</x:v>
      </x:c>
      <x:c r="F665" s="10" t="n">
        <x:v>0</x:v>
      </x:c>
      <x:c r="G665" s="10" t="n">
        <x:v>0</x:v>
      </x:c>
      <x:c r="H665" s="10" t="n">
        <x:v>69.95</x:v>
      </x:c>
      <x:c r="I665" s="10" t="n">
        <x:v>28</x:v>
      </x:c>
      <x:c r="J665" s="10" t="n">
        <x:v>41.95</x:v>
      </x:c>
      <x:c r="K665" s="2" t="n">
        <x:v>1</x:v>
      </x:c>
      <x:c r="L665" s="2" t="n">
        <x:v>0</x:v>
      </x:c>
    </x:row>
    <x:row r="666" ht="20" customHeight="1">
      <x:c r="A666" s="9" t="n">
        <x:v>46300</x:v>
      </x:c>
      <x:c r="B666" s="2" t="str">
        <x:v>MM-1688</x:v>
      </x:c>
      <x:c r="C666" s="2" t="str">
        <x:v>Organic Search</x:v>
      </x:c>
      <x:c r="D666" s="2" t="str">
        <x:v>CUS-145</x:v>
      </x:c>
      <x:c r="E666" s="10" t="n">
        <x:v>79.95</x:v>
      </x:c>
      <x:c r="F666" s="10" t="n">
        <x:v>0</x:v>
      </x:c>
      <x:c r="G666" s="10" t="n">
        <x:v>0</x:v>
      </x:c>
      <x:c r="H666" s="10" t="n">
        <x:v>79.95</x:v>
      </x:c>
      <x:c r="I666" s="10" t="n">
        <x:v>32</x:v>
      </x:c>
      <x:c r="J666" s="10" t="n">
        <x:v>47.95</x:v>
      </x:c>
      <x:c r="K666" s="2" t="n">
        <x:v>1</x:v>
      </x:c>
      <x:c r="L666" s="2" t="n">
        <x:v>0</x:v>
      </x:c>
    </x:row>
    <x:row r="667" ht="20" customHeight="1">
      <x:c r="A667" s="9" t="n">
        <x:v>46301</x:v>
      </x:c>
      <x:c r="B667" s="2" t="str">
        <x:v>MM-1700</x:v>
      </x:c>
      <x:c r="C667" s="2" t="str">
        <x:v>Email</x:v>
      </x:c>
      <x:c r="D667" s="2" t="str">
        <x:v>CUS-178</x:v>
      </x:c>
      <x:c r="E667" s="10" t="n">
        <x:v>18.95</x:v>
      </x:c>
      <x:c r="F667" s="10" t="n">
        <x:v>1.89</x:v>
      </x:c>
      <x:c r="G667" s="10" t="n">
        <x:v>0</x:v>
      </x:c>
      <x:c r="H667" s="10" t="n">
        <x:v>17.06</x:v>
      </x:c>
      <x:c r="I667" s="10" t="n">
        <x:v>6.5</x:v>
      </x:c>
      <x:c r="J667" s="10" t="n">
        <x:v>10.56</x:v>
      </x:c>
      <x:c r="K667" s="2" t="n">
        <x:v>1</x:v>
      </x:c>
      <x:c r="L667" s="2" t="n">
        <x:v>0</x:v>
      </x:c>
    </x:row>
    <x:row r="668" ht="20" customHeight="1">
      <x:c r="A668" s="9" t="n">
        <x:v>46301</x:v>
      </x:c>
      <x:c r="B668" s="2" t="str">
        <x:v>MM-1707</x:v>
      </x:c>
      <x:c r="C668" s="2" t="str">
        <x:v>Organic Search</x:v>
      </x:c>
      <x:c r="D668" s="2" t="str">
        <x:v>CUS-005</x:v>
      </x:c>
      <x:c r="E668" s="10" t="n">
        <x:v>54.95</x:v>
      </x:c>
      <x:c r="F668" s="10" t="n">
        <x:v>0</x:v>
      </x:c>
      <x:c r="G668" s="10" t="n">
        <x:v>0</x:v>
      </x:c>
      <x:c r="H668" s="10" t="n">
        <x:v>54.95</x:v>
      </x:c>
      <x:c r="I668" s="10" t="n">
        <x:v>22</x:v>
      </x:c>
      <x:c r="J668" s="10" t="n">
        <x:v>32.95</x:v>
      </x:c>
      <x:c r="K668" s="2" t="n">
        <x:v>1</x:v>
      </x:c>
      <x:c r="L668" s="2" t="n">
        <x:v>0</x:v>
      </x:c>
    </x:row>
    <x:row r="669" ht="20" customHeight="1">
      <x:c r="A669" s="9" t="n">
        <x:v>46301</x:v>
      </x:c>
      <x:c r="B669" s="2" t="str">
        <x:v>MM-1701</x:v>
      </x:c>
      <x:c r="C669" s="2" t="str">
        <x:v>Organic Search</x:v>
      </x:c>
      <x:c r="D669" s="2" t="str">
        <x:v>CUS-058</x:v>
      </x:c>
      <x:c r="E669" s="10" t="n">
        <x:v>69.95</x:v>
      </x:c>
      <x:c r="F669" s="10" t="n">
        <x:v>0</x:v>
      </x:c>
      <x:c r="G669" s="10" t="n">
        <x:v>0</x:v>
      </x:c>
      <x:c r="H669" s="10" t="n">
        <x:v>69.95</x:v>
      </x:c>
      <x:c r="I669" s="10" t="n">
        <x:v>28</x:v>
      </x:c>
      <x:c r="J669" s="10" t="n">
        <x:v>41.95</x:v>
      </x:c>
      <x:c r="K669" s="2" t="n">
        <x:v>1</x:v>
      </x:c>
      <x:c r="L669" s="2" t="n">
        <x:v>0</x:v>
      </x:c>
    </x:row>
    <x:row r="670" ht="20" customHeight="1">
      <x:c r="A670" s="9" t="n">
        <x:v>46301</x:v>
      </x:c>
      <x:c r="B670" s="2" t="str">
        <x:v>MM-1704</x:v>
      </x:c>
      <x:c r="C670" s="2" t="str">
        <x:v>Direct</x:v>
      </x:c>
      <x:c r="D670" s="2" t="str">
        <x:v>CUS-054</x:v>
      </x:c>
      <x:c r="E670" s="10" t="n">
        <x:v>18.95</x:v>
      </x:c>
      <x:c r="F670" s="10" t="n">
        <x:v>0</x:v>
      </x:c>
      <x:c r="G670" s="10" t="n">
        <x:v>0</x:v>
      </x:c>
      <x:c r="H670" s="10" t="n">
        <x:v>18.95</x:v>
      </x:c>
      <x:c r="I670" s="10" t="n">
        <x:v>6.5</x:v>
      </x:c>
      <x:c r="J670" s="10" t="n">
        <x:v>12.45</x:v>
      </x:c>
      <x:c r="K670" s="2" t="n">
        <x:v>1</x:v>
      </x:c>
      <x:c r="L670" s="2" t="n">
        <x:v>0</x:v>
      </x:c>
    </x:row>
    <x:row r="671" ht="20" customHeight="1">
      <x:c r="A671" s="9" t="n">
        <x:v>46301</x:v>
      </x:c>
      <x:c r="B671" s="2" t="str">
        <x:v>MM-1695</x:v>
      </x:c>
      <x:c r="C671" s="2" t="str">
        <x:v>Direct</x:v>
      </x:c>
      <x:c r="D671" s="2" t="str">
        <x:v>CUS-012</x:v>
      </x:c>
      <x:c r="E671" s="10" t="n">
        <x:v>107.85</x:v>
      </x:c>
      <x:c r="F671" s="10" t="n">
        <x:v>0</x:v>
      </x:c>
      <x:c r="G671" s="10" t="n">
        <x:v>0</x:v>
      </x:c>
      <x:c r="H671" s="10" t="n">
        <x:v>107.85</x:v>
      </x:c>
      <x:c r="I671" s="10" t="n">
        <x:v>40.5</x:v>
      </x:c>
      <x:c r="J671" s="10" t="n">
        <x:v>67.35</x:v>
      </x:c>
      <x:c r="K671" s="2" t="n">
        <x:v>3</x:v>
      </x:c>
      <x:c r="L671" s="2" t="n">
        <x:v>0</x:v>
      </x:c>
    </x:row>
    <x:row r="672" ht="20" customHeight="1">
      <x:c r="A672" s="9" t="n">
        <x:v>46301</x:v>
      </x:c>
      <x:c r="B672" s="2" t="str">
        <x:v>MM-1699</x:v>
      </x:c>
      <x:c r="C672" s="2" t="str">
        <x:v>Direct</x:v>
      </x:c>
      <x:c r="D672" s="2" t="str">
        <x:v>CUS-045</x:v>
      </x:c>
      <x:c r="E672" s="10" t="n">
        <x:v>102.9</x:v>
      </x:c>
      <x:c r="F672" s="10" t="n">
        <x:v>0</x:v>
      </x:c>
      <x:c r="G672" s="10" t="n">
        <x:v>0</x:v>
      </x:c>
      <x:c r="H672" s="10" t="n">
        <x:v>102.9</x:v>
      </x:c>
      <x:c r="I672" s="10" t="n">
        <x:v>40.5</x:v>
      </x:c>
      <x:c r="J672" s="10" t="n">
        <x:v>62.4</x:v>
      </x:c>
      <x:c r="K672" s="2" t="n">
        <x:v>2</x:v>
      </x:c>
      <x:c r="L672" s="2" t="n">
        <x:v>0</x:v>
      </x:c>
    </x:row>
    <x:row r="673" ht="20" customHeight="1">
      <x:c r="A673" s="9" t="n">
        <x:v>46301</x:v>
      </x:c>
      <x:c r="B673" s="2" t="str">
        <x:v>MM-1694</x:v>
      </x:c>
      <x:c r="C673" s="2" t="str">
        <x:v>Paid Social</x:v>
      </x:c>
      <x:c r="D673" s="2" t="str">
        <x:v>CUS-049</x:v>
      </x:c>
      <x:c r="E673" s="10" t="n">
        <x:v>255.75</x:v>
      </x:c>
      <x:c r="F673" s="10" t="n">
        <x:v>22.27</x:v>
      </x:c>
      <x:c r="G673" s="10" t="n">
        <x:v>0</x:v>
      </x:c>
      <x:c r="H673" s="10" t="n">
        <x:v>233.48</x:v>
      </x:c>
      <x:c r="I673" s="10" t="n">
        <x:v>99.5</x:v>
      </x:c>
      <x:c r="J673" s="10" t="n">
        <x:v>133.98</x:v>
      </x:c>
      <x:c r="K673" s="2" t="n">
        <x:v>5</x:v>
      </x:c>
      <x:c r="L673" s="2" t="n">
        <x:v>0</x:v>
      </x:c>
    </x:row>
    <x:row r="674" ht="20" customHeight="1">
      <x:c r="A674" s="9" t="n">
        <x:v>46301</x:v>
      </x:c>
      <x:c r="B674" s="2" t="str">
        <x:v>MM-1705</x:v>
      </x:c>
      <x:c r="C674" s="2" t="str">
        <x:v>Direct</x:v>
      </x:c>
      <x:c r="D674" s="2" t="str">
        <x:v>CUS-121</x:v>
      </x:c>
      <x:c r="E674" s="10" t="n">
        <x:v>24.95</x:v>
      </x:c>
      <x:c r="F674" s="10" t="n">
        <x:v>0</x:v>
      </x:c>
      <x:c r="G674" s="10" t="n">
        <x:v>0</x:v>
      </x:c>
      <x:c r="H674" s="10" t="n">
        <x:v>24.95</x:v>
      </x:c>
      <x:c r="I674" s="10" t="n">
        <x:v>8.5</x:v>
      </x:c>
      <x:c r="J674" s="10" t="n">
        <x:v>16.45</x:v>
      </x:c>
      <x:c r="K674" s="2" t="n">
        <x:v>1</x:v>
      </x:c>
      <x:c r="L674" s="2" t="n">
        <x:v>0</x:v>
      </x:c>
    </x:row>
    <x:row r="675" ht="20" customHeight="1">
      <x:c r="A675" s="9" t="n">
        <x:v>46301</x:v>
      </x:c>
      <x:c r="B675" s="2" t="str">
        <x:v>MM-1696</x:v>
      </x:c>
      <x:c r="C675" s="2" t="str">
        <x:v>Organic Search</x:v>
      </x:c>
      <x:c r="D675" s="2" t="str">
        <x:v>CUS-145</x:v>
      </x:c>
      <x:c r="E675" s="10" t="n">
        <x:v>101.75</x:v>
      </x:c>
      <x:c r="F675" s="10" t="n">
        <x:v>1.99</x:v>
      </x:c>
      <x:c r="G675" s="10" t="n">
        <x:v>0</x:v>
      </x:c>
      <x:c r="H675" s="10" t="n">
        <x:v>99.76</x:v>
      </x:c>
      <x:c r="I675" s="10" t="n">
        <x:v>34.5</x:v>
      </x:c>
      <x:c r="J675" s="10" t="n">
        <x:v>65.26</x:v>
      </x:c>
      <x:c r="K675" s="2" t="n">
        <x:v>5</x:v>
      </x:c>
      <x:c r="L675" s="2" t="n">
        <x:v>0</x:v>
      </x:c>
    </x:row>
    <x:row r="676" ht="20" customHeight="1">
      <x:c r="A676" s="9" t="n">
        <x:v>46301</x:v>
      </x:c>
      <x:c r="B676" s="2" t="str">
        <x:v>MM-1697</x:v>
      </x:c>
      <x:c r="C676" s="2" t="str">
        <x:v>Direct</x:v>
      </x:c>
      <x:c r="D676" s="2" t="str">
        <x:v>CUS-019</x:v>
      </x:c>
      <x:c r="E676" s="10" t="n">
        <x:v>24.95</x:v>
      </x:c>
      <x:c r="F676" s="10" t="n">
        <x:v>2.49</x:v>
      </x:c>
      <x:c r="G676" s="10" t="n">
        <x:v>0</x:v>
      </x:c>
      <x:c r="H676" s="10" t="n">
        <x:v>22.46</x:v>
      </x:c>
      <x:c r="I676" s="10" t="n">
        <x:v>8.5</x:v>
      </x:c>
      <x:c r="J676" s="10" t="n">
        <x:v>13.96</x:v>
      </x:c>
      <x:c r="K676" s="2" t="n">
        <x:v>1</x:v>
      </x:c>
      <x:c r="L676" s="2" t="n">
        <x:v>0</x:v>
      </x:c>
    </x:row>
    <x:row r="677" ht="20" customHeight="1">
      <x:c r="A677" s="9" t="n">
        <x:v>46301</x:v>
      </x:c>
      <x:c r="B677" s="2" t="str">
        <x:v>MM-1708</x:v>
      </x:c>
      <x:c r="C677" s="2" t="str">
        <x:v>Paid Social</x:v>
      </x:c>
      <x:c r="D677" s="2" t="str">
        <x:v>CUS-018</x:v>
      </x:c>
      <x:c r="E677" s="10" t="n">
        <x:v>144.75</x:v>
      </x:c>
      <x:c r="F677" s="10" t="n">
        <x:v>6.99</x:v>
      </x:c>
      <x:c r="G677" s="10" t="n">
        <x:v>0</x:v>
      </x:c>
      <x:c r="H677" s="10" t="n">
        <x:v>137.76</x:v>
      </x:c>
      <x:c r="I677" s="10" t="n">
        <x:v>54</x:v>
      </x:c>
      <x:c r="J677" s="10" t="n">
        <x:v>83.76</x:v>
      </x:c>
      <x:c r="K677" s="2" t="n">
        <x:v>5</x:v>
      </x:c>
      <x:c r="L677" s="2" t="n">
        <x:v>0</x:v>
      </x:c>
    </x:row>
    <x:row r="678" ht="20" customHeight="1">
      <x:c r="A678" s="9" t="n">
        <x:v>46301</x:v>
      </x:c>
      <x:c r="B678" s="2" t="str">
        <x:v>MM-1698</x:v>
      </x:c>
      <x:c r="C678" s="2" t="str">
        <x:v>Organic Search</x:v>
      </x:c>
      <x:c r="D678" s="2" t="str">
        <x:v>CUS-156</x:v>
      </x:c>
      <x:c r="E678" s="10" t="n">
        <x:v>75.8</x:v>
      </x:c>
      <x:c r="F678" s="10" t="n">
        <x:v>0</x:v>
      </x:c>
      <x:c r="G678" s="10" t="n">
        <x:v>0</x:v>
      </x:c>
      <x:c r="H678" s="10" t="n">
        <x:v>75.8</x:v>
      </x:c>
      <x:c r="I678" s="10" t="n">
        <x:v>25</x:v>
      </x:c>
      <x:c r="J678" s="10" t="n">
        <x:v>50.8</x:v>
      </x:c>
      <x:c r="K678" s="2" t="n">
        <x:v>4</x:v>
      </x:c>
      <x:c r="L678" s="2" t="n">
        <x:v>0</x:v>
      </x:c>
    </x:row>
    <x:row r="679" ht="20" customHeight="1">
      <x:c r="A679" s="9" t="n">
        <x:v>46301</x:v>
      </x:c>
      <x:c r="B679" s="2" t="str">
        <x:v>MM-1706</x:v>
      </x:c>
      <x:c r="C679" s="2" t="str">
        <x:v>Organic Search</x:v>
      </x:c>
      <x:c r="D679" s="2" t="str">
        <x:v>CUS-013</x:v>
      </x:c>
      <x:c r="E679" s="10" t="n">
        <x:v>69.9</x:v>
      </x:c>
      <x:c r="F679" s="10" t="n">
        <x:v>5.99</x:v>
      </x:c>
      <x:c r="G679" s="10" t="n">
        <x:v>0</x:v>
      </x:c>
      <x:c r="H679" s="10" t="n">
        <x:v>63.91</x:v>
      </x:c>
      <x:c r="I679" s="10" t="n">
        <x:v>26.5</x:v>
      </x:c>
      <x:c r="J679" s="10" t="n">
        <x:v>37.41</x:v>
      </x:c>
      <x:c r="K679" s="2" t="n">
        <x:v>2</x:v>
      </x:c>
      <x:c r="L679" s="2" t="n">
        <x:v>0</x:v>
      </x:c>
    </x:row>
    <x:row r="680" ht="20" customHeight="1">
      <x:c r="A680" s="9" t="n">
        <x:v>46301</x:v>
      </x:c>
      <x:c r="B680" s="2" t="str">
        <x:v>MM-1702</x:v>
      </x:c>
      <x:c r="C680" s="2" t="str">
        <x:v>Direct</x:v>
      </x:c>
      <x:c r="D680" s="2" t="str">
        <x:v>CUS-166</x:v>
      </x:c>
      <x:c r="E680" s="10" t="n">
        <x:v>32.95</x:v>
      </x:c>
      <x:c r="F680" s="10" t="n">
        <x:v>3.29</x:v>
      </x:c>
      <x:c r="G680" s="10" t="n">
        <x:v>0</x:v>
      </x:c>
      <x:c r="H680" s="10" t="n">
        <x:v>29.66</x:v>
      </x:c>
      <x:c r="I680" s="10" t="n">
        <x:v>12</x:v>
      </x:c>
      <x:c r="J680" s="10" t="n">
        <x:v>17.66</x:v>
      </x:c>
      <x:c r="K680" s="2" t="n">
        <x:v>1</x:v>
      </x:c>
      <x:c r="L680" s="2" t="n">
        <x:v>0</x:v>
      </x:c>
    </x:row>
    <x:row r="681" ht="20" customHeight="1">
      <x:c r="A681" s="9" t="n">
        <x:v>46301</x:v>
      </x:c>
      <x:c r="B681" s="2" t="str">
        <x:v>MM-1703</x:v>
      </x:c>
      <x:c r="C681" s="2" t="str">
        <x:v>Email</x:v>
      </x:c>
      <x:c r="D681" s="2" t="str">
        <x:v>CUS-177</x:v>
      </x:c>
      <x:c r="E681" s="10" t="n">
        <x:v>34.95</x:v>
      </x:c>
      <x:c r="F681" s="10" t="n">
        <x:v>3.49</x:v>
      </x:c>
      <x:c r="G681" s="10" t="n">
        <x:v>0</x:v>
      </x:c>
      <x:c r="H681" s="10" t="n">
        <x:v>31.46</x:v>
      </x:c>
      <x:c r="I681" s="10" t="n">
        <x:v>13.5</x:v>
      </x:c>
      <x:c r="J681" s="10" t="n">
        <x:v>17.96</x:v>
      </x:c>
      <x:c r="K681" s="2" t="n">
        <x:v>1</x:v>
      </x:c>
      <x:c r="L681" s="2" t="n">
        <x:v>0</x:v>
      </x:c>
    </x:row>
    <x:row r="682" ht="20" customHeight="1">
      <x:c r="A682" s="9" t="n">
        <x:v>46302</x:v>
      </x:c>
      <x:c r="B682" s="2" t="str">
        <x:v>MM-1714</x:v>
      </x:c>
      <x:c r="C682" s="2" t="str">
        <x:v>Organic Search</x:v>
      </x:c>
      <x:c r="D682" s="2" t="str">
        <x:v>CUS-039</x:v>
      </x:c>
      <x:c r="E682" s="10" t="n">
        <x:v>134.9</x:v>
      </x:c>
      <x:c r="F682" s="10" t="n">
        <x:v>0</x:v>
      </x:c>
      <x:c r="G682" s="10" t="n">
        <x:v>0</x:v>
      </x:c>
      <x:c r="H682" s="10" t="n">
        <x:v>134.9</x:v>
      </x:c>
      <x:c r="I682" s="10" t="n">
        <x:v>54</x:v>
      </x:c>
      <x:c r="J682" s="10" t="n">
        <x:v>80.9</x:v>
      </x:c>
      <x:c r="K682" s="2" t="n">
        <x:v>2</x:v>
      </x:c>
      <x:c r="L682" s="2" t="n">
        <x:v>0</x:v>
      </x:c>
    </x:row>
    <x:row r="683" ht="20" customHeight="1">
      <x:c r="A683" s="9" t="n">
        <x:v>46302</x:v>
      </x:c>
      <x:c r="B683" s="2" t="str">
        <x:v>MM-1710</x:v>
      </x:c>
      <x:c r="C683" s="2" t="str">
        <x:v>Direct</x:v>
      </x:c>
      <x:c r="D683" s="2" t="str">
        <x:v>CUS-154</x:v>
      </x:c>
      <x:c r="E683" s="10" t="n">
        <x:v>19.95</x:v>
      </x:c>
      <x:c r="F683" s="10" t="n">
        <x:v>0</x:v>
      </x:c>
      <x:c r="G683" s="10" t="n">
        <x:v>0</x:v>
      </x:c>
      <x:c r="H683" s="10" t="n">
        <x:v>19.95</x:v>
      </x:c>
      <x:c r="I683" s="10" t="n">
        <x:v>6</x:v>
      </x:c>
      <x:c r="J683" s="10" t="n">
        <x:v>13.95</x:v>
      </x:c>
      <x:c r="K683" s="2" t="n">
        <x:v>1</x:v>
      </x:c>
      <x:c r="L683" s="2" t="n">
        <x:v>0</x:v>
      </x:c>
    </x:row>
    <x:row r="684" ht="20" customHeight="1">
      <x:c r="A684" s="9" t="n">
        <x:v>46302</x:v>
      </x:c>
      <x:c r="B684" s="2" t="str">
        <x:v>MM-1717</x:v>
      </x:c>
      <x:c r="C684" s="2" t="str">
        <x:v>Paid Social</x:v>
      </x:c>
      <x:c r="D684" s="2" t="str">
        <x:v>CUS-075</x:v>
      </x:c>
      <x:c r="E684" s="10" t="n">
        <x:v>24.95</x:v>
      </x:c>
      <x:c r="F684" s="10" t="n">
        <x:v>0</x:v>
      </x:c>
      <x:c r="G684" s="10" t="n">
        <x:v>0</x:v>
      </x:c>
      <x:c r="H684" s="10" t="n">
        <x:v>24.95</x:v>
      </x:c>
      <x:c r="I684" s="10" t="n">
        <x:v>8.5</x:v>
      </x:c>
      <x:c r="J684" s="10" t="n">
        <x:v>16.45</x:v>
      </x:c>
      <x:c r="K684" s="2" t="n">
        <x:v>1</x:v>
      </x:c>
      <x:c r="L684" s="2" t="n">
        <x:v>0</x:v>
      </x:c>
    </x:row>
    <x:row r="685" ht="20" customHeight="1">
      <x:c r="A685" s="9" t="n">
        <x:v>46302</x:v>
      </x:c>
      <x:c r="B685" s="2" t="str">
        <x:v>MM-1713</x:v>
      </x:c>
      <x:c r="C685" s="2" t="str">
        <x:v>Organic Search</x:v>
      </x:c>
      <x:c r="D685" s="2" t="str">
        <x:v>CUS-086</x:v>
      </x:c>
      <x:c r="E685" s="10" t="n">
        <x:v>24.95</x:v>
      </x:c>
      <x:c r="F685" s="10" t="n">
        <x:v>0</x:v>
      </x:c>
      <x:c r="G685" s="10" t="n">
        <x:v>0</x:v>
      </x:c>
      <x:c r="H685" s="10" t="n">
        <x:v>24.95</x:v>
      </x:c>
      <x:c r="I685" s="10" t="n">
        <x:v>9</x:v>
      </x:c>
      <x:c r="J685" s="10" t="n">
        <x:v>15.95</x:v>
      </x:c>
      <x:c r="K685" s="2" t="n">
        <x:v>1</x:v>
      </x:c>
      <x:c r="L685" s="2" t="n">
        <x:v>0</x:v>
      </x:c>
    </x:row>
    <x:row r="686" ht="20" customHeight="1">
      <x:c r="A686" s="9" t="n">
        <x:v>46302</x:v>
      </x:c>
      <x:c r="B686" s="2" t="str">
        <x:v>MM-1715</x:v>
      </x:c>
      <x:c r="C686" s="2" t="str">
        <x:v>Email</x:v>
      </x:c>
      <x:c r="D686" s="2" t="str">
        <x:v>CUS-167</x:v>
      </x:c>
      <x:c r="E686" s="10" t="n">
        <x:v>179.85</x:v>
      </x:c>
      <x:c r="F686" s="10" t="n">
        <x:v>17.98</x:v>
      </x:c>
      <x:c r="G686" s="10" t="n">
        <x:v>0</x:v>
      </x:c>
      <x:c r="H686" s="10" t="n">
        <x:v>161.87</x:v>
      </x:c>
      <x:c r="I686" s="10" t="n">
        <x:v>72</x:v>
      </x:c>
      <x:c r="J686" s="10" t="n">
        <x:v>89.87</x:v>
      </x:c>
      <x:c r="K686" s="2" t="n">
        <x:v>3</x:v>
      </x:c>
      <x:c r="L686" s="2" t="n">
        <x:v>0</x:v>
      </x:c>
    </x:row>
    <x:row r="687" ht="20" customHeight="1">
      <x:c r="A687" s="9" t="n">
        <x:v>46302</x:v>
      </x:c>
      <x:c r="B687" s="2" t="str">
        <x:v>MM-1720</x:v>
      </x:c>
      <x:c r="C687" s="2" t="str">
        <x:v>Paid Social</x:v>
      </x:c>
      <x:c r="D687" s="2" t="str">
        <x:v>CUS-125</x:v>
      </x:c>
      <x:c r="E687" s="10" t="n">
        <x:v>29.95</x:v>
      </x:c>
      <x:c r="F687" s="10" t="n">
        <x:v>0</x:v>
      </x:c>
      <x:c r="G687" s="10" t="n">
        <x:v>0</x:v>
      </x:c>
      <x:c r="H687" s="10" t="n">
        <x:v>29.95</x:v>
      </x:c>
      <x:c r="I687" s="10" t="n">
        <x:v>10</x:v>
      </x:c>
      <x:c r="J687" s="10" t="n">
        <x:v>19.95</x:v>
      </x:c>
      <x:c r="K687" s="2" t="n">
        <x:v>1</x:v>
      </x:c>
      <x:c r="L687" s="2" t="n">
        <x:v>0</x:v>
      </x:c>
    </x:row>
    <x:row r="688" ht="20" customHeight="1">
      <x:c r="A688" s="9" t="n">
        <x:v>46302</x:v>
      </x:c>
      <x:c r="B688" s="2" t="str">
        <x:v>MM-1711</x:v>
      </x:c>
      <x:c r="C688" s="2" t="str">
        <x:v>Email</x:v>
      </x:c>
      <x:c r="D688" s="2" t="str">
        <x:v>CUS-016</x:v>
      </x:c>
      <x:c r="E688" s="10" t="n">
        <x:v>24.95</x:v>
      </x:c>
      <x:c r="F688" s="10" t="n">
        <x:v>2.49</x:v>
      </x:c>
      <x:c r="G688" s="10" t="n">
        <x:v>0</x:v>
      </x:c>
      <x:c r="H688" s="10" t="n">
        <x:v>22.46</x:v>
      </x:c>
      <x:c r="I688" s="10" t="n">
        <x:v>9</x:v>
      </x:c>
      <x:c r="J688" s="10" t="n">
        <x:v>13.46</x:v>
      </x:c>
      <x:c r="K688" s="2" t="n">
        <x:v>1</x:v>
      </x:c>
      <x:c r="L688" s="2" t="n">
        <x:v>0</x:v>
      </x:c>
    </x:row>
    <x:row r="689" ht="20" customHeight="1">
      <x:c r="A689" s="9" t="n">
        <x:v>46302</x:v>
      </x:c>
      <x:c r="B689" s="2" t="str">
        <x:v>MM-1719</x:v>
      </x:c>
      <x:c r="C689" s="2" t="str">
        <x:v>Direct</x:v>
      </x:c>
      <x:c r="D689" s="2" t="str">
        <x:v>CUS-034</x:v>
      </x:c>
      <x:c r="E689" s="10" t="n">
        <x:v>54.95</x:v>
      </x:c>
      <x:c r="F689" s="10" t="n">
        <x:v>5.49</x:v>
      </x:c>
      <x:c r="G689" s="10" t="n">
        <x:v>0</x:v>
      </x:c>
      <x:c r="H689" s="10" t="n">
        <x:v>49.46</x:v>
      </x:c>
      <x:c r="I689" s="10" t="n">
        <x:v>22</x:v>
      </x:c>
      <x:c r="J689" s="10" t="n">
        <x:v>27.46</x:v>
      </x:c>
      <x:c r="K689" s="2" t="n">
        <x:v>1</x:v>
      </x:c>
      <x:c r="L689" s="2" t="n">
        <x:v>0</x:v>
      </x:c>
    </x:row>
    <x:row r="690" ht="20" customHeight="1">
      <x:c r="A690" s="9" t="n">
        <x:v>46302</x:v>
      </x:c>
      <x:c r="B690" s="2" t="str">
        <x:v>MM-1712</x:v>
      </x:c>
      <x:c r="C690" s="2" t="str">
        <x:v>Organic Search</x:v>
      </x:c>
      <x:c r="D690" s="2" t="str">
        <x:v>CUS-153</x:v>
      </x:c>
      <x:c r="E690" s="10" t="n">
        <x:v>49.85</x:v>
      </x:c>
      <x:c r="F690" s="10" t="n">
        <x:v>1.99</x:v>
      </x:c>
      <x:c r="G690" s="10" t="n">
        <x:v>0</x:v>
      </x:c>
      <x:c r="H690" s="10" t="n">
        <x:v>47.86</x:v>
      </x:c>
      <x:c r="I690" s="10" t="n">
        <x:v>15</x:v>
      </x:c>
      <x:c r="J690" s="10" t="n">
        <x:v>32.86</x:v>
      </x:c>
      <x:c r="K690" s="2" t="n">
        <x:v>3</x:v>
      </x:c>
      <x:c r="L690" s="2" t="n">
        <x:v>0</x:v>
      </x:c>
    </x:row>
    <x:row r="691" ht="20" customHeight="1">
      <x:c r="A691" s="9" t="n">
        <x:v>46302</x:v>
      </x:c>
      <x:c r="B691" s="2" t="str">
        <x:v>MM-1718</x:v>
      </x:c>
      <x:c r="C691" s="2" t="str">
        <x:v>Paid Social</x:v>
      </x:c>
      <x:c r="D691" s="2" t="str">
        <x:v>CUS-161</x:v>
      </x:c>
      <x:c r="E691" s="10" t="n">
        <x:v>43.9</x:v>
      </x:c>
      <x:c r="F691" s="10" t="n">
        <x:v>0</x:v>
      </x:c>
      <x:c r="G691" s="10" t="n">
        <x:v>0</x:v>
      </x:c>
      <x:c r="H691" s="10" t="n">
        <x:v>43.9</x:v>
      </x:c>
      <x:c r="I691" s="10" t="n">
        <x:v>15.5</x:v>
      </x:c>
      <x:c r="J691" s="10" t="n">
        <x:v>28.4</x:v>
      </x:c>
      <x:c r="K691" s="2" t="n">
        <x:v>2</x:v>
      </x:c>
      <x:c r="L691" s="2" t="n">
        <x:v>0</x:v>
      </x:c>
    </x:row>
    <x:row r="692" ht="20" customHeight="1">
      <x:c r="A692" s="9" t="n">
        <x:v>46302</x:v>
      </x:c>
      <x:c r="B692" s="2" t="str">
        <x:v>MM-1721</x:v>
      </x:c>
      <x:c r="C692" s="2" t="str">
        <x:v>Direct</x:v>
      </x:c>
      <x:c r="D692" s="2" t="str">
        <x:v>CUS-046</x:v>
      </x:c>
      <x:c r="E692" s="10" t="n">
        <x:v>149.9</x:v>
      </x:c>
      <x:c r="F692" s="10" t="n">
        <x:v>0</x:v>
      </x:c>
      <x:c r="G692" s="10" t="n">
        <x:v>0</x:v>
      </x:c>
      <x:c r="H692" s="10" t="n">
        <x:v>149.9</x:v>
      </x:c>
      <x:c r="I692" s="10" t="n">
        <x:v>60</x:v>
      </x:c>
      <x:c r="J692" s="10" t="n">
        <x:v>89.9</x:v>
      </x:c>
      <x:c r="K692" s="2" t="n">
        <x:v>2</x:v>
      </x:c>
      <x:c r="L692" s="2" t="n">
        <x:v>0</x:v>
      </x:c>
    </x:row>
    <x:row r="693" ht="20" customHeight="1">
      <x:c r="A693" s="9" t="n">
        <x:v>46302</x:v>
      </x:c>
      <x:c r="B693" s="2" t="str">
        <x:v>MM-1709</x:v>
      </x:c>
      <x:c r="C693" s="2" t="str">
        <x:v>Organic Search</x:v>
      </x:c>
      <x:c r="D693" s="2" t="str">
        <x:v>CUS-103</x:v>
      </x:c>
      <x:c r="E693" s="10" t="n">
        <x:v>98.9</x:v>
      </x:c>
      <x:c r="F693" s="10" t="n">
        <x:v>0</x:v>
      </x:c>
      <x:c r="G693" s="10" t="n">
        <x:v>0</x:v>
      </x:c>
      <x:c r="H693" s="10" t="n">
        <x:v>98.9</x:v>
      </x:c>
      <x:c r="I693" s="10" t="n">
        <x:v>38.5</x:v>
      </x:c>
      <x:c r="J693" s="10" t="n">
        <x:v>60.4</x:v>
      </x:c>
      <x:c r="K693" s="2" t="n">
        <x:v>2</x:v>
      </x:c>
      <x:c r="L693" s="2" t="n">
        <x:v>0</x:v>
      </x:c>
    </x:row>
    <x:row r="694" ht="20" customHeight="1">
      <x:c r="A694" s="9" t="n">
        <x:v>46302</x:v>
      </x:c>
      <x:c r="B694" s="2" t="str">
        <x:v>MM-1716</x:v>
      </x:c>
      <x:c r="C694" s="2" t="str">
        <x:v>Organic Search</x:v>
      </x:c>
      <x:c r="D694" s="2" t="str">
        <x:v>CUS-173</x:v>
      </x:c>
      <x:c r="E694" s="10" t="n">
        <x:v>79.95</x:v>
      </x:c>
      <x:c r="F694" s="10" t="n">
        <x:v>0</x:v>
      </x:c>
      <x:c r="G694" s="10" t="n">
        <x:v>0</x:v>
      </x:c>
      <x:c r="H694" s="10" t="n">
        <x:v>79.95</x:v>
      </x:c>
      <x:c r="I694" s="10" t="n">
        <x:v>32</x:v>
      </x:c>
      <x:c r="J694" s="10" t="n">
        <x:v>47.95</x:v>
      </x:c>
      <x:c r="K694" s="2" t="n">
        <x:v>1</x:v>
      </x:c>
      <x:c r="L694" s="2" t="n">
        <x:v>0</x:v>
      </x:c>
    </x:row>
    <x:row r="695" ht="20" customHeight="1">
      <x:c r="A695" s="9" t="n">
        <x:v>46303</x:v>
      </x:c>
      <x:c r="B695" s="2" t="str">
        <x:v>MM-1723</x:v>
      </x:c>
      <x:c r="C695" s="2" t="str">
        <x:v>Organic Search</x:v>
      </x:c>
      <x:c r="D695" s="2" t="str">
        <x:v>CUS-001</x:v>
      </x:c>
      <x:c r="E695" s="10" t="n">
        <x:v>68.85</x:v>
      </x:c>
      <x:c r="F695" s="10" t="n">
        <x:v>0</x:v>
      </x:c>
      <x:c r="G695" s="10" t="n">
        <x:v>0</x:v>
      </x:c>
      <x:c r="H695" s="10" t="n">
        <x:v>68.85</x:v>
      </x:c>
      <x:c r="I695" s="10" t="n">
        <x:v>25.5</x:v>
      </x:c>
      <x:c r="J695" s="10" t="n">
        <x:v>43.35</x:v>
      </x:c>
      <x:c r="K695" s="2" t="n">
        <x:v>3</x:v>
      </x:c>
      <x:c r="L695" s="2" t="n">
        <x:v>0</x:v>
      </x:c>
    </x:row>
    <x:row r="696" ht="20" customHeight="1">
      <x:c r="A696" s="9" t="n">
        <x:v>46303</x:v>
      </x:c>
      <x:c r="B696" s="2" t="str">
        <x:v>MM-1724</x:v>
      </x:c>
      <x:c r="C696" s="2" t="str">
        <x:v>Email</x:v>
      </x:c>
      <x:c r="D696" s="2" t="str">
        <x:v>CUS-009</x:v>
      </x:c>
      <x:c r="E696" s="10" t="n">
        <x:v>29.95</x:v>
      </x:c>
      <x:c r="F696" s="10" t="n">
        <x:v>2.99</x:v>
      </x:c>
      <x:c r="G696" s="10" t="n">
        <x:v>0</x:v>
      </x:c>
      <x:c r="H696" s="10" t="n">
        <x:v>26.96</x:v>
      </x:c>
      <x:c r="I696" s="10" t="n">
        <x:v>10</x:v>
      </x:c>
      <x:c r="J696" s="10" t="n">
        <x:v>16.96</x:v>
      </x:c>
      <x:c r="K696" s="2" t="n">
        <x:v>1</x:v>
      </x:c>
      <x:c r="L696" s="2" t="n">
        <x:v>0</x:v>
      </x:c>
    </x:row>
    <x:row r="697" ht="20" customHeight="1">
      <x:c r="A697" s="9" t="n">
        <x:v>46303</x:v>
      </x:c>
      <x:c r="B697" s="2" t="str">
        <x:v>MM-1725</x:v>
      </x:c>
      <x:c r="C697" s="2" t="str">
        <x:v>Paid Social</x:v>
      </x:c>
      <x:c r="D697" s="2" t="str">
        <x:v>CUS-062</x:v>
      </x:c>
      <x:c r="E697" s="10" t="n">
        <x:v>54.95</x:v>
      </x:c>
      <x:c r="F697" s="10" t="n">
        <x:v>0</x:v>
      </x:c>
      <x:c r="G697" s="10" t="n">
        <x:v>0</x:v>
      </x:c>
      <x:c r="H697" s="10" t="n">
        <x:v>54.95</x:v>
      </x:c>
      <x:c r="I697" s="10" t="n">
        <x:v>22</x:v>
      </x:c>
      <x:c r="J697" s="10" t="n">
        <x:v>32.95</x:v>
      </x:c>
      <x:c r="K697" s="2" t="n">
        <x:v>1</x:v>
      </x:c>
      <x:c r="L697" s="2" t="n">
        <x:v>0</x:v>
      </x:c>
    </x:row>
    <x:row r="698" ht="20" customHeight="1">
      <x:c r="A698" s="9" t="n">
        <x:v>46303</x:v>
      </x:c>
      <x:c r="B698" s="2" t="str">
        <x:v>MM-1726</x:v>
      </x:c>
      <x:c r="C698" s="2" t="str">
        <x:v>Direct</x:v>
      </x:c>
      <x:c r="D698" s="2" t="str">
        <x:v>CUS-130</x:v>
      </x:c>
      <x:c r="E698" s="10" t="n">
        <x:v>239.85</x:v>
      </x:c>
      <x:c r="F698" s="10" t="n">
        <x:v>0</x:v>
      </x:c>
      <x:c r="G698" s="10" t="n">
        <x:v>0</x:v>
      </x:c>
      <x:c r="H698" s="10" t="n">
        <x:v>239.85</x:v>
      </x:c>
      <x:c r="I698" s="10" t="n">
        <x:v>96</x:v>
      </x:c>
      <x:c r="J698" s="10" t="n">
        <x:v>143.85</x:v>
      </x:c>
      <x:c r="K698" s="2" t="n">
        <x:v>3</x:v>
      </x:c>
      <x:c r="L698" s="2" t="n">
        <x:v>0</x:v>
      </x:c>
    </x:row>
    <x:row r="699" ht="20" customHeight="1">
      <x:c r="A699" s="9" t="n">
        <x:v>46303</x:v>
      </x:c>
      <x:c r="B699" s="2" t="str">
        <x:v>MM-1727</x:v>
      </x:c>
      <x:c r="C699" s="2" t="str">
        <x:v>Paid Social</x:v>
      </x:c>
      <x:c r="D699" s="2" t="str">
        <x:v>CUS-114</x:v>
      </x:c>
      <x:c r="E699" s="10" t="n">
        <x:v>119.9</x:v>
      </x:c>
      <x:c r="F699" s="10" t="n">
        <x:v>0</x:v>
      </x:c>
      <x:c r="G699" s="10" t="n">
        <x:v>0</x:v>
      </x:c>
      <x:c r="H699" s="10" t="n">
        <x:v>119.9</x:v>
      </x:c>
      <x:c r="I699" s="10" t="n">
        <x:v>48</x:v>
      </x:c>
      <x:c r="J699" s="10" t="n">
        <x:v>71.9</x:v>
      </x:c>
      <x:c r="K699" s="2" t="n">
        <x:v>2</x:v>
      </x:c>
      <x:c r="L699" s="2" t="n">
        <x:v>0</x:v>
      </x:c>
    </x:row>
    <x:row r="700" ht="20" customHeight="1">
      <x:c r="A700" s="9" t="n">
        <x:v>46303</x:v>
      </x:c>
      <x:c r="B700" s="2" t="str">
        <x:v>MM-1731</x:v>
      </x:c>
      <x:c r="C700" s="2" t="str">
        <x:v>Paid Social</x:v>
      </x:c>
      <x:c r="D700" s="2" t="str">
        <x:v>CUS-053</x:v>
      </x:c>
      <x:c r="E700" s="10" t="n">
        <x:v>24.95</x:v>
      </x:c>
      <x:c r="F700" s="10" t="n">
        <x:v>0</x:v>
      </x:c>
      <x:c r="G700" s="10" t="n">
        <x:v>0</x:v>
      </x:c>
      <x:c r="H700" s="10" t="n">
        <x:v>24.95</x:v>
      </x:c>
      <x:c r="I700" s="10" t="n">
        <x:v>9</x:v>
      </x:c>
      <x:c r="J700" s="10" t="n">
        <x:v>15.95</x:v>
      </x:c>
      <x:c r="K700" s="2" t="n">
        <x:v>1</x:v>
      </x:c>
      <x:c r="L700" s="2" t="n">
        <x:v>0</x:v>
      </x:c>
    </x:row>
    <x:row r="701" ht="20" customHeight="1">
      <x:c r="A701" s="9" t="n">
        <x:v>46303</x:v>
      </x:c>
      <x:c r="B701" s="2" t="str">
        <x:v>MM-1729</x:v>
      </x:c>
      <x:c r="C701" s="2" t="str">
        <x:v>Organic Search</x:v>
      </x:c>
      <x:c r="D701" s="2" t="str">
        <x:v>CUS-038</x:v>
      </x:c>
      <x:c r="E701" s="10" t="n">
        <x:v>34.95</x:v>
      </x:c>
      <x:c r="F701" s="10" t="n">
        <x:v>0</x:v>
      </x:c>
      <x:c r="G701" s="10" t="n">
        <x:v>0</x:v>
      </x:c>
      <x:c r="H701" s="10" t="n">
        <x:v>34.95</x:v>
      </x:c>
      <x:c r="I701" s="10" t="n">
        <x:v>13.5</x:v>
      </x:c>
      <x:c r="J701" s="10" t="n">
        <x:v>21.45</x:v>
      </x:c>
      <x:c r="K701" s="2" t="n">
        <x:v>1</x:v>
      </x:c>
      <x:c r="L701" s="2" t="n">
        <x:v>0</x:v>
      </x:c>
    </x:row>
    <x:row r="702" ht="20" customHeight="1">
      <x:c r="A702" s="9" t="n">
        <x:v>46303</x:v>
      </x:c>
      <x:c r="B702" s="2" t="str">
        <x:v>MM-1730</x:v>
      </x:c>
      <x:c r="C702" s="2" t="str">
        <x:v>Direct</x:v>
      </x:c>
      <x:c r="D702" s="2" t="str">
        <x:v>CUS-010</x:v>
      </x:c>
      <x:c r="E702" s="10" t="n">
        <x:v>25.9</x:v>
      </x:c>
      <x:c r="F702" s="10" t="n">
        <x:v>0</x:v>
      </x:c>
      <x:c r="G702" s="10" t="n">
        <x:v>0</x:v>
      </x:c>
      <x:c r="H702" s="10" t="n">
        <x:v>25.9</x:v>
      </x:c>
      <x:c r="I702" s="10" t="n">
        <x:v>7</x:v>
      </x:c>
      <x:c r="J702" s="10" t="n">
        <x:v>18.9</x:v>
      </x:c>
      <x:c r="K702" s="2" t="n">
        <x:v>2</x:v>
      </x:c>
      <x:c r="L702" s="2" t="n">
        <x:v>0</x:v>
      </x:c>
    </x:row>
    <x:row r="703" ht="20" customHeight="1">
      <x:c r="A703" s="9" t="n">
        <x:v>46303</x:v>
      </x:c>
      <x:c r="B703" s="2" t="str">
        <x:v>MM-1728</x:v>
      </x:c>
      <x:c r="C703" s="2" t="str">
        <x:v>Organic Search</x:v>
      </x:c>
      <x:c r="D703" s="2" t="str">
        <x:v>CUS-139</x:v>
      </x:c>
      <x:c r="E703" s="10" t="n">
        <x:v>39.9</x:v>
      </x:c>
      <x:c r="F703" s="10" t="n">
        <x:v>0</x:v>
      </x:c>
      <x:c r="G703" s="10" t="n">
        <x:v>0</x:v>
      </x:c>
      <x:c r="H703" s="10" t="n">
        <x:v>39.9</x:v>
      </x:c>
      <x:c r="I703" s="10" t="n">
        <x:v>12</x:v>
      </x:c>
      <x:c r="J703" s="10" t="n">
        <x:v>27.9</x:v>
      </x:c>
      <x:c r="K703" s="2" t="n">
        <x:v>2</x:v>
      </x:c>
      <x:c r="L703" s="2" t="n">
        <x:v>0</x:v>
      </x:c>
    </x:row>
    <x:row r="704" ht="20" customHeight="1">
      <x:c r="A704" s="9" t="n">
        <x:v>46303</x:v>
      </x:c>
      <x:c r="B704" s="2" t="str">
        <x:v>MM-1722</x:v>
      </x:c>
      <x:c r="C704" s="2" t="str">
        <x:v>Paid Social</x:v>
      </x:c>
      <x:c r="D704" s="2" t="str">
        <x:v>CUS-081</x:v>
      </x:c>
      <x:c r="E704" s="10" t="n">
        <x:v>32.95</x:v>
      </x:c>
      <x:c r="F704" s="10" t="n">
        <x:v>0</x:v>
      </x:c>
      <x:c r="G704" s="10" t="n">
        <x:v>32.95</x:v>
      </x:c>
      <x:c r="H704" s="10" t="n">
        <x:v>0</x:v>
      </x:c>
      <x:c r="I704" s="10" t="n">
        <x:v>0</x:v>
      </x:c>
      <x:c r="J704" s="10" t="n">
        <x:v>0</x:v>
      </x:c>
      <x:c r="K704" s="2" t="n">
        <x:v>1</x:v>
      </x:c>
      <x:c r="L704" s="2" t="n">
        <x:v>1</x:v>
      </x:c>
    </x:row>
    <x:row r="705" ht="20" customHeight="1">
      <x:c r="A705" s="9" t="n">
        <x:v>46304</x:v>
      </x:c>
      <x:c r="B705" s="2" t="str">
        <x:v>MM-1736</x:v>
      </x:c>
      <x:c r="C705" s="2" t="str">
        <x:v>Paid Social</x:v>
      </x:c>
      <x:c r="D705" s="2" t="str">
        <x:v>CUS-116</x:v>
      </x:c>
      <x:c r="E705" s="10" t="n">
        <x:v>112.75</x:v>
      </x:c>
      <x:c r="F705" s="10" t="n">
        <x:v>0</x:v>
      </x:c>
      <x:c r="G705" s="10" t="n">
        <x:v>0</x:v>
      </x:c>
      <x:c r="H705" s="10" t="n">
        <x:v>112.75</x:v>
      </x:c>
      <x:c r="I705" s="10" t="n">
        <x:v>40</x:v>
      </x:c>
      <x:c r="J705" s="10" t="n">
        <x:v>72.75</x:v>
      </x:c>
      <x:c r="K705" s="2" t="n">
        <x:v>5</x:v>
      </x:c>
      <x:c r="L705" s="2" t="n">
        <x:v>0</x:v>
      </x:c>
    </x:row>
    <x:row r="706" ht="20" customHeight="1">
      <x:c r="A706" s="9" t="n">
        <x:v>46304</x:v>
      </x:c>
      <x:c r="B706" s="2" t="str">
        <x:v>MM-1737</x:v>
      </x:c>
      <x:c r="C706" s="2" t="str">
        <x:v>Organic Search</x:v>
      </x:c>
      <x:c r="D706" s="2" t="str">
        <x:v>CUS-148</x:v>
      </x:c>
      <x:c r="E706" s="10" t="n">
        <x:v>79.95</x:v>
      </x:c>
      <x:c r="F706" s="10" t="n">
        <x:v>0</x:v>
      </x:c>
      <x:c r="G706" s="10" t="n">
        <x:v>0</x:v>
      </x:c>
      <x:c r="H706" s="10" t="n">
        <x:v>79.95</x:v>
      </x:c>
      <x:c r="I706" s="10" t="n">
        <x:v>32</x:v>
      </x:c>
      <x:c r="J706" s="10" t="n">
        <x:v>47.95</x:v>
      </x:c>
      <x:c r="K706" s="2" t="n">
        <x:v>1</x:v>
      </x:c>
      <x:c r="L706" s="2" t="n">
        <x:v>0</x:v>
      </x:c>
    </x:row>
    <x:row r="707" ht="20" customHeight="1">
      <x:c r="A707" s="9" t="n">
        <x:v>46304</x:v>
      </x:c>
      <x:c r="B707" s="2" t="str">
        <x:v>MM-1738</x:v>
      </x:c>
      <x:c r="C707" s="2" t="str">
        <x:v>Organic Search</x:v>
      </x:c>
      <x:c r="D707" s="2" t="str">
        <x:v>CUS-175</x:v>
      </x:c>
      <x:c r="E707" s="10" t="n">
        <x:v>224.7</x:v>
      </x:c>
      <x:c r="F707" s="10" t="n">
        <x:v>0</x:v>
      </x:c>
      <x:c r="G707" s="10" t="n">
        <x:v>0</x:v>
      </x:c>
      <x:c r="H707" s="10" t="n">
        <x:v>224.7</x:v>
      </x:c>
      <x:c r="I707" s="10" t="n">
        <x:v>85.5</x:v>
      </x:c>
      <x:c r="J707" s="10" t="n">
        <x:v>139.2</x:v>
      </x:c>
      <x:c r="K707" s="2" t="n">
        <x:v>6</x:v>
      </x:c>
      <x:c r="L707" s="2" t="n">
        <x:v>0</x:v>
      </x:c>
    </x:row>
    <x:row r="708" ht="20" customHeight="1">
      <x:c r="A708" s="9" t="n">
        <x:v>46304</x:v>
      </x:c>
      <x:c r="B708" s="2" t="str">
        <x:v>MM-1743</x:v>
      </x:c>
      <x:c r="C708" s="2" t="str">
        <x:v>Organic Search</x:v>
      </x:c>
      <x:c r="D708" s="2" t="str">
        <x:v>CUS-019</x:v>
      </x:c>
      <x:c r="E708" s="10" t="n">
        <x:v>192.8</x:v>
      </x:c>
      <x:c r="F708" s="10" t="n">
        <x:v>0</x:v>
      </x:c>
      <x:c r="G708" s="10" t="n">
        <x:v>12.95</x:v>
      </x:c>
      <x:c r="H708" s="10" t="n">
        <x:v>179.85</x:v>
      </x:c>
      <x:c r="I708" s="10" t="n">
        <x:v>72</x:v>
      </x:c>
      <x:c r="J708" s="10" t="n">
        <x:v>107.85</x:v>
      </x:c>
      <x:c r="K708" s="2" t="n">
        <x:v>4</x:v>
      </x:c>
      <x:c r="L708" s="2" t="n">
        <x:v>1</x:v>
      </x:c>
    </x:row>
    <x:row r="709" ht="20" customHeight="1">
      <x:c r="A709" s="9" t="n">
        <x:v>46304</x:v>
      </x:c>
      <x:c r="B709" s="2" t="str">
        <x:v>MM-1732</x:v>
      </x:c>
      <x:c r="C709" s="2" t="str">
        <x:v>Organic Search</x:v>
      </x:c>
      <x:c r="D709" s="2" t="str">
        <x:v>CUS-068</x:v>
      </x:c>
      <x:c r="E709" s="10" t="n">
        <x:v>94.9</x:v>
      </x:c>
      <x:c r="F709" s="10" t="n">
        <x:v>6.99</x:v>
      </x:c>
      <x:c r="G709" s="10" t="n">
        <x:v>0</x:v>
      </x:c>
      <x:c r="H709" s="10" t="n">
        <x:v>87.91</x:v>
      </x:c>
      <x:c r="I709" s="10" t="n">
        <x:v>37</x:v>
      </x:c>
      <x:c r="J709" s="10" t="n">
        <x:v>50.91</x:v>
      </x:c>
      <x:c r="K709" s="2" t="n">
        <x:v>2</x:v>
      </x:c>
      <x:c r="L709" s="2" t="n">
        <x:v>0</x:v>
      </x:c>
    </x:row>
    <x:row r="710" ht="20" customHeight="1">
      <x:c r="A710" s="9" t="n">
        <x:v>46304</x:v>
      </x:c>
      <x:c r="B710" s="2" t="str">
        <x:v>MM-1740</x:v>
      </x:c>
      <x:c r="C710" s="2" t="str">
        <x:v>Organic Search</x:v>
      </x:c>
      <x:c r="D710" s="2" t="str">
        <x:v>CUS-074</x:v>
      </x:c>
      <x:c r="E710" s="10" t="n">
        <x:v>45.9</x:v>
      </x:c>
      <x:c r="F710" s="10" t="n">
        <x:v>0</x:v>
      </x:c>
      <x:c r="G710" s="10" t="n">
        <x:v>0</x:v>
      </x:c>
      <x:c r="H710" s="10" t="n">
        <x:v>45.9</x:v>
      </x:c>
      <x:c r="I710" s="10" t="n">
        <x:v>17</x:v>
      </x:c>
      <x:c r="J710" s="10" t="n">
        <x:v>28.9</x:v>
      </x:c>
      <x:c r="K710" s="2" t="n">
        <x:v>2</x:v>
      </x:c>
      <x:c r="L710" s="2" t="n">
        <x:v>0</x:v>
      </x:c>
    </x:row>
    <x:row r="711" ht="20" customHeight="1">
      <x:c r="A711" s="9" t="n">
        <x:v>46304</x:v>
      </x:c>
      <x:c r="B711" s="2" t="str">
        <x:v>MM-1734</x:v>
      </x:c>
      <x:c r="C711" s="2" t="str">
        <x:v>Paid Social</x:v>
      </x:c>
      <x:c r="D711" s="2" t="str">
        <x:v>CUS-049</x:v>
      </x:c>
      <x:c r="E711" s="10" t="n">
        <x:v>209.85</x:v>
      </x:c>
      <x:c r="F711" s="10" t="n">
        <x:v>0</x:v>
      </x:c>
      <x:c r="G711" s="10" t="n">
        <x:v>0</x:v>
      </x:c>
      <x:c r="H711" s="10" t="n">
        <x:v>209.85</x:v>
      </x:c>
      <x:c r="I711" s="10" t="n">
        <x:v>84</x:v>
      </x:c>
      <x:c r="J711" s="10" t="n">
        <x:v>125.85</x:v>
      </x:c>
      <x:c r="K711" s="2" t="n">
        <x:v>3</x:v>
      </x:c>
      <x:c r="L711" s="2" t="n">
        <x:v>0</x:v>
      </x:c>
    </x:row>
    <x:row r="712" ht="20" customHeight="1">
      <x:c r="A712" s="9" t="n">
        <x:v>46304</x:v>
      </x:c>
      <x:c r="B712" s="2" t="str">
        <x:v>MM-1735</x:v>
      </x:c>
      <x:c r="C712" s="2" t="str">
        <x:v>Paid Social</x:v>
      </x:c>
      <x:c r="D712" s="2" t="str">
        <x:v>CUS-015</x:v>
      </x:c>
      <x:c r="E712" s="10" t="n">
        <x:v>179.85</x:v>
      </x:c>
      <x:c r="F712" s="10" t="n">
        <x:v>0</x:v>
      </x:c>
      <x:c r="G712" s="10" t="n">
        <x:v>0</x:v>
      </x:c>
      <x:c r="H712" s="10" t="n">
        <x:v>179.85</x:v>
      </x:c>
      <x:c r="I712" s="10" t="n">
        <x:v>70</x:v>
      </x:c>
      <x:c r="J712" s="10" t="n">
        <x:v>109.85</x:v>
      </x:c>
      <x:c r="K712" s="2" t="n">
        <x:v>3</x:v>
      </x:c>
      <x:c r="L712" s="2" t="n">
        <x:v>0</x:v>
      </x:c>
    </x:row>
    <x:row r="713" ht="20" customHeight="1">
      <x:c r="A713" s="9" t="n">
        <x:v>46304</x:v>
      </x:c>
      <x:c r="B713" s="2" t="str">
        <x:v>MM-1739</x:v>
      </x:c>
      <x:c r="C713" s="2" t="str">
        <x:v>Organic Search</x:v>
      </x:c>
      <x:c r="D713" s="2" t="str">
        <x:v>CUS-157</x:v>
      </x:c>
      <x:c r="E713" s="10" t="n">
        <x:v>32.95</x:v>
      </x:c>
      <x:c r="F713" s="10" t="n">
        <x:v>0</x:v>
      </x:c>
      <x:c r="G713" s="10" t="n">
        <x:v>0</x:v>
      </x:c>
      <x:c r="H713" s="10" t="n">
        <x:v>32.95</x:v>
      </x:c>
      <x:c r="I713" s="10" t="n">
        <x:v>12</x:v>
      </x:c>
      <x:c r="J713" s="10" t="n">
        <x:v>20.95</x:v>
      </x:c>
      <x:c r="K713" s="2" t="n">
        <x:v>1</x:v>
      </x:c>
      <x:c r="L713" s="2" t="n">
        <x:v>0</x:v>
      </x:c>
    </x:row>
    <x:row r="714" ht="20" customHeight="1">
      <x:c r="A714" s="9" t="n">
        <x:v>46304</x:v>
      </x:c>
      <x:c r="B714" s="2" t="str">
        <x:v>MM-1741</x:v>
      </x:c>
      <x:c r="C714" s="2" t="str">
        <x:v>Organic Search</x:v>
      </x:c>
      <x:c r="D714" s="2" t="str">
        <x:v>CUS-070</x:v>
      </x:c>
      <x:c r="E714" s="10" t="n">
        <x:v>9.95</x:v>
      </x:c>
      <x:c r="F714" s="10" t="n">
        <x:v>0.99</x:v>
      </x:c>
      <x:c r="G714" s="10" t="n">
        <x:v>0</x:v>
      </x:c>
      <x:c r="H714" s="10" t="n">
        <x:v>8.96</x:v>
      </x:c>
      <x:c r="I714" s="10" t="n">
        <x:v>2.5</x:v>
      </x:c>
      <x:c r="J714" s="10" t="n">
        <x:v>6.46</x:v>
      </x:c>
      <x:c r="K714" s="2" t="n">
        <x:v>1</x:v>
      </x:c>
      <x:c r="L714" s="2" t="n">
        <x:v>0</x:v>
      </x:c>
    </x:row>
    <x:row r="715" ht="20" customHeight="1">
      <x:c r="A715" s="9" t="n">
        <x:v>46304</x:v>
      </x:c>
      <x:c r="B715" s="2" t="str">
        <x:v>MM-1733</x:v>
      </x:c>
      <x:c r="C715" s="2" t="str">
        <x:v>Direct</x:v>
      </x:c>
      <x:c r="D715" s="2" t="str">
        <x:v>CUS-065</x:v>
      </x:c>
      <x:c r="E715" s="10" t="n">
        <x:v>79.85</x:v>
      </x:c>
      <x:c r="F715" s="10" t="n">
        <x:v>2.99</x:v>
      </x:c>
      <x:c r="G715" s="10" t="n">
        <x:v>0</x:v>
      </x:c>
      <x:c r="H715" s="10" t="n">
        <x:v>76.86</x:v>
      </x:c>
      <x:c r="I715" s="10" t="n">
        <x:v>27</x:v>
      </x:c>
      <x:c r="J715" s="10" t="n">
        <x:v>49.86</x:v>
      </x:c>
      <x:c r="K715" s="2" t="n">
        <x:v>3</x:v>
      </x:c>
      <x:c r="L715" s="2" t="n">
        <x:v>0</x:v>
      </x:c>
    </x:row>
    <x:row r="716" ht="20" customHeight="1">
      <x:c r="A716" s="9" t="n">
        <x:v>46304</x:v>
      </x:c>
      <x:c r="B716" s="2" t="str">
        <x:v>MM-1742</x:v>
      </x:c>
      <x:c r="C716" s="2" t="str">
        <x:v>Paid Social</x:v>
      </x:c>
      <x:c r="D716" s="2" t="str">
        <x:v>CUS-148</x:v>
      </x:c>
      <x:c r="E716" s="10" t="n">
        <x:v>106.75</x:v>
      </x:c>
      <x:c r="F716" s="10" t="n">
        <x:v>0</x:v>
      </x:c>
      <x:c r="G716" s="10" t="n">
        <x:v>0</x:v>
      </x:c>
      <x:c r="H716" s="10" t="n">
        <x:v>106.75</x:v>
      </x:c>
      <x:c r="I716" s="10" t="n">
        <x:v>37.5</x:v>
      </x:c>
      <x:c r="J716" s="10" t="n">
        <x:v>69.25</x:v>
      </x:c>
      <x:c r="K716" s="2" t="n">
        <x:v>5</x:v>
      </x:c>
      <x:c r="L716" s="2" t="n">
        <x:v>0</x:v>
      </x:c>
    </x:row>
    <x:row r="717" ht="20" customHeight="1">
      <x:c r="A717" s="9" t="n">
        <x:v>46305</x:v>
      </x:c>
      <x:c r="B717" s="2" t="str">
        <x:v>MM-1754</x:v>
      </x:c>
      <x:c r="C717" s="2" t="str">
        <x:v>Organic Search</x:v>
      </x:c>
      <x:c r="D717" s="2" t="str">
        <x:v>CUS-139</x:v>
      </x:c>
      <x:c r="E717" s="10" t="n">
        <x:v>87.85</x:v>
      </x:c>
      <x:c r="F717" s="10" t="n">
        <x:v>0</x:v>
      </x:c>
      <x:c r="G717" s="10" t="n">
        <x:v>0</x:v>
      </x:c>
      <x:c r="H717" s="10" t="n">
        <x:v>87.85</x:v>
      </x:c>
      <x:c r="I717" s="10" t="n">
        <x:v>32</x:v>
      </x:c>
      <x:c r="J717" s="10" t="n">
        <x:v>55.85</x:v>
      </x:c>
      <x:c r="K717" s="2" t="n">
        <x:v>3</x:v>
      </x:c>
      <x:c r="L717" s="2" t="n">
        <x:v>0</x:v>
      </x:c>
    </x:row>
    <x:row r="718" ht="20" customHeight="1">
      <x:c r="A718" s="9" t="n">
        <x:v>46305</x:v>
      </x:c>
      <x:c r="B718" s="2" t="str">
        <x:v>MM-1747</x:v>
      </x:c>
      <x:c r="C718" s="2" t="str">
        <x:v>Direct</x:v>
      </x:c>
      <x:c r="D718" s="2" t="str">
        <x:v>CUS-141</x:v>
      </x:c>
      <x:c r="E718" s="10" t="n">
        <x:v>164.85</x:v>
      </x:c>
      <x:c r="F718" s="10" t="n">
        <x:v>0</x:v>
      </x:c>
      <x:c r="G718" s="10" t="n">
        <x:v>0</x:v>
      </x:c>
      <x:c r="H718" s="10" t="n">
        <x:v>164.85</x:v>
      </x:c>
      <x:c r="I718" s="10" t="n">
        <x:v>65</x:v>
      </x:c>
      <x:c r="J718" s="10" t="n">
        <x:v>99.85</x:v>
      </x:c>
      <x:c r="K718" s="2" t="n">
        <x:v>3</x:v>
      </x:c>
      <x:c r="L718" s="2" t="n">
        <x:v>0</x:v>
      </x:c>
    </x:row>
    <x:row r="719" ht="20" customHeight="1">
      <x:c r="A719" s="9" t="n">
        <x:v>46305</x:v>
      </x:c>
      <x:c r="B719" s="2" t="str">
        <x:v>MM-1744</x:v>
      </x:c>
      <x:c r="C719" s="2" t="str">
        <x:v>Paid Social</x:v>
      </x:c>
      <x:c r="D719" s="2" t="str">
        <x:v>CUS-134</x:v>
      </x:c>
      <x:c r="E719" s="10" t="n">
        <x:v>74.85</x:v>
      </x:c>
      <x:c r="F719" s="10" t="n">
        <x:v>0</x:v>
      </x:c>
      <x:c r="G719" s="10" t="n">
        <x:v>0</x:v>
      </x:c>
      <x:c r="H719" s="10" t="n">
        <x:v>74.85</x:v>
      </x:c>
      <x:c r="I719" s="10" t="n">
        <x:v>25.5</x:v>
      </x:c>
      <x:c r="J719" s="10" t="n">
        <x:v>49.35</x:v>
      </x:c>
      <x:c r="K719" s="2" t="n">
        <x:v>3</x:v>
      </x:c>
      <x:c r="L719" s="2" t="n">
        <x:v>0</x:v>
      </x:c>
    </x:row>
    <x:row r="720" ht="20" customHeight="1">
      <x:c r="A720" s="9" t="n">
        <x:v>46305</x:v>
      </x:c>
      <x:c r="B720" s="2" t="str">
        <x:v>MM-1751</x:v>
      </x:c>
      <x:c r="C720" s="2" t="str">
        <x:v>Organic Search</x:v>
      </x:c>
      <x:c r="D720" s="2" t="str">
        <x:v>CUS-128</x:v>
      </x:c>
      <x:c r="E720" s="10" t="n">
        <x:v>32.95</x:v>
      </x:c>
      <x:c r="F720" s="10" t="n">
        <x:v>0</x:v>
      </x:c>
      <x:c r="G720" s="10" t="n">
        <x:v>0</x:v>
      </x:c>
      <x:c r="H720" s="10" t="n">
        <x:v>32.95</x:v>
      </x:c>
      <x:c r="I720" s="10" t="n">
        <x:v>12</x:v>
      </x:c>
      <x:c r="J720" s="10" t="n">
        <x:v>20.95</x:v>
      </x:c>
      <x:c r="K720" s="2" t="n">
        <x:v>1</x:v>
      </x:c>
      <x:c r="L720" s="2" t="n">
        <x:v>0</x:v>
      </x:c>
    </x:row>
    <x:row r="721" ht="20" customHeight="1">
      <x:c r="A721" s="9" t="n">
        <x:v>46305</x:v>
      </x:c>
      <x:c r="B721" s="2" t="str">
        <x:v>MM-1745</x:v>
      </x:c>
      <x:c r="C721" s="2" t="str">
        <x:v>Email</x:v>
      </x:c>
      <x:c r="D721" s="2" t="str">
        <x:v>CUS-151</x:v>
      </x:c>
      <x:c r="E721" s="10" t="n">
        <x:v>19.95</x:v>
      </x:c>
      <x:c r="F721" s="10" t="n">
        <x:v>1.99</x:v>
      </x:c>
      <x:c r="G721" s="10" t="n">
        <x:v>0</x:v>
      </x:c>
      <x:c r="H721" s="10" t="n">
        <x:v>17.96</x:v>
      </x:c>
      <x:c r="I721" s="10" t="n">
        <x:v>6</x:v>
      </x:c>
      <x:c r="J721" s="10" t="n">
        <x:v>11.96</x:v>
      </x:c>
      <x:c r="K721" s="2" t="n">
        <x:v>1</x:v>
      </x:c>
      <x:c r="L721" s="2" t="n">
        <x:v>0</x:v>
      </x:c>
    </x:row>
    <x:row r="722" ht="20" customHeight="1">
      <x:c r="A722" s="9" t="n">
        <x:v>46305</x:v>
      </x:c>
      <x:c r="B722" s="2" t="str">
        <x:v>MM-1748</x:v>
      </x:c>
      <x:c r="C722" s="2" t="str">
        <x:v>Paid Social</x:v>
      </x:c>
      <x:c r="D722" s="2" t="str">
        <x:v>CUS-046</x:v>
      </x:c>
      <x:c r="E722" s="10" t="n">
        <x:v>79.95</x:v>
      </x:c>
      <x:c r="F722" s="10" t="n">
        <x:v>0</x:v>
      </x:c>
      <x:c r="G722" s="10" t="n">
        <x:v>0</x:v>
      </x:c>
      <x:c r="H722" s="10" t="n">
        <x:v>79.95</x:v>
      </x:c>
      <x:c r="I722" s="10" t="n">
        <x:v>32</x:v>
      </x:c>
      <x:c r="J722" s="10" t="n">
        <x:v>47.95</x:v>
      </x:c>
      <x:c r="K722" s="2" t="n">
        <x:v>1</x:v>
      </x:c>
      <x:c r="L722" s="2" t="n">
        <x:v>0</x:v>
      </x:c>
    </x:row>
    <x:row r="723" ht="20" customHeight="1">
      <x:c r="A723" s="9" t="n">
        <x:v>46305</x:v>
      </x:c>
      <x:c r="B723" s="2" t="str">
        <x:v>MM-1753</x:v>
      </x:c>
      <x:c r="C723" s="2" t="str">
        <x:v>Organic Search</x:v>
      </x:c>
      <x:c r="D723" s="2" t="str">
        <x:v>CUS-092</x:v>
      </x:c>
      <x:c r="E723" s="10" t="n">
        <x:v>192.8</x:v>
      </x:c>
      <x:c r="F723" s="10" t="n">
        <x:v>0</x:v>
      </x:c>
      <x:c r="G723" s="10" t="n">
        <x:v>0</x:v>
      </x:c>
      <x:c r="H723" s="10" t="n">
        <x:v>192.8</x:v>
      </x:c>
      <x:c r="I723" s="10" t="n">
        <x:v>75.5</x:v>
      </x:c>
      <x:c r="J723" s="10" t="n">
        <x:v>117.3</x:v>
      </x:c>
      <x:c r="K723" s="2" t="n">
        <x:v>4</x:v>
      </x:c>
      <x:c r="L723" s="2" t="n">
        <x:v>0</x:v>
      </x:c>
    </x:row>
    <x:row r="724" ht="20" customHeight="1">
      <x:c r="A724" s="9" t="n">
        <x:v>46305</x:v>
      </x:c>
      <x:c r="B724" s="2" t="str">
        <x:v>MM-1749</x:v>
      </x:c>
      <x:c r="C724" s="2" t="str">
        <x:v>Email</x:v>
      </x:c>
      <x:c r="D724" s="2" t="str">
        <x:v>CUS-136</x:v>
      </x:c>
      <x:c r="E724" s="10" t="n">
        <x:v>32.95</x:v>
      </x:c>
      <x:c r="F724" s="10" t="n">
        <x:v>3.29</x:v>
      </x:c>
      <x:c r="G724" s="10" t="n">
        <x:v>0</x:v>
      </x:c>
      <x:c r="H724" s="10" t="n">
        <x:v>29.66</x:v>
      </x:c>
      <x:c r="I724" s="10" t="n">
        <x:v>12</x:v>
      </x:c>
      <x:c r="J724" s="10" t="n">
        <x:v>17.66</x:v>
      </x:c>
      <x:c r="K724" s="2" t="n">
        <x:v>1</x:v>
      </x:c>
      <x:c r="L724" s="2" t="n">
        <x:v>0</x:v>
      </x:c>
    </x:row>
    <x:row r="725" ht="20" customHeight="1">
      <x:c r="A725" s="9" t="n">
        <x:v>46305</x:v>
      </x:c>
      <x:c r="B725" s="2" t="str">
        <x:v>MM-1752</x:v>
      </x:c>
      <x:c r="C725" s="2" t="str">
        <x:v>Direct</x:v>
      </x:c>
      <x:c r="D725" s="2" t="str">
        <x:v>CUS-080</x:v>
      </x:c>
      <x:c r="E725" s="10" t="n">
        <x:v>57.9</x:v>
      </x:c>
      <x:c r="F725" s="10" t="n">
        <x:v>0</x:v>
      </x:c>
      <x:c r="G725" s="10" t="n">
        <x:v>0</x:v>
      </x:c>
      <x:c r="H725" s="10" t="n">
        <x:v>57.9</x:v>
      </x:c>
      <x:c r="I725" s="10" t="n">
        <x:v>22</x:v>
      </x:c>
      <x:c r="J725" s="10" t="n">
        <x:v>35.9</x:v>
      </x:c>
      <x:c r="K725" s="2" t="n">
        <x:v>2</x:v>
      </x:c>
      <x:c r="L725" s="2" t="n">
        <x:v>0</x:v>
      </x:c>
    </x:row>
    <x:row r="726" ht="20" customHeight="1">
      <x:c r="A726" s="9" t="n">
        <x:v>46305</x:v>
      </x:c>
      <x:c r="B726" s="2" t="str">
        <x:v>MM-1746</x:v>
      </x:c>
      <x:c r="C726" s="2" t="str">
        <x:v>Paid Social</x:v>
      </x:c>
      <x:c r="D726" s="2" t="str">
        <x:v>CUS-124</x:v>
      </x:c>
      <x:c r="E726" s="10" t="n">
        <x:v>187.75</x:v>
      </x:c>
      <x:c r="F726" s="10" t="n">
        <x:v>0</x:v>
      </x:c>
      <x:c r="G726" s="10" t="n">
        <x:v>29.95</x:v>
      </x:c>
      <x:c r="H726" s="10" t="n">
        <x:v>157.8</x:v>
      </x:c>
      <x:c r="I726" s="10" t="n">
        <x:v>61</x:v>
      </x:c>
      <x:c r="J726" s="10" t="n">
        <x:v>96.8</x:v>
      </x:c>
      <x:c r="K726" s="2" t="n">
        <x:v>5</x:v>
      </x:c>
      <x:c r="L726" s="2" t="n">
        <x:v>1</x:v>
      </x:c>
    </x:row>
    <x:row r="727" ht="20" customHeight="1">
      <x:c r="A727" s="9" t="n">
        <x:v>46306</x:v>
      </x:c>
      <x:c r="B727" s="2" t="str">
        <x:v>MM-1757</x:v>
      </x:c>
      <x:c r="C727" s="2" t="str">
        <x:v>Organic Search</x:v>
      </x:c>
      <x:c r="D727" s="2" t="str">
        <x:v>CUS-133</x:v>
      </x:c>
      <x:c r="E727" s="10" t="n">
        <x:v>89.8</x:v>
      </x:c>
      <x:c r="F727" s="10" t="n">
        <x:v>0</x:v>
      </x:c>
      <x:c r="G727" s="10" t="n">
        <x:v>9.95</x:v>
      </x:c>
      <x:c r="H727" s="10" t="n">
        <x:v>79.85</x:v>
      </x:c>
      <x:c r="I727" s="10" t="n">
        <x:v>29</x:v>
      </x:c>
      <x:c r="J727" s="10" t="n">
        <x:v>50.85</x:v>
      </x:c>
      <x:c r="K727" s="2" t="n">
        <x:v>4</x:v>
      </x:c>
      <x:c r="L727" s="2" t="n">
        <x:v>1</x:v>
      </x:c>
    </x:row>
    <x:row r="728" ht="20" customHeight="1">
      <x:c r="A728" s="9" t="n">
        <x:v>46306</x:v>
      </x:c>
      <x:c r="B728" s="2" t="str">
        <x:v>MM-1771</x:v>
      </x:c>
      <x:c r="C728" s="2" t="str">
        <x:v>Paid Social</x:v>
      </x:c>
      <x:c r="D728" s="2" t="str">
        <x:v>CUS-094</x:v>
      </x:c>
      <x:c r="E728" s="10" t="n">
        <x:v>31.9</x:v>
      </x:c>
      <x:c r="F728" s="10" t="n">
        <x:v>0</x:v>
      </x:c>
      <x:c r="G728" s="10" t="n">
        <x:v>0</x:v>
      </x:c>
      <x:c r="H728" s="10" t="n">
        <x:v>31.9</x:v>
      </x:c>
      <x:c r="I728" s="10" t="n">
        <x:v>10</x:v>
      </x:c>
      <x:c r="J728" s="10" t="n">
        <x:v>21.9</x:v>
      </x:c>
      <x:c r="K728" s="2" t="n">
        <x:v>2</x:v>
      </x:c>
      <x:c r="L728" s="2" t="n">
        <x:v>0</x:v>
      </x:c>
    </x:row>
    <x:row r="729" ht="20" customHeight="1">
      <x:c r="A729" s="9" t="n">
        <x:v>46306</x:v>
      </x:c>
      <x:c r="B729" s="2" t="str">
        <x:v>MM-1756</x:v>
      </x:c>
      <x:c r="C729" s="2" t="str">
        <x:v>Paid Social</x:v>
      </x:c>
      <x:c r="D729" s="2" t="str">
        <x:v>CUS-153</x:v>
      </x:c>
      <x:c r="E729" s="10" t="n">
        <x:v>45.9</x:v>
      </x:c>
      <x:c r="F729" s="10" t="n">
        <x:v>0</x:v>
      </x:c>
      <x:c r="G729" s="10" t="n">
        <x:v>0</x:v>
      </x:c>
      <x:c r="H729" s="10" t="n">
        <x:v>45.9</x:v>
      </x:c>
      <x:c r="I729" s="10" t="n">
        <x:v>17</x:v>
      </x:c>
      <x:c r="J729" s="10" t="n">
        <x:v>28.9</x:v>
      </x:c>
      <x:c r="K729" s="2" t="n">
        <x:v>2</x:v>
      </x:c>
      <x:c r="L729" s="2" t="n">
        <x:v>0</x:v>
      </x:c>
    </x:row>
    <x:row r="730" ht="20" customHeight="1">
      <x:c r="A730" s="9" t="n">
        <x:v>46306</x:v>
      </x:c>
      <x:c r="B730" s="2" t="str">
        <x:v>MM-1766</x:v>
      </x:c>
      <x:c r="C730" s="2" t="str">
        <x:v>Organic Search</x:v>
      </x:c>
      <x:c r="D730" s="2" t="str">
        <x:v>CUS-047</x:v>
      </x:c>
      <x:c r="E730" s="10" t="n">
        <x:v>18.95</x:v>
      </x:c>
      <x:c r="F730" s="10" t="n">
        <x:v>0</x:v>
      </x:c>
      <x:c r="G730" s="10" t="n">
        <x:v>0</x:v>
      </x:c>
      <x:c r="H730" s="10" t="n">
        <x:v>18.95</x:v>
      </x:c>
      <x:c r="I730" s="10" t="n">
        <x:v>6.5</x:v>
      </x:c>
      <x:c r="J730" s="10" t="n">
        <x:v>12.45</x:v>
      </x:c>
      <x:c r="K730" s="2" t="n">
        <x:v>1</x:v>
      </x:c>
      <x:c r="L730" s="2" t="n">
        <x:v>0</x:v>
      </x:c>
    </x:row>
    <x:row r="731" ht="20" customHeight="1">
      <x:c r="A731" s="9" t="n">
        <x:v>46306</x:v>
      </x:c>
      <x:c r="B731" s="2" t="str">
        <x:v>MM-1764</x:v>
      </x:c>
      <x:c r="C731" s="2" t="str">
        <x:v>Organic Search</x:v>
      </x:c>
      <x:c r="D731" s="2" t="str">
        <x:v>CUS-156</x:v>
      </x:c>
      <x:c r="E731" s="10" t="n">
        <x:v>41.9</x:v>
      </x:c>
      <x:c r="F731" s="10" t="n">
        <x:v>0</x:v>
      </x:c>
      <x:c r="G731" s="10" t="n">
        <x:v>0</x:v>
      </x:c>
      <x:c r="H731" s="10" t="n">
        <x:v>41.9</x:v>
      </x:c>
      <x:c r="I731" s="10" t="n">
        <x:v>15</x:v>
      </x:c>
      <x:c r="J731" s="10" t="n">
        <x:v>26.9</x:v>
      </x:c>
      <x:c r="K731" s="2" t="n">
        <x:v>2</x:v>
      </x:c>
      <x:c r="L731" s="2" t="n">
        <x:v>0</x:v>
      </x:c>
    </x:row>
    <x:row r="732" ht="20" customHeight="1">
      <x:c r="A732" s="9" t="n">
        <x:v>46306</x:v>
      </x:c>
      <x:c r="B732" s="2" t="str">
        <x:v>MM-1769</x:v>
      </x:c>
      <x:c r="C732" s="2" t="str">
        <x:v>Email</x:v>
      </x:c>
      <x:c r="D732" s="2" t="str">
        <x:v>CUS-053</x:v>
      </x:c>
      <x:c r="E732" s="10" t="n">
        <x:v>119.9</x:v>
      </x:c>
      <x:c r="F732" s="10" t="n">
        <x:v>11.99</x:v>
      </x:c>
      <x:c r="G732" s="10" t="n">
        <x:v>0</x:v>
      </x:c>
      <x:c r="H732" s="10" t="n">
        <x:v>107.91</x:v>
      </x:c>
      <x:c r="I732" s="10" t="n">
        <x:v>48</x:v>
      </x:c>
      <x:c r="J732" s="10" t="n">
        <x:v>59.91</x:v>
      </x:c>
      <x:c r="K732" s="2" t="n">
        <x:v>2</x:v>
      </x:c>
      <x:c r="L732" s="2" t="n">
        <x:v>0</x:v>
      </x:c>
    </x:row>
    <x:row r="733" ht="20" customHeight="1">
      <x:c r="A733" s="9" t="n">
        <x:v>46306</x:v>
      </x:c>
      <x:c r="B733" s="2" t="str">
        <x:v>MM-1761</x:v>
      </x:c>
      <x:c r="C733" s="2" t="str">
        <x:v>Organic Search</x:v>
      </x:c>
      <x:c r="D733" s="2" t="str">
        <x:v>CUS-134</x:v>
      </x:c>
      <x:c r="E733" s="10" t="n">
        <x:v>9.95</x:v>
      </x:c>
      <x:c r="F733" s="10" t="n">
        <x:v>0</x:v>
      </x:c>
      <x:c r="G733" s="10" t="n">
        <x:v>0</x:v>
      </x:c>
      <x:c r="H733" s="10" t="n">
        <x:v>9.95</x:v>
      </x:c>
      <x:c r="I733" s="10" t="n">
        <x:v>2.5</x:v>
      </x:c>
      <x:c r="J733" s="10" t="n">
        <x:v>7.45</x:v>
      </x:c>
      <x:c r="K733" s="2" t="n">
        <x:v>1</x:v>
      </x:c>
      <x:c r="L733" s="2" t="n">
        <x:v>0</x:v>
      </x:c>
    </x:row>
    <x:row r="734" ht="20" customHeight="1">
      <x:c r="A734" s="9" t="n">
        <x:v>46306</x:v>
      </x:c>
      <x:c r="B734" s="2" t="str">
        <x:v>MM-1767</x:v>
      </x:c>
      <x:c r="C734" s="2" t="str">
        <x:v>Paid Social</x:v>
      </x:c>
      <x:c r="D734" s="2" t="str">
        <x:v>CUS-092</x:v>
      </x:c>
      <x:c r="E734" s="10" t="n">
        <x:v>93.8</x:v>
      </x:c>
      <x:c r="F734" s="10" t="n">
        <x:v>1.89</x:v>
      </x:c>
      <x:c r="G734" s="10" t="n">
        <x:v>0</x:v>
      </x:c>
      <x:c r="H734" s="10" t="n">
        <x:v>91.91</x:v>
      </x:c>
      <x:c r="I734" s="10" t="n">
        <x:v>33.5</x:v>
      </x:c>
      <x:c r="J734" s="10" t="n">
        <x:v>58.41</x:v>
      </x:c>
      <x:c r="K734" s="2" t="n">
        <x:v>4</x:v>
      </x:c>
      <x:c r="L734" s="2" t="n">
        <x:v>0</x:v>
      </x:c>
    </x:row>
    <x:row r="735" ht="20" customHeight="1">
      <x:c r="A735" s="9" t="n">
        <x:v>46306</x:v>
      </x:c>
      <x:c r="B735" s="2" t="str">
        <x:v>MM-1768</x:v>
      </x:c>
      <x:c r="C735" s="2" t="str">
        <x:v>Organic Search</x:v>
      </x:c>
      <x:c r="D735" s="2" t="str">
        <x:v>CUS-130</x:v>
      </x:c>
      <x:c r="E735" s="10" t="n">
        <x:v>87.8</x:v>
      </x:c>
      <x:c r="F735" s="10" t="n">
        <x:v>0</x:v>
      </x:c>
      <x:c r="G735" s="10" t="n">
        <x:v>0</x:v>
      </x:c>
      <x:c r="H735" s="10" t="n">
        <x:v>87.8</x:v>
      </x:c>
      <x:c r="I735" s="10" t="n">
        <x:v>29</x:v>
      </x:c>
      <x:c r="J735" s="10" t="n">
        <x:v>58.8</x:v>
      </x:c>
      <x:c r="K735" s="2" t="n">
        <x:v>4</x:v>
      </x:c>
      <x:c r="L735" s="2" t="n">
        <x:v>0</x:v>
      </x:c>
    </x:row>
    <x:row r="736" ht="20" customHeight="1">
      <x:c r="A736" s="9" t="n">
        <x:v>46306</x:v>
      </x:c>
      <x:c r="B736" s="2" t="str">
        <x:v>MM-1760</x:v>
      </x:c>
      <x:c r="C736" s="2" t="str">
        <x:v>Paid Social</x:v>
      </x:c>
      <x:c r="D736" s="2" t="str">
        <x:v>CUS-112</x:v>
      </x:c>
      <x:c r="E736" s="10" t="n">
        <x:v>32.95</x:v>
      </x:c>
      <x:c r="F736" s="10" t="n">
        <x:v>0</x:v>
      </x:c>
      <x:c r="G736" s="10" t="n">
        <x:v>0</x:v>
      </x:c>
      <x:c r="H736" s="10" t="n">
        <x:v>32.95</x:v>
      </x:c>
      <x:c r="I736" s="10" t="n">
        <x:v>12</x:v>
      </x:c>
      <x:c r="J736" s="10" t="n">
        <x:v>20.95</x:v>
      </x:c>
      <x:c r="K736" s="2" t="n">
        <x:v>1</x:v>
      </x:c>
      <x:c r="L736" s="2" t="n">
        <x:v>0</x:v>
      </x:c>
    </x:row>
    <x:row r="737" ht="20" customHeight="1">
      <x:c r="A737" s="9" t="n">
        <x:v>46306</x:v>
      </x:c>
      <x:c r="B737" s="2" t="str">
        <x:v>MM-1762</x:v>
      </x:c>
      <x:c r="C737" s="2" t="str">
        <x:v>Organic Search</x:v>
      </x:c>
      <x:c r="D737" s="2" t="str">
        <x:v>CUS-171</x:v>
      </x:c>
      <x:c r="E737" s="10" t="n">
        <x:v>24.95</x:v>
      </x:c>
      <x:c r="F737" s="10" t="n">
        <x:v>0</x:v>
      </x:c>
      <x:c r="G737" s="10" t="n">
        <x:v>0</x:v>
      </x:c>
      <x:c r="H737" s="10" t="n">
        <x:v>24.95</x:v>
      </x:c>
      <x:c r="I737" s="10" t="n">
        <x:v>8.5</x:v>
      </x:c>
      <x:c r="J737" s="10" t="n">
        <x:v>16.45</x:v>
      </x:c>
      <x:c r="K737" s="2" t="n">
        <x:v>1</x:v>
      </x:c>
      <x:c r="L737" s="2" t="n">
        <x:v>0</x:v>
      </x:c>
    </x:row>
    <x:row r="738" ht="20" customHeight="1">
      <x:c r="A738" s="9" t="n">
        <x:v>46306</x:v>
      </x:c>
      <x:c r="B738" s="2" t="str">
        <x:v>MM-1755</x:v>
      </x:c>
      <x:c r="C738" s="2" t="str">
        <x:v>Organic Search</x:v>
      </x:c>
      <x:c r="D738" s="2" t="str">
        <x:v>CUS-094</x:v>
      </x:c>
      <x:c r="E738" s="10" t="n">
        <x:v>74.85</x:v>
      </x:c>
      <x:c r="F738" s="10" t="n">
        <x:v>0</x:v>
      </x:c>
      <x:c r="G738" s="10" t="n">
        <x:v>0</x:v>
      </x:c>
      <x:c r="H738" s="10" t="n">
        <x:v>74.85</x:v>
      </x:c>
      <x:c r="I738" s="10" t="n">
        <x:v>25.5</x:v>
      </x:c>
      <x:c r="J738" s="10" t="n">
        <x:v>49.35</x:v>
      </x:c>
      <x:c r="K738" s="2" t="n">
        <x:v>3</x:v>
      </x:c>
      <x:c r="L738" s="2" t="n">
        <x:v>0</x:v>
      </x:c>
    </x:row>
    <x:row r="739" ht="20" customHeight="1">
      <x:c r="A739" s="9" t="n">
        <x:v>46306</x:v>
      </x:c>
      <x:c r="B739" s="2" t="str">
        <x:v>MM-1763</x:v>
      </x:c>
      <x:c r="C739" s="2" t="str">
        <x:v>Organic Search</x:v>
      </x:c>
      <x:c r="D739" s="2" t="str">
        <x:v>CUS-135</x:v>
      </x:c>
      <x:c r="E739" s="10" t="n">
        <x:v>19.95</x:v>
      </x:c>
      <x:c r="F739" s="10" t="n">
        <x:v>0</x:v>
      </x:c>
      <x:c r="G739" s="10" t="n">
        <x:v>0</x:v>
      </x:c>
      <x:c r="H739" s="10" t="n">
        <x:v>19.95</x:v>
      </x:c>
      <x:c r="I739" s="10" t="n">
        <x:v>6</x:v>
      </x:c>
      <x:c r="J739" s="10" t="n">
        <x:v>13.95</x:v>
      </x:c>
      <x:c r="K739" s="2" t="n">
        <x:v>1</x:v>
      </x:c>
      <x:c r="L739" s="2" t="n">
        <x:v>0</x:v>
      </x:c>
    </x:row>
    <x:row r="740" ht="20" customHeight="1">
      <x:c r="A740" s="9" t="n">
        <x:v>46306</x:v>
      </x:c>
      <x:c r="B740" s="2" t="str">
        <x:v>MM-1765</x:v>
      </x:c>
      <x:c r="C740" s="2" t="str">
        <x:v>Organic Search</x:v>
      </x:c>
      <x:c r="D740" s="2" t="str">
        <x:v>CUS-002</x:v>
      </x:c>
      <x:c r="E740" s="10" t="n">
        <x:v>12.95</x:v>
      </x:c>
      <x:c r="F740" s="10" t="n">
        <x:v>1.29</x:v>
      </x:c>
      <x:c r="G740" s="10" t="n">
        <x:v>0</x:v>
      </x:c>
      <x:c r="H740" s="10" t="n">
        <x:v>11.66</x:v>
      </x:c>
      <x:c r="I740" s="10" t="n">
        <x:v>3.5</x:v>
      </x:c>
      <x:c r="J740" s="10" t="n">
        <x:v>8.16</x:v>
      </x:c>
      <x:c r="K740" s="2" t="n">
        <x:v>1</x:v>
      </x:c>
      <x:c r="L740" s="2" t="n">
        <x:v>0</x:v>
      </x:c>
    </x:row>
    <x:row r="741" ht="20" customHeight="1">
      <x:c r="A741" s="9" t="n">
        <x:v>46306</x:v>
      </x:c>
      <x:c r="B741" s="2" t="str">
        <x:v>MM-1758</x:v>
      </x:c>
      <x:c r="C741" s="2" t="str">
        <x:v>Paid Social</x:v>
      </x:c>
      <x:c r="D741" s="2" t="str">
        <x:v>CUS-051</x:v>
      </x:c>
      <x:c r="E741" s="10" t="n">
        <x:v>52.8</x:v>
      </x:c>
      <x:c r="F741" s="10" t="n">
        <x:v>0</x:v>
      </x:c>
      <x:c r="G741" s="10" t="n">
        <x:v>0</x:v>
      </x:c>
      <x:c r="H741" s="10" t="n">
        <x:v>52.8</x:v>
      </x:c>
      <x:c r="I741" s="10" t="n">
        <x:v>16</x:v>
      </x:c>
      <x:c r="J741" s="10" t="n">
        <x:v>36.8</x:v>
      </x:c>
      <x:c r="K741" s="2" t="n">
        <x:v>4</x:v>
      </x:c>
      <x:c r="L741" s="2" t="n">
        <x:v>0</x:v>
      </x:c>
    </x:row>
    <x:row r="742" ht="20" customHeight="1">
      <x:c r="A742" s="9" t="n">
        <x:v>46306</x:v>
      </x:c>
      <x:c r="B742" s="2" t="str">
        <x:v>MM-1770</x:v>
      </x:c>
      <x:c r="C742" s="2" t="str">
        <x:v>Paid Social</x:v>
      </x:c>
      <x:c r="D742" s="2" t="str">
        <x:v>CUS-151</x:v>
      </x:c>
      <x:c r="E742" s="10" t="n">
        <x:v>130.8</x:v>
      </x:c>
      <x:c r="F742" s="10" t="n">
        <x:v>0</x:v>
      </x:c>
      <x:c r="G742" s="10" t="n">
        <x:v>0</x:v>
      </x:c>
      <x:c r="H742" s="10" t="n">
        <x:v>130.8</x:v>
      </x:c>
      <x:c r="I742" s="10" t="n">
        <x:v>47.5</x:v>
      </x:c>
      <x:c r="J742" s="10" t="n">
        <x:v>83.3</x:v>
      </x:c>
      <x:c r="K742" s="2" t="n">
        <x:v>4</x:v>
      </x:c>
      <x:c r="L742" s="2" t="n">
        <x:v>0</x:v>
      </x:c>
    </x:row>
    <x:row r="743" ht="20" customHeight="1">
      <x:c r="A743" s="9" t="n">
        <x:v>46306</x:v>
      </x:c>
      <x:c r="B743" s="2" t="str">
        <x:v>MM-1759</x:v>
      </x:c>
      <x:c r="C743" s="2" t="str">
        <x:v>Organic Search</x:v>
      </x:c>
      <x:c r="D743" s="2" t="str">
        <x:v>CUS-130</x:v>
      </x:c>
      <x:c r="E743" s="10" t="n">
        <x:v>18.95</x:v>
      </x:c>
      <x:c r="F743" s="10" t="n">
        <x:v>0</x:v>
      </x:c>
      <x:c r="G743" s="10" t="n">
        <x:v>0</x:v>
      </x:c>
      <x:c r="H743" s="10" t="n">
        <x:v>18.95</x:v>
      </x:c>
      <x:c r="I743" s="10" t="n">
        <x:v>6.5</x:v>
      </x:c>
      <x:c r="J743" s="10" t="n">
        <x:v>12.45</x:v>
      </x:c>
      <x:c r="K743" s="2" t="n">
        <x:v>1</x:v>
      </x:c>
      <x:c r="L743" s="2" t="n">
        <x:v>0</x:v>
      </x:c>
    </x:row>
    <x:row r="744" ht="20" customHeight="1">
      <x:c r="A744" s="9" t="n">
        <x:v>46306</x:v>
      </x:c>
      <x:c r="B744" s="2" t="str">
        <x:v>MM-1772</x:v>
      </x:c>
      <x:c r="C744" s="2" t="str">
        <x:v>Paid Social</x:v>
      </x:c>
      <x:c r="D744" s="2" t="str">
        <x:v>CUS-075</x:v>
      </x:c>
      <x:c r="E744" s="10" t="n">
        <x:v>89.85</x:v>
      </x:c>
      <x:c r="F744" s="10" t="n">
        <x:v>8.98</x:v>
      </x:c>
      <x:c r="G744" s="10" t="n">
        <x:v>0</x:v>
      </x:c>
      <x:c r="H744" s="10" t="n">
        <x:v>80.87</x:v>
      </x:c>
      <x:c r="I744" s="10" t="n">
        <x:v>30</x:v>
      </x:c>
      <x:c r="J744" s="10" t="n">
        <x:v>50.87</x:v>
      </x:c>
      <x:c r="K744" s="2" t="n">
        <x:v>3</x:v>
      </x:c>
      <x:c r="L744" s="2" t="n">
        <x:v>0</x:v>
      </x:c>
    </x:row>
    <x:row r="745" ht="20" customHeight="1">
      <x:c r="A745" s="9" t="n">
        <x:v>46307</x:v>
      </x:c>
      <x:c r="B745" s="2" t="str">
        <x:v>MM-1773</x:v>
      </x:c>
      <x:c r="C745" s="2" t="str">
        <x:v>Organic Search</x:v>
      </x:c>
      <x:c r="D745" s="2" t="str">
        <x:v>CUS-155</x:v>
      </x:c>
      <x:c r="E745" s="10" t="n">
        <x:v>47.9</x:v>
      </x:c>
      <x:c r="F745" s="10" t="n">
        <x:v>3.49</x:v>
      </x:c>
      <x:c r="G745" s="10" t="n">
        <x:v>0</x:v>
      </x:c>
      <x:c r="H745" s="10" t="n">
        <x:v>44.41</x:v>
      </x:c>
      <x:c r="I745" s="10" t="n">
        <x:v>17</x:v>
      </x:c>
      <x:c r="J745" s="10" t="n">
        <x:v>27.41</x:v>
      </x:c>
      <x:c r="K745" s="2" t="n">
        <x:v>2</x:v>
      </x:c>
      <x:c r="L745" s="2" t="n">
        <x:v>0</x:v>
      </x:c>
    </x:row>
    <x:row r="746" ht="20" customHeight="1">
      <x:c r="A746" s="9" t="n">
        <x:v>46307</x:v>
      </x:c>
      <x:c r="B746" s="2" t="str">
        <x:v>MM-1792</x:v>
      </x:c>
      <x:c r="C746" s="2" t="str">
        <x:v>Email</x:v>
      </x:c>
      <x:c r="D746" s="2" t="str">
        <x:v>CUS-046</x:v>
      </x:c>
      <x:c r="E746" s="10" t="n">
        <x:v>69.95</x:v>
      </x:c>
      <x:c r="F746" s="10" t="n">
        <x:v>6.99</x:v>
      </x:c>
      <x:c r="G746" s="10" t="n">
        <x:v>0</x:v>
      </x:c>
      <x:c r="H746" s="10" t="n">
        <x:v>62.96</x:v>
      </x:c>
      <x:c r="I746" s="10" t="n">
        <x:v>28</x:v>
      </x:c>
      <x:c r="J746" s="10" t="n">
        <x:v>34.96</x:v>
      </x:c>
      <x:c r="K746" s="2" t="n">
        <x:v>1</x:v>
      </x:c>
      <x:c r="L746" s="2" t="n">
        <x:v>0</x:v>
      </x:c>
    </x:row>
    <x:row r="747" ht="20" customHeight="1">
      <x:c r="A747" s="9" t="n">
        <x:v>46307</x:v>
      </x:c>
      <x:c r="B747" s="2" t="str">
        <x:v>MM-1793</x:v>
      </x:c>
      <x:c r="C747" s="2" t="str">
        <x:v>Paid Social</x:v>
      </x:c>
      <x:c r="D747" s="2" t="str">
        <x:v>CUS-162</x:v>
      </x:c>
      <x:c r="E747" s="10" t="n">
        <x:v>54.95</x:v>
      </x:c>
      <x:c r="F747" s="10" t="n">
        <x:v>0</x:v>
      </x:c>
      <x:c r="G747" s="10" t="n">
        <x:v>0</x:v>
      </x:c>
      <x:c r="H747" s="10" t="n">
        <x:v>54.95</x:v>
      </x:c>
      <x:c r="I747" s="10" t="n">
        <x:v>22</x:v>
      </x:c>
      <x:c r="J747" s="10" t="n">
        <x:v>32.95</x:v>
      </x:c>
      <x:c r="K747" s="2" t="n">
        <x:v>1</x:v>
      </x:c>
      <x:c r="L747" s="2" t="n">
        <x:v>0</x:v>
      </x:c>
    </x:row>
    <x:row r="748" ht="20" customHeight="1">
      <x:c r="A748" s="9" t="n">
        <x:v>46307</x:v>
      </x:c>
      <x:c r="B748" s="2" t="str">
        <x:v>MM-1779</x:v>
      </x:c>
      <x:c r="C748" s="2" t="str">
        <x:v>Organic Search</x:v>
      </x:c>
      <x:c r="D748" s="2" t="str">
        <x:v>CUS-006</x:v>
      </x:c>
      <x:c r="E748" s="10" t="n">
        <x:v>38.85</x:v>
      </x:c>
      <x:c r="F748" s="10" t="n">
        <x:v>3.88</x:v>
      </x:c>
      <x:c r="G748" s="10" t="n">
        <x:v>0</x:v>
      </x:c>
      <x:c r="H748" s="10" t="n">
        <x:v>34.97</x:v>
      </x:c>
      <x:c r="I748" s="10" t="n">
        <x:v>10.5</x:v>
      </x:c>
      <x:c r="J748" s="10" t="n">
        <x:v>24.47</x:v>
      </x:c>
      <x:c r="K748" s="2" t="n">
        <x:v>3</x:v>
      </x:c>
      <x:c r="L748" s="2" t="n">
        <x:v>0</x:v>
      </x:c>
    </x:row>
    <x:row r="749" ht="20" customHeight="1">
      <x:c r="A749" s="9" t="n">
        <x:v>46307</x:v>
      </x:c>
      <x:c r="B749" s="2" t="str">
        <x:v>MM-1778</x:v>
      </x:c>
      <x:c r="C749" s="2" t="str">
        <x:v>Paid Social</x:v>
      </x:c>
      <x:c r="D749" s="2" t="str">
        <x:v>CUS-109</x:v>
      </x:c>
      <x:c r="E749" s="10" t="n">
        <x:v>54.95</x:v>
      </x:c>
      <x:c r="F749" s="10" t="n">
        <x:v>0</x:v>
      </x:c>
      <x:c r="G749" s="10" t="n">
        <x:v>0</x:v>
      </x:c>
      <x:c r="H749" s="10" t="n">
        <x:v>54.95</x:v>
      </x:c>
      <x:c r="I749" s="10" t="n">
        <x:v>22</x:v>
      </x:c>
      <x:c r="J749" s="10" t="n">
        <x:v>32.95</x:v>
      </x:c>
      <x:c r="K749" s="2" t="n">
        <x:v>1</x:v>
      </x:c>
      <x:c r="L749" s="2" t="n">
        <x:v>0</x:v>
      </x:c>
    </x:row>
    <x:row r="750" ht="20" customHeight="1">
      <x:c r="A750" s="9" t="n">
        <x:v>46307</x:v>
      </x:c>
      <x:c r="B750" s="2" t="str">
        <x:v>MM-1780</x:v>
      </x:c>
      <x:c r="C750" s="2" t="str">
        <x:v>Direct</x:v>
      </x:c>
      <x:c r="D750" s="2" t="str">
        <x:v>CUS-013</x:v>
      </x:c>
      <x:c r="E750" s="10" t="n">
        <x:v>32.95</x:v>
      </x:c>
      <x:c r="F750" s="10" t="n">
        <x:v>0</x:v>
      </x:c>
      <x:c r="G750" s="10" t="n">
        <x:v>0</x:v>
      </x:c>
      <x:c r="H750" s="10" t="n">
        <x:v>32.95</x:v>
      </x:c>
      <x:c r="I750" s="10" t="n">
        <x:v>12</x:v>
      </x:c>
      <x:c r="J750" s="10" t="n">
        <x:v>20.95</x:v>
      </x:c>
      <x:c r="K750" s="2" t="n">
        <x:v>1</x:v>
      </x:c>
      <x:c r="L750" s="2" t="n">
        <x:v>0</x:v>
      </x:c>
    </x:row>
    <x:row r="751" ht="20" customHeight="1">
      <x:c r="A751" s="9" t="n">
        <x:v>46307</x:v>
      </x:c>
      <x:c r="B751" s="2" t="str">
        <x:v>MM-1784</x:v>
      </x:c>
      <x:c r="C751" s="2" t="str">
        <x:v>Paid Social</x:v>
      </x:c>
      <x:c r="D751" s="2" t="str">
        <x:v>CUS-051</x:v>
      </x:c>
      <x:c r="E751" s="10" t="n">
        <x:v>99.9</x:v>
      </x:c>
      <x:c r="F751" s="10" t="n">
        <x:v>1.99</x:v>
      </x:c>
      <x:c r="G751" s="10" t="n">
        <x:v>0</x:v>
      </x:c>
      <x:c r="H751" s="10" t="n">
        <x:v>97.91</x:v>
      </x:c>
      <x:c r="I751" s="10" t="n">
        <x:v>38</x:v>
      </x:c>
      <x:c r="J751" s="10" t="n">
        <x:v>59.91</x:v>
      </x:c>
      <x:c r="K751" s="2" t="n">
        <x:v>2</x:v>
      </x:c>
      <x:c r="L751" s="2" t="n">
        <x:v>0</x:v>
      </x:c>
    </x:row>
    <x:row r="752" ht="20" customHeight="1">
      <x:c r="A752" s="9" t="n">
        <x:v>46307</x:v>
      </x:c>
      <x:c r="B752" s="2" t="str">
        <x:v>MM-1785</x:v>
      </x:c>
      <x:c r="C752" s="2" t="str">
        <x:v>Organic Search</x:v>
      </x:c>
      <x:c r="D752" s="2" t="str">
        <x:v>CUS-004</x:v>
      </x:c>
      <x:c r="E752" s="10" t="n">
        <x:v>12.95</x:v>
      </x:c>
      <x:c r="F752" s="10" t="n">
        <x:v>1.29</x:v>
      </x:c>
      <x:c r="G752" s="10" t="n">
        <x:v>0</x:v>
      </x:c>
      <x:c r="H752" s="10" t="n">
        <x:v>11.66</x:v>
      </x:c>
      <x:c r="I752" s="10" t="n">
        <x:v>3.5</x:v>
      </x:c>
      <x:c r="J752" s="10" t="n">
        <x:v>8.16</x:v>
      </x:c>
      <x:c r="K752" s="2" t="n">
        <x:v>1</x:v>
      </x:c>
      <x:c r="L752" s="2" t="n">
        <x:v>0</x:v>
      </x:c>
    </x:row>
    <x:row r="753" ht="20" customHeight="1">
      <x:c r="A753" s="9" t="n">
        <x:v>46307</x:v>
      </x:c>
      <x:c r="B753" s="2" t="str">
        <x:v>MM-1783</x:v>
      </x:c>
      <x:c r="C753" s="2" t="str">
        <x:v>Direct</x:v>
      </x:c>
      <x:c r="D753" s="2" t="str">
        <x:v>CUS-049</x:v>
      </x:c>
      <x:c r="E753" s="10" t="n">
        <x:v>144.8</x:v>
      </x:c>
      <x:c r="F753" s="10" t="n">
        <x:v>0</x:v>
      </x:c>
      <x:c r="G753" s="10" t="n">
        <x:v>0</x:v>
      </x:c>
      <x:c r="H753" s="10" t="n">
        <x:v>144.8</x:v>
      </x:c>
      <x:c r="I753" s="10" t="n">
        <x:v>53.5</x:v>
      </x:c>
      <x:c r="J753" s="10" t="n">
        <x:v>91.3</x:v>
      </x:c>
      <x:c r="K753" s="2" t="n">
        <x:v>4</x:v>
      </x:c>
      <x:c r="L753" s="2" t="n">
        <x:v>0</x:v>
      </x:c>
    </x:row>
    <x:row r="754" ht="20" customHeight="1">
      <x:c r="A754" s="9" t="n">
        <x:v>46307</x:v>
      </x:c>
      <x:c r="B754" s="2" t="str">
        <x:v>MM-1787</x:v>
      </x:c>
      <x:c r="C754" s="2" t="str">
        <x:v>Organic Search</x:v>
      </x:c>
      <x:c r="D754" s="2" t="str">
        <x:v>CUS-088</x:v>
      </x:c>
      <x:c r="E754" s="10" t="n">
        <x:v>24.95</x:v>
      </x:c>
      <x:c r="F754" s="10" t="n">
        <x:v>0</x:v>
      </x:c>
      <x:c r="G754" s="10" t="n">
        <x:v>0</x:v>
      </x:c>
      <x:c r="H754" s="10" t="n">
        <x:v>24.95</x:v>
      </x:c>
      <x:c r="I754" s="10" t="n">
        <x:v>8.5</x:v>
      </x:c>
      <x:c r="J754" s="10" t="n">
        <x:v>16.45</x:v>
      </x:c>
      <x:c r="K754" s="2" t="n">
        <x:v>1</x:v>
      </x:c>
      <x:c r="L754" s="2" t="n">
        <x:v>0</x:v>
      </x:c>
    </x:row>
    <x:row r="755" ht="20" customHeight="1">
      <x:c r="A755" s="9" t="n">
        <x:v>46307</x:v>
      </x:c>
      <x:c r="B755" s="2" t="str">
        <x:v>MM-1775</x:v>
      </x:c>
      <x:c r="C755" s="2" t="str">
        <x:v>Direct</x:v>
      </x:c>
      <x:c r="D755" s="2" t="str">
        <x:v>CUS-125</x:v>
      </x:c>
      <x:c r="E755" s="10" t="n">
        <x:v>79.95</x:v>
      </x:c>
      <x:c r="F755" s="10" t="n">
        <x:v>0</x:v>
      </x:c>
      <x:c r="G755" s="10" t="n">
        <x:v>0</x:v>
      </x:c>
      <x:c r="H755" s="10" t="n">
        <x:v>79.95</x:v>
      </x:c>
      <x:c r="I755" s="10" t="n">
        <x:v>32</x:v>
      </x:c>
      <x:c r="J755" s="10" t="n">
        <x:v>47.95</x:v>
      </x:c>
      <x:c r="K755" s="2" t="n">
        <x:v>1</x:v>
      </x:c>
      <x:c r="L755" s="2" t="n">
        <x:v>0</x:v>
      </x:c>
    </x:row>
    <x:row r="756" ht="20" customHeight="1">
      <x:c r="A756" s="9" t="n">
        <x:v>46307</x:v>
      </x:c>
      <x:c r="B756" s="2" t="str">
        <x:v>MM-1791</x:v>
      </x:c>
      <x:c r="C756" s="2" t="str">
        <x:v>Paid Social</x:v>
      </x:c>
      <x:c r="D756" s="2" t="str">
        <x:v>CUS-034</x:v>
      </x:c>
      <x:c r="E756" s="10" t="n">
        <x:v>127.85</x:v>
      </x:c>
      <x:c r="F756" s="10" t="n">
        <x:v>0</x:v>
      </x:c>
      <x:c r="G756" s="10" t="n">
        <x:v>57.9</x:v>
      </x:c>
      <x:c r="H756" s="10" t="n">
        <x:v>69.95</x:v>
      </x:c>
      <x:c r="I756" s="10" t="n">
        <x:v>28</x:v>
      </x:c>
      <x:c r="J756" s="10" t="n">
        <x:v>41.95</x:v>
      </x:c>
      <x:c r="K756" s="2" t="n">
        <x:v>3</x:v>
      </x:c>
      <x:c r="L756" s="2" t="n">
        <x:v>2</x:v>
      </x:c>
    </x:row>
    <x:row r="757" ht="20" customHeight="1">
      <x:c r="A757" s="9" t="n">
        <x:v>46307</x:v>
      </x:c>
      <x:c r="B757" s="2" t="str">
        <x:v>MM-1774</x:v>
      </x:c>
      <x:c r="C757" s="2" t="str">
        <x:v>Organic Search</x:v>
      </x:c>
      <x:c r="D757" s="2" t="str">
        <x:v>CUS-038</x:v>
      </x:c>
      <x:c r="E757" s="10" t="n">
        <x:v>32.95</x:v>
      </x:c>
      <x:c r="F757" s="10" t="n">
        <x:v>0</x:v>
      </x:c>
      <x:c r="G757" s="10" t="n">
        <x:v>0</x:v>
      </x:c>
      <x:c r="H757" s="10" t="n">
        <x:v>32.95</x:v>
      </x:c>
      <x:c r="I757" s="10" t="n">
        <x:v>12</x:v>
      </x:c>
      <x:c r="J757" s="10" t="n">
        <x:v>20.95</x:v>
      </x:c>
      <x:c r="K757" s="2" t="n">
        <x:v>1</x:v>
      </x:c>
      <x:c r="L757" s="2" t="n">
        <x:v>0</x:v>
      </x:c>
    </x:row>
    <x:row r="758" ht="20" customHeight="1">
      <x:c r="A758" s="9" t="n">
        <x:v>46307</x:v>
      </x:c>
      <x:c r="B758" s="2" t="str">
        <x:v>MM-1781</x:v>
      </x:c>
      <x:c r="C758" s="2" t="str">
        <x:v>Paid Social</x:v>
      </x:c>
      <x:c r="D758" s="2" t="str">
        <x:v>CUS-029</x:v>
      </x:c>
      <x:c r="E758" s="10" t="n">
        <x:v>59.85</x:v>
      </x:c>
      <x:c r="F758" s="10" t="n">
        <x:v>2.98</x:v>
      </x:c>
      <x:c r="G758" s="10" t="n">
        <x:v>0</x:v>
      </x:c>
      <x:c r="H758" s="10" t="n">
        <x:v>56.87</x:v>
      </x:c>
      <x:c r="I758" s="10" t="n">
        <x:v>18.5</x:v>
      </x:c>
      <x:c r="J758" s="10" t="n">
        <x:v>38.37</x:v>
      </x:c>
      <x:c r="K758" s="2" t="n">
        <x:v>3</x:v>
      </x:c>
      <x:c r="L758" s="2" t="n">
        <x:v>0</x:v>
      </x:c>
    </x:row>
    <x:row r="759" ht="20" customHeight="1">
      <x:c r="A759" s="9" t="n">
        <x:v>46307</x:v>
      </x:c>
      <x:c r="B759" s="2" t="str">
        <x:v>MM-1789</x:v>
      </x:c>
      <x:c r="C759" s="2" t="str">
        <x:v>Email</x:v>
      </x:c>
      <x:c r="D759" s="2" t="str">
        <x:v>CUS-058</x:v>
      </x:c>
      <x:c r="E759" s="10" t="n">
        <x:v>204.8</x:v>
      </x:c>
      <x:c r="F759" s="10" t="n">
        <x:v>20.47</x:v>
      </x:c>
      <x:c r="G759" s="10" t="n">
        <x:v>0</x:v>
      </x:c>
      <x:c r="H759" s="10" t="n">
        <x:v>184.33</x:v>
      </x:c>
      <x:c r="I759" s="10" t="n">
        <x:v>80.5</x:v>
      </x:c>
      <x:c r="J759" s="10" t="n">
        <x:v>103.83</x:v>
      </x:c>
      <x:c r="K759" s="2" t="n">
        <x:v>4</x:v>
      </x:c>
      <x:c r="L759" s="2" t="n">
        <x:v>0</x:v>
      </x:c>
    </x:row>
    <x:row r="760" ht="20" customHeight="1">
      <x:c r="A760" s="9" t="n">
        <x:v>46307</x:v>
      </x:c>
      <x:c r="B760" s="2" t="str">
        <x:v>MM-1776</x:v>
      </x:c>
      <x:c r="C760" s="2" t="str">
        <x:v>Organic Search</x:v>
      </x:c>
      <x:c r="D760" s="2" t="str">
        <x:v>CUS-063</x:v>
      </x:c>
      <x:c r="E760" s="10" t="n">
        <x:v>49.9</x:v>
      </x:c>
      <x:c r="F760" s="10" t="n">
        <x:v>0</x:v>
      </x:c>
      <x:c r="G760" s="10" t="n">
        <x:v>0</x:v>
      </x:c>
      <x:c r="H760" s="10" t="n">
        <x:v>49.9</x:v>
      </x:c>
      <x:c r="I760" s="10" t="n">
        <x:v>17</x:v>
      </x:c>
      <x:c r="J760" s="10" t="n">
        <x:v>32.9</x:v>
      </x:c>
      <x:c r="K760" s="2" t="n">
        <x:v>2</x:v>
      </x:c>
      <x:c r="L760" s="2" t="n">
        <x:v>0</x:v>
      </x:c>
    </x:row>
    <x:row r="761" ht="20" customHeight="1">
      <x:c r="A761" s="9" t="n">
        <x:v>46307</x:v>
      </x:c>
      <x:c r="B761" s="2" t="str">
        <x:v>MM-1777</x:v>
      </x:c>
      <x:c r="C761" s="2" t="str">
        <x:v>Direct</x:v>
      </x:c>
      <x:c r="D761" s="2" t="str">
        <x:v>CUS-082</x:v>
      </x:c>
      <x:c r="E761" s="10" t="n">
        <x:v>92.85</x:v>
      </x:c>
      <x:c r="F761" s="10" t="n">
        <x:v>0</x:v>
      </x:c>
      <x:c r="G761" s="10" t="n">
        <x:v>0</x:v>
      </x:c>
      <x:c r="H761" s="10" t="n">
        <x:v>92.85</x:v>
      </x:c>
      <x:c r="I761" s="10" t="n">
        <x:v>32</x:v>
      </x:c>
      <x:c r="J761" s="10" t="n">
        <x:v>60.85</x:v>
      </x:c>
      <x:c r="K761" s="2" t="n">
        <x:v>3</x:v>
      </x:c>
      <x:c r="L761" s="2" t="n">
        <x:v>0</x:v>
      </x:c>
    </x:row>
    <x:row r="762" ht="20" customHeight="1">
      <x:c r="A762" s="9" t="n">
        <x:v>46307</x:v>
      </x:c>
      <x:c r="B762" s="2" t="str">
        <x:v>MM-1786</x:v>
      </x:c>
      <x:c r="C762" s="2" t="str">
        <x:v>Email</x:v>
      </x:c>
      <x:c r="D762" s="2" t="str">
        <x:v>CUS-042</x:v>
      </x:c>
      <x:c r="E762" s="10" t="n">
        <x:v>9.95</x:v>
      </x:c>
      <x:c r="F762" s="10" t="n">
        <x:v>0.99</x:v>
      </x:c>
      <x:c r="G762" s="10" t="n">
        <x:v>0</x:v>
      </x:c>
      <x:c r="H762" s="10" t="n">
        <x:v>8.96</x:v>
      </x:c>
      <x:c r="I762" s="10" t="n">
        <x:v>2.5</x:v>
      </x:c>
      <x:c r="J762" s="10" t="n">
        <x:v>6.46</x:v>
      </x:c>
      <x:c r="K762" s="2" t="n">
        <x:v>1</x:v>
      </x:c>
      <x:c r="L762" s="2" t="n">
        <x:v>0</x:v>
      </x:c>
    </x:row>
    <x:row r="763" ht="20" customHeight="1">
      <x:c r="A763" s="9" t="n">
        <x:v>46307</x:v>
      </x:c>
      <x:c r="B763" s="2" t="str">
        <x:v>MM-1790</x:v>
      </x:c>
      <x:c r="C763" s="2" t="str">
        <x:v>Email</x:v>
      </x:c>
      <x:c r="D763" s="2" t="str">
        <x:v>CUS-033</x:v>
      </x:c>
      <x:c r="E763" s="10" t="n">
        <x:v>79.9</x:v>
      </x:c>
      <x:c r="F763" s="10" t="n">
        <x:v>7.98</x:v>
      </x:c>
      <x:c r="G763" s="10" t="n">
        <x:v>0</x:v>
      </x:c>
      <x:c r="H763" s="10" t="n">
        <x:v>71.92</x:v>
      </x:c>
      <x:c r="I763" s="10" t="n">
        <x:v>30.5</x:v>
      </x:c>
      <x:c r="J763" s="10" t="n">
        <x:v>41.42</x:v>
      </x:c>
      <x:c r="K763" s="2" t="n">
        <x:v>2</x:v>
      </x:c>
      <x:c r="L763" s="2" t="n">
        <x:v>0</x:v>
      </x:c>
    </x:row>
    <x:row r="764" ht="20" customHeight="1">
      <x:c r="A764" s="9" t="n">
        <x:v>46308</x:v>
      </x:c>
      <x:c r="B764" s="2" t="str">
        <x:v>MM-1799</x:v>
      </x:c>
      <x:c r="C764" s="2" t="str">
        <x:v>Paid Social</x:v>
      </x:c>
      <x:c r="D764" s="2" t="str">
        <x:v>CUS-063</x:v>
      </x:c>
      <x:c r="E764" s="10" t="n">
        <x:v>29.9</x:v>
      </x:c>
      <x:c r="F764" s="10" t="n">
        <x:v>0</x:v>
      </x:c>
      <x:c r="G764" s="10" t="n">
        <x:v>0</x:v>
      </x:c>
      <x:c r="H764" s="10" t="n">
        <x:v>29.9</x:v>
      </x:c>
      <x:c r="I764" s="10" t="n">
        <x:v>8.5</x:v>
      </x:c>
      <x:c r="J764" s="10" t="n">
        <x:v>21.4</x:v>
      </x:c>
      <x:c r="K764" s="2" t="n">
        <x:v>2</x:v>
      </x:c>
      <x:c r="L764" s="2" t="n">
        <x:v>0</x:v>
      </x:c>
    </x:row>
    <x:row r="765" ht="20" customHeight="1">
      <x:c r="A765" s="9" t="n">
        <x:v>46308</x:v>
      </x:c>
      <x:c r="B765" s="2" t="str">
        <x:v>MM-1811</x:v>
      </x:c>
      <x:c r="C765" s="2" t="str">
        <x:v>Organic Search</x:v>
      </x:c>
      <x:c r="D765" s="2" t="str">
        <x:v>CUS-007</x:v>
      </x:c>
      <x:c r="E765" s="10" t="n">
        <x:v>92.85</x:v>
      </x:c>
      <x:c r="F765" s="10" t="n">
        <x:v>0</x:v>
      </x:c>
      <x:c r="G765" s="10" t="n">
        <x:v>0</x:v>
      </x:c>
      <x:c r="H765" s="10" t="n">
        <x:v>92.85</x:v>
      </x:c>
      <x:c r="I765" s="10" t="n">
        <x:v>34</x:v>
      </x:c>
      <x:c r="J765" s="10" t="n">
        <x:v>58.85</x:v>
      </x:c>
      <x:c r="K765" s="2" t="n">
        <x:v>3</x:v>
      </x:c>
      <x:c r="L765" s="2" t="n">
        <x:v>0</x:v>
      </x:c>
    </x:row>
    <x:row r="766" ht="20" customHeight="1">
      <x:c r="A766" s="9" t="n">
        <x:v>46308</x:v>
      </x:c>
      <x:c r="B766" s="2" t="str">
        <x:v>MM-1810</x:v>
      </x:c>
      <x:c r="C766" s="2" t="str">
        <x:v>Paid Social</x:v>
      </x:c>
      <x:c r="D766" s="2" t="str">
        <x:v>CUS-018</x:v>
      </x:c>
      <x:c r="E766" s="10" t="n">
        <x:v>55.85</x:v>
      </x:c>
      <x:c r="F766" s="10" t="n">
        <x:v>0</x:v>
      </x:c>
      <x:c r="G766" s="10" t="n">
        <x:v>22.95</x:v>
      </x:c>
      <x:c r="H766" s="10" t="n">
        <x:v>32.9</x:v>
      </x:c>
      <x:c r="I766" s="10" t="n">
        <x:v>11</x:v>
      </x:c>
      <x:c r="J766" s="10" t="n">
        <x:v>21.9</x:v>
      </x:c>
      <x:c r="K766" s="2" t="n">
        <x:v>3</x:v>
      </x:c>
      <x:c r="L766" s="2" t="n">
        <x:v>1</x:v>
      </x:c>
    </x:row>
    <x:row r="767" ht="20" customHeight="1">
      <x:c r="A767" s="9" t="n">
        <x:v>46308</x:v>
      </x:c>
      <x:c r="B767" s="2" t="str">
        <x:v>MM-1814</x:v>
      </x:c>
      <x:c r="C767" s="2" t="str">
        <x:v>Paid Social</x:v>
      </x:c>
      <x:c r="D767" s="2" t="str">
        <x:v>CUS-102</x:v>
      </x:c>
      <x:c r="E767" s="10" t="n">
        <x:v>79.95</x:v>
      </x:c>
      <x:c r="F767" s="10" t="n">
        <x:v>0</x:v>
      </x:c>
      <x:c r="G767" s="10" t="n">
        <x:v>79.95</x:v>
      </x:c>
      <x:c r="H767" s="10" t="n">
        <x:v>0</x:v>
      </x:c>
      <x:c r="I767" s="10" t="n">
        <x:v>0</x:v>
      </x:c>
      <x:c r="J767" s="10" t="n">
        <x:v>0</x:v>
      </x:c>
      <x:c r="K767" s="2" t="n">
        <x:v>1</x:v>
      </x:c>
      <x:c r="L767" s="2" t="n">
        <x:v>1</x:v>
      </x:c>
    </x:row>
    <x:row r="768" ht="20" customHeight="1">
      <x:c r="A768" s="9" t="n">
        <x:v>46308</x:v>
      </x:c>
      <x:c r="B768" s="2" t="str">
        <x:v>MM-1804</x:v>
      </x:c>
      <x:c r="C768" s="2" t="str">
        <x:v>Email</x:v>
      </x:c>
      <x:c r="D768" s="2" t="str">
        <x:v>CUS-012</x:v>
      </x:c>
      <x:c r="E768" s="10" t="n">
        <x:v>9.95</x:v>
      </x:c>
      <x:c r="F768" s="10" t="n">
        <x:v>0.99</x:v>
      </x:c>
      <x:c r="G768" s="10" t="n">
        <x:v>0</x:v>
      </x:c>
      <x:c r="H768" s="10" t="n">
        <x:v>8.96</x:v>
      </x:c>
      <x:c r="I768" s="10" t="n">
        <x:v>2.5</x:v>
      </x:c>
      <x:c r="J768" s="10" t="n">
        <x:v>6.46</x:v>
      </x:c>
      <x:c r="K768" s="2" t="n">
        <x:v>1</x:v>
      </x:c>
      <x:c r="L768" s="2" t="n">
        <x:v>0</x:v>
      </x:c>
    </x:row>
    <x:row r="769" ht="20" customHeight="1">
      <x:c r="A769" s="9" t="n">
        <x:v>46308</x:v>
      </x:c>
      <x:c r="B769" s="2" t="str">
        <x:v>MM-1806</x:v>
      </x:c>
      <x:c r="C769" s="2" t="str">
        <x:v>Paid Social</x:v>
      </x:c>
      <x:c r="D769" s="2" t="str">
        <x:v>CUS-062</x:v>
      </x:c>
      <x:c r="E769" s="10" t="n">
        <x:v>22.95</x:v>
      </x:c>
      <x:c r="F769" s="10" t="n">
        <x:v>0</x:v>
      </x:c>
      <x:c r="G769" s="10" t="n">
        <x:v>0</x:v>
      </x:c>
      <x:c r="H769" s="10" t="n">
        <x:v>22.95</x:v>
      </x:c>
      <x:c r="I769" s="10" t="n">
        <x:v>8.5</x:v>
      </x:c>
      <x:c r="J769" s="10" t="n">
        <x:v>14.45</x:v>
      </x:c>
      <x:c r="K769" s="2" t="n">
        <x:v>1</x:v>
      </x:c>
      <x:c r="L769" s="2" t="n">
        <x:v>0</x:v>
      </x:c>
    </x:row>
    <x:row r="770" ht="20" customHeight="1">
      <x:c r="A770" s="9" t="n">
        <x:v>46308</x:v>
      </x:c>
      <x:c r="B770" s="2" t="str">
        <x:v>MM-1809</x:v>
      </x:c>
      <x:c r="C770" s="2" t="str">
        <x:v>Organic Search</x:v>
      </x:c>
      <x:c r="D770" s="2" t="str">
        <x:v>CUS-006</x:v>
      </x:c>
      <x:c r="E770" s="10" t="n">
        <x:v>209.85</x:v>
      </x:c>
      <x:c r="F770" s="10" t="n">
        <x:v>0</x:v>
      </x:c>
      <x:c r="G770" s="10" t="n">
        <x:v>0</x:v>
      </x:c>
      <x:c r="H770" s="10" t="n">
        <x:v>209.85</x:v>
      </x:c>
      <x:c r="I770" s="10" t="n">
        <x:v>84</x:v>
      </x:c>
      <x:c r="J770" s="10" t="n">
        <x:v>125.85</x:v>
      </x:c>
      <x:c r="K770" s="2" t="n">
        <x:v>3</x:v>
      </x:c>
      <x:c r="L770" s="2" t="n">
        <x:v>0</x:v>
      </x:c>
    </x:row>
    <x:row r="771" ht="20" customHeight="1">
      <x:c r="A771" s="9" t="n">
        <x:v>46308</x:v>
      </x:c>
      <x:c r="B771" s="2" t="str">
        <x:v>MM-1813</x:v>
      </x:c>
      <x:c r="C771" s="2" t="str">
        <x:v>Email</x:v>
      </x:c>
      <x:c r="D771" s="2" t="str">
        <x:v>CUS-044</x:v>
      </x:c>
      <x:c r="E771" s="10" t="n">
        <x:v>54.9</x:v>
      </x:c>
      <x:c r="F771" s="10" t="n">
        <x:v>5.48</x:v>
      </x:c>
      <x:c r="G771" s="10" t="n">
        <x:v>0</x:v>
      </x:c>
      <x:c r="H771" s="10" t="n">
        <x:v>49.42</x:v>
      </x:c>
      <x:c r="I771" s="10" t="n">
        <x:v>19.5</x:v>
      </x:c>
      <x:c r="J771" s="10" t="n">
        <x:v>29.92</x:v>
      </x:c>
      <x:c r="K771" s="2" t="n">
        <x:v>2</x:v>
      </x:c>
      <x:c r="L771" s="2" t="n">
        <x:v>0</x:v>
      </x:c>
    </x:row>
    <x:row r="772" ht="20" customHeight="1">
      <x:c r="A772" s="9" t="n">
        <x:v>46308</x:v>
      </x:c>
      <x:c r="B772" s="2" t="str">
        <x:v>MM-1815</x:v>
      </x:c>
      <x:c r="C772" s="2" t="str">
        <x:v>Direct</x:v>
      </x:c>
      <x:c r="D772" s="2" t="str">
        <x:v>CUS-142</x:v>
      </x:c>
      <x:c r="E772" s="10" t="n">
        <x:v>54.95</x:v>
      </x:c>
      <x:c r="F772" s="10" t="n">
        <x:v>0</x:v>
      </x:c>
      <x:c r="G772" s="10" t="n">
        <x:v>0</x:v>
      </x:c>
      <x:c r="H772" s="10" t="n">
        <x:v>54.95</x:v>
      </x:c>
      <x:c r="I772" s="10" t="n">
        <x:v>22</x:v>
      </x:c>
      <x:c r="J772" s="10" t="n">
        <x:v>32.95</x:v>
      </x:c>
      <x:c r="K772" s="2" t="n">
        <x:v>1</x:v>
      </x:c>
      <x:c r="L772" s="2" t="n">
        <x:v>0</x:v>
      </x:c>
    </x:row>
    <x:row r="773" ht="20" customHeight="1">
      <x:c r="A773" s="9" t="n">
        <x:v>46308</x:v>
      </x:c>
      <x:c r="B773" s="2" t="str">
        <x:v>MM-1795</x:v>
      </x:c>
      <x:c r="C773" s="2" t="str">
        <x:v>Direct</x:v>
      </x:c>
      <x:c r="D773" s="2" t="str">
        <x:v>CUS-062</x:v>
      </x:c>
      <x:c r="E773" s="10" t="n">
        <x:v>22.95</x:v>
      </x:c>
      <x:c r="F773" s="10" t="n">
        <x:v>2.29</x:v>
      </x:c>
      <x:c r="G773" s="10" t="n">
        <x:v>0</x:v>
      </x:c>
      <x:c r="H773" s="10" t="n">
        <x:v>20.66</x:v>
      </x:c>
      <x:c r="I773" s="10" t="n">
        <x:v>8.5</x:v>
      </x:c>
      <x:c r="J773" s="10" t="n">
        <x:v>12.16</x:v>
      </x:c>
      <x:c r="K773" s="2" t="n">
        <x:v>1</x:v>
      </x:c>
      <x:c r="L773" s="2" t="n">
        <x:v>0</x:v>
      </x:c>
    </x:row>
    <x:row r="774" ht="20" customHeight="1">
      <x:c r="A774" s="9" t="n">
        <x:v>46308</x:v>
      </x:c>
      <x:c r="B774" s="2" t="str">
        <x:v>MM-1797</x:v>
      </x:c>
      <x:c r="C774" s="2" t="str">
        <x:v>Email</x:v>
      </x:c>
      <x:c r="D774" s="2" t="str">
        <x:v>CUS-035</x:v>
      </x:c>
      <x:c r="E774" s="10" t="n">
        <x:v>12.95</x:v>
      </x:c>
      <x:c r="F774" s="10" t="n">
        <x:v>1.29</x:v>
      </x:c>
      <x:c r="G774" s="10" t="n">
        <x:v>0</x:v>
      </x:c>
      <x:c r="H774" s="10" t="n">
        <x:v>11.66</x:v>
      </x:c>
      <x:c r="I774" s="10" t="n">
        <x:v>3.5</x:v>
      </x:c>
      <x:c r="J774" s="10" t="n">
        <x:v>8.16</x:v>
      </x:c>
      <x:c r="K774" s="2" t="n">
        <x:v>1</x:v>
      </x:c>
      <x:c r="L774" s="2" t="n">
        <x:v>0</x:v>
      </x:c>
    </x:row>
    <x:row r="775" ht="20" customHeight="1">
      <x:c r="A775" s="9" t="n">
        <x:v>46308</x:v>
      </x:c>
      <x:c r="B775" s="2" t="str">
        <x:v>MM-1816</x:v>
      </x:c>
      <x:c r="C775" s="2" t="str">
        <x:v>Paid Social</x:v>
      </x:c>
      <x:c r="D775" s="2" t="str">
        <x:v>CUS-091</x:v>
      </x:c>
      <x:c r="E775" s="10" t="n">
        <x:v>24.95</x:v>
      </x:c>
      <x:c r="F775" s="10" t="n">
        <x:v>0</x:v>
      </x:c>
      <x:c r="G775" s="10" t="n">
        <x:v>0</x:v>
      </x:c>
      <x:c r="H775" s="10" t="n">
        <x:v>24.95</x:v>
      </x:c>
      <x:c r="I775" s="10" t="n">
        <x:v>9</x:v>
      </x:c>
      <x:c r="J775" s="10" t="n">
        <x:v>15.95</x:v>
      </x:c>
      <x:c r="K775" s="2" t="n">
        <x:v>1</x:v>
      </x:c>
      <x:c r="L775" s="2" t="n">
        <x:v>0</x:v>
      </x:c>
    </x:row>
    <x:row r="776" ht="20" customHeight="1">
      <x:c r="A776" s="9" t="n">
        <x:v>46308</x:v>
      </x:c>
      <x:c r="B776" s="2" t="str">
        <x:v>MM-1802</x:v>
      </x:c>
      <x:c r="C776" s="2" t="str">
        <x:v>Organic Search</x:v>
      </x:c>
      <x:c r="D776" s="2" t="str">
        <x:v>CUS-108</x:v>
      </x:c>
      <x:c r="E776" s="10" t="n">
        <x:v>79.9</x:v>
      </x:c>
      <x:c r="F776" s="10" t="n">
        <x:v>1.99</x:v>
      </x:c>
      <x:c r="G776" s="10" t="n">
        <x:v>0</x:v>
      </x:c>
      <x:c r="H776" s="10" t="n">
        <x:v>77.91</x:v>
      </x:c>
      <x:c r="I776" s="10" t="n">
        <x:v>30</x:v>
      </x:c>
      <x:c r="J776" s="10" t="n">
        <x:v>47.91</x:v>
      </x:c>
      <x:c r="K776" s="2" t="n">
        <x:v>2</x:v>
      </x:c>
      <x:c r="L776" s="2" t="n">
        <x:v>0</x:v>
      </x:c>
    </x:row>
    <x:row r="777" ht="20" customHeight="1">
      <x:c r="A777" s="9" t="n">
        <x:v>46308</x:v>
      </x:c>
      <x:c r="B777" s="2" t="str">
        <x:v>MM-1805</x:v>
      </x:c>
      <x:c r="C777" s="2" t="str">
        <x:v>Direct</x:v>
      </x:c>
      <x:c r="D777" s="2" t="str">
        <x:v>CUS-003</x:v>
      </x:c>
      <x:c r="E777" s="10" t="n">
        <x:v>22.95</x:v>
      </x:c>
      <x:c r="F777" s="10" t="n">
        <x:v>0</x:v>
      </x:c>
      <x:c r="G777" s="10" t="n">
        <x:v>0</x:v>
      </x:c>
      <x:c r="H777" s="10" t="n">
        <x:v>22.95</x:v>
      </x:c>
      <x:c r="I777" s="10" t="n">
        <x:v>8.5</x:v>
      </x:c>
      <x:c r="J777" s="10" t="n">
        <x:v>14.45</x:v>
      </x:c>
      <x:c r="K777" s="2" t="n">
        <x:v>1</x:v>
      </x:c>
      <x:c r="L777" s="2" t="n">
        <x:v>0</x:v>
      </x:c>
    </x:row>
    <x:row r="778" ht="20" customHeight="1">
      <x:c r="A778" s="9" t="n">
        <x:v>46308</x:v>
      </x:c>
      <x:c r="B778" s="2" t="str">
        <x:v>MM-1794</x:v>
      </x:c>
      <x:c r="C778" s="2" t="str">
        <x:v>Organic Search</x:v>
      </x:c>
      <x:c r="D778" s="2" t="str">
        <x:v>CUS-148</x:v>
      </x:c>
      <x:c r="E778" s="10" t="n">
        <x:v>43.9</x:v>
      </x:c>
      <x:c r="F778" s="10" t="n">
        <x:v>0</x:v>
      </x:c>
      <x:c r="G778" s="10" t="n">
        <x:v>0</x:v>
      </x:c>
      <x:c r="H778" s="10" t="n">
        <x:v>43.9</x:v>
      </x:c>
      <x:c r="I778" s="10" t="n">
        <x:v>15.5</x:v>
      </x:c>
      <x:c r="J778" s="10" t="n">
        <x:v>28.4</x:v>
      </x:c>
      <x:c r="K778" s="2" t="n">
        <x:v>2</x:v>
      </x:c>
      <x:c r="L778" s="2" t="n">
        <x:v>0</x:v>
      </x:c>
    </x:row>
    <x:row r="779" ht="20" customHeight="1">
      <x:c r="A779" s="9" t="n">
        <x:v>46308</x:v>
      </x:c>
      <x:c r="B779" s="2" t="str">
        <x:v>MM-1801</x:v>
      </x:c>
      <x:c r="C779" s="2" t="str">
        <x:v>Organic Search</x:v>
      </x:c>
      <x:c r="D779" s="2" t="str">
        <x:v>CUS-088</x:v>
      </x:c>
      <x:c r="E779" s="10" t="n">
        <x:v>194.85</x:v>
      </x:c>
      <x:c r="F779" s="10" t="n">
        <x:v>0</x:v>
      </x:c>
      <x:c r="G779" s="10" t="n">
        <x:v>0</x:v>
      </x:c>
      <x:c r="H779" s="10" t="n">
        <x:v>194.85</x:v>
      </x:c>
      <x:c r="I779" s="10" t="n">
        <x:v>77.5</x:v>
      </x:c>
      <x:c r="J779" s="10" t="n">
        <x:v>117.35</x:v>
      </x:c>
      <x:c r="K779" s="2" t="n">
        <x:v>3</x:v>
      </x:c>
      <x:c r="L779" s="2" t="n">
        <x:v>0</x:v>
      </x:c>
    </x:row>
    <x:row r="780" ht="20" customHeight="1">
      <x:c r="A780" s="9" t="n">
        <x:v>46308</x:v>
      </x:c>
      <x:c r="B780" s="2" t="str">
        <x:v>MM-1808</x:v>
      </x:c>
      <x:c r="C780" s="2" t="str">
        <x:v>Organic Search</x:v>
      </x:c>
      <x:c r="D780" s="2" t="str">
        <x:v>CUS-112</x:v>
      </x:c>
      <x:c r="E780" s="10" t="n">
        <x:v>149.9</x:v>
      </x:c>
      <x:c r="F780" s="10" t="n">
        <x:v>0</x:v>
      </x:c>
      <x:c r="G780" s="10" t="n">
        <x:v>0</x:v>
      </x:c>
      <x:c r="H780" s="10" t="n">
        <x:v>149.9</x:v>
      </x:c>
      <x:c r="I780" s="10" t="n">
        <x:v>60</x:v>
      </x:c>
      <x:c r="J780" s="10" t="n">
        <x:v>89.9</x:v>
      </x:c>
      <x:c r="K780" s="2" t="n">
        <x:v>2</x:v>
      </x:c>
      <x:c r="L780" s="2" t="n">
        <x:v>0</x:v>
      </x:c>
    </x:row>
    <x:row r="781" ht="20" customHeight="1">
      <x:c r="A781" s="9" t="n">
        <x:v>46308</x:v>
      </x:c>
      <x:c r="B781" s="2" t="str">
        <x:v>MM-1798</x:v>
      </x:c>
      <x:c r="C781" s="2" t="str">
        <x:v>Organic Search</x:v>
      </x:c>
      <x:c r="D781" s="2" t="str">
        <x:v>CUS-117</x:v>
      </x:c>
      <x:c r="E781" s="10" t="n">
        <x:v>24.95</x:v>
      </x:c>
      <x:c r="F781" s="10" t="n">
        <x:v>0</x:v>
      </x:c>
      <x:c r="G781" s="10" t="n">
        <x:v>0</x:v>
      </x:c>
      <x:c r="H781" s="10" t="n">
        <x:v>24.95</x:v>
      </x:c>
      <x:c r="I781" s="10" t="n">
        <x:v>8.5</x:v>
      </x:c>
      <x:c r="J781" s="10" t="n">
        <x:v>16.45</x:v>
      </x:c>
      <x:c r="K781" s="2" t="n">
        <x:v>1</x:v>
      </x:c>
      <x:c r="L781" s="2" t="n">
        <x:v>0</x:v>
      </x:c>
    </x:row>
    <x:row r="782" ht="20" customHeight="1">
      <x:c r="A782" s="9" t="n">
        <x:v>46308</x:v>
      </x:c>
      <x:c r="B782" s="2" t="str">
        <x:v>MM-1796</x:v>
      </x:c>
      <x:c r="C782" s="2" t="str">
        <x:v>Email</x:v>
      </x:c>
      <x:c r="D782" s="2" t="str">
        <x:v>CUS-150</x:v>
      </x:c>
      <x:c r="E782" s="10" t="n">
        <x:v>164.8</x:v>
      </x:c>
      <x:c r="F782" s="10" t="n">
        <x:v>16.47</x:v>
      </x:c>
      <x:c r="G782" s="10" t="n">
        <x:v>0</x:v>
      </x:c>
      <x:c r="H782" s="10" t="n">
        <x:v>148.33</x:v>
      </x:c>
      <x:c r="I782" s="10" t="n">
        <x:v>64.5</x:v>
      </x:c>
      <x:c r="J782" s="10" t="n">
        <x:v>83.83</x:v>
      </x:c>
      <x:c r="K782" s="2" t="n">
        <x:v>4</x:v>
      </x:c>
      <x:c r="L782" s="2" t="n">
        <x:v>0</x:v>
      </x:c>
    </x:row>
    <x:row r="783" ht="20" customHeight="1">
      <x:c r="A783" s="9" t="n">
        <x:v>46308</x:v>
      </x:c>
      <x:c r="B783" s="2" t="str">
        <x:v>MM-1803</x:v>
      </x:c>
      <x:c r="C783" s="2" t="str">
        <x:v>Paid Social</x:v>
      </x:c>
      <x:c r="D783" s="2" t="str">
        <x:v>CUS-036</x:v>
      </x:c>
      <x:c r="E783" s="10" t="n">
        <x:v>42.85</x:v>
      </x:c>
      <x:c r="F783" s="10" t="n">
        <x:v>0</x:v>
      </x:c>
      <x:c r="G783" s="10" t="n">
        <x:v>0</x:v>
      </x:c>
      <x:c r="H783" s="10" t="n">
        <x:v>42.85</x:v>
      </x:c>
      <x:c r="I783" s="10" t="n">
        <x:v>13.5</x:v>
      </x:c>
      <x:c r="J783" s="10" t="n">
        <x:v>29.35</x:v>
      </x:c>
      <x:c r="K783" s="2" t="n">
        <x:v>3</x:v>
      </x:c>
      <x:c r="L783" s="2" t="n">
        <x:v>0</x:v>
      </x:c>
    </x:row>
    <x:row r="784" ht="20" customHeight="1">
      <x:c r="A784" s="9" t="n">
        <x:v>46308</x:v>
      </x:c>
      <x:c r="B784" s="2" t="str">
        <x:v>MM-1812</x:v>
      </x:c>
      <x:c r="C784" s="2" t="str">
        <x:v>Paid Social</x:v>
      </x:c>
      <x:c r="D784" s="2" t="str">
        <x:v>CUS-006</x:v>
      </x:c>
      <x:c r="E784" s="10" t="n">
        <x:v>22.95</x:v>
      </x:c>
      <x:c r="F784" s="10" t="n">
        <x:v>0</x:v>
      </x:c>
      <x:c r="G784" s="10" t="n">
        <x:v>0</x:v>
      </x:c>
      <x:c r="H784" s="10" t="n">
        <x:v>22.95</x:v>
      </x:c>
      <x:c r="I784" s="10" t="n">
        <x:v>8.5</x:v>
      </x:c>
      <x:c r="J784" s="10" t="n">
        <x:v>14.45</x:v>
      </x:c>
      <x:c r="K784" s="2" t="n">
        <x:v>1</x:v>
      </x:c>
      <x:c r="L784" s="2" t="n">
        <x:v>0</x:v>
      </x:c>
    </x:row>
    <x:row r="785" ht="20" customHeight="1">
      <x:c r="A785" s="9" t="n">
        <x:v>46308</x:v>
      </x:c>
      <x:c r="B785" s="2" t="str">
        <x:v>MM-1800</x:v>
      </x:c>
      <x:c r="C785" s="2" t="str">
        <x:v>Organic Search</x:v>
      </x:c>
      <x:c r="D785" s="2" t="str">
        <x:v>CUS-039</x:v>
      </x:c>
      <x:c r="E785" s="10" t="n">
        <x:v>9.95</x:v>
      </x:c>
      <x:c r="F785" s="10" t="n">
        <x:v>0</x:v>
      </x:c>
      <x:c r="G785" s="10" t="n">
        <x:v>0</x:v>
      </x:c>
      <x:c r="H785" s="10" t="n">
        <x:v>9.95</x:v>
      </x:c>
      <x:c r="I785" s="10" t="n">
        <x:v>2.5</x:v>
      </x:c>
      <x:c r="J785" s="10" t="n">
        <x:v>7.45</x:v>
      </x:c>
      <x:c r="K785" s="2" t="n">
        <x:v>1</x:v>
      </x:c>
      <x:c r="L785" s="2" t="n">
        <x:v>0</x:v>
      </x:c>
    </x:row>
    <x:row r="786" ht="20" customHeight="1">
      <x:c r="A786" s="9" t="n">
        <x:v>46308</x:v>
      </x:c>
      <x:c r="B786" s="2" t="str">
        <x:v>MM-1807</x:v>
      </x:c>
      <x:c r="C786" s="2" t="str">
        <x:v>Paid Social</x:v>
      </x:c>
      <x:c r="D786" s="2" t="str">
        <x:v>CUS-020</x:v>
      </x:c>
      <x:c r="E786" s="10" t="n">
        <x:v>18.95</x:v>
      </x:c>
      <x:c r="F786" s="10" t="n">
        <x:v>0</x:v>
      </x:c>
      <x:c r="G786" s="10" t="n">
        <x:v>0</x:v>
      </x:c>
      <x:c r="H786" s="10" t="n">
        <x:v>18.95</x:v>
      </x:c>
      <x:c r="I786" s="10" t="n">
        <x:v>6.5</x:v>
      </x:c>
      <x:c r="J786" s="10" t="n">
        <x:v>12.45</x:v>
      </x:c>
      <x:c r="K786" s="2" t="n">
        <x:v>1</x:v>
      </x:c>
      <x:c r="L786" s="2" t="n">
        <x:v>0</x:v>
      </x:c>
    </x:row>
    <x:row r="787" ht="20" customHeight="1">
      <x:c r="A787" s="9" t="n">
        <x:v>46309</x:v>
      </x:c>
      <x:c r="B787" s="2" t="str">
        <x:v>MM-1830</x:v>
      </x:c>
      <x:c r="C787" s="2" t="str">
        <x:v>Organic Search</x:v>
      </x:c>
      <x:c r="D787" s="2" t="str">
        <x:v>CUS-003</x:v>
      </x:c>
      <x:c r="E787" s="10" t="n">
        <x:v>37.9</x:v>
      </x:c>
      <x:c r="F787" s="10" t="n">
        <x:v>0</x:v>
      </x:c>
      <x:c r="G787" s="10" t="n">
        <x:v>0</x:v>
      </x:c>
      <x:c r="H787" s="10" t="n">
        <x:v>37.9</x:v>
      </x:c>
      <x:c r="I787" s="10" t="n">
        <x:v>13</x:v>
      </x:c>
      <x:c r="J787" s="10" t="n">
        <x:v>24.9</x:v>
      </x:c>
      <x:c r="K787" s="2" t="n">
        <x:v>2</x:v>
      </x:c>
      <x:c r="L787" s="2" t="n">
        <x:v>0</x:v>
      </x:c>
    </x:row>
    <x:row r="788" ht="20" customHeight="1">
      <x:c r="A788" s="9" t="n">
        <x:v>46309</x:v>
      </x:c>
      <x:c r="B788" s="2" t="str">
        <x:v>MM-1817</x:v>
      </x:c>
      <x:c r="C788" s="2" t="str">
        <x:v>Paid Social</x:v>
      </x:c>
      <x:c r="D788" s="2" t="str">
        <x:v>CUS-158</x:v>
      </x:c>
      <x:c r="E788" s="10" t="n">
        <x:v>99.85</x:v>
      </x:c>
      <x:c r="F788" s="10" t="n">
        <x:v>0</x:v>
      </x:c>
      <x:c r="G788" s="10" t="n">
        <x:v>0</x:v>
      </x:c>
      <x:c r="H788" s="10" t="n">
        <x:v>99.85</x:v>
      </x:c>
      <x:c r="I788" s="10" t="n">
        <x:v>37</x:v>
      </x:c>
      <x:c r="J788" s="10" t="n">
        <x:v>62.85</x:v>
      </x:c>
      <x:c r="K788" s="2" t="n">
        <x:v>3</x:v>
      </x:c>
      <x:c r="L788" s="2" t="n">
        <x:v>0</x:v>
      </x:c>
    </x:row>
    <x:row r="789" ht="20" customHeight="1">
      <x:c r="A789" s="9" t="n">
        <x:v>46309</x:v>
      </x:c>
      <x:c r="B789" s="2" t="str">
        <x:v>MM-1831</x:v>
      </x:c>
      <x:c r="C789" s="2" t="str">
        <x:v>Email</x:v>
      </x:c>
      <x:c r="D789" s="2" t="str">
        <x:v>CUS-031</x:v>
      </x:c>
      <x:c r="E789" s="10" t="n">
        <x:v>32.9</x:v>
      </x:c>
      <x:c r="F789" s="10" t="n">
        <x:v>3.28</x:v>
      </x:c>
      <x:c r="G789" s="10" t="n">
        <x:v>0</x:v>
      </x:c>
      <x:c r="H789" s="10" t="n">
        <x:v>29.62</x:v>
      </x:c>
      <x:c r="I789" s="10" t="n">
        <x:v>9.5</x:v>
      </x:c>
      <x:c r="J789" s="10" t="n">
        <x:v>20.12</x:v>
      </x:c>
      <x:c r="K789" s="2" t="n">
        <x:v>2</x:v>
      </x:c>
      <x:c r="L789" s="2" t="n">
        <x:v>0</x:v>
      </x:c>
    </x:row>
    <x:row r="790" ht="20" customHeight="1">
      <x:c r="A790" s="9" t="n">
        <x:v>46309</x:v>
      </x:c>
      <x:c r="B790" s="2" t="str">
        <x:v>MM-1829</x:v>
      </x:c>
      <x:c r="C790" s="2" t="str">
        <x:v>Organic Search</x:v>
      </x:c>
      <x:c r="D790" s="2" t="str">
        <x:v>CUS-133</x:v>
      </x:c>
      <x:c r="E790" s="10" t="n">
        <x:v>19.95</x:v>
      </x:c>
      <x:c r="F790" s="10" t="n">
        <x:v>0</x:v>
      </x:c>
      <x:c r="G790" s="10" t="n">
        <x:v>0</x:v>
      </x:c>
      <x:c r="H790" s="10" t="n">
        <x:v>19.95</x:v>
      </x:c>
      <x:c r="I790" s="10" t="n">
        <x:v>6</x:v>
      </x:c>
      <x:c r="J790" s="10" t="n">
        <x:v>13.95</x:v>
      </x:c>
      <x:c r="K790" s="2" t="n">
        <x:v>1</x:v>
      </x:c>
      <x:c r="L790" s="2" t="n">
        <x:v>0</x:v>
      </x:c>
    </x:row>
    <x:row r="791" ht="20" customHeight="1">
      <x:c r="A791" s="9" t="n">
        <x:v>46309</x:v>
      </x:c>
      <x:c r="B791" s="2" t="str">
        <x:v>MM-1834</x:v>
      </x:c>
      <x:c r="C791" s="2" t="str">
        <x:v>Email</x:v>
      </x:c>
      <x:c r="D791" s="2" t="str">
        <x:v>CUS-089</x:v>
      </x:c>
      <x:c r="E791" s="10" t="n">
        <x:v>19.95</x:v>
      </x:c>
      <x:c r="F791" s="10" t="n">
        <x:v>1.99</x:v>
      </x:c>
      <x:c r="G791" s="10" t="n">
        <x:v>0</x:v>
      </x:c>
      <x:c r="H791" s="10" t="n">
        <x:v>17.96</x:v>
      </x:c>
      <x:c r="I791" s="10" t="n">
        <x:v>6</x:v>
      </x:c>
      <x:c r="J791" s="10" t="n">
        <x:v>11.96</x:v>
      </x:c>
      <x:c r="K791" s="2" t="n">
        <x:v>1</x:v>
      </x:c>
      <x:c r="L791" s="2" t="n">
        <x:v>0</x:v>
      </x:c>
    </x:row>
    <x:row r="792" ht="20" customHeight="1">
      <x:c r="A792" s="9" t="n">
        <x:v>46309</x:v>
      </x:c>
      <x:c r="B792" s="2" t="str">
        <x:v>MM-1827</x:v>
      </x:c>
      <x:c r="C792" s="2" t="str">
        <x:v>Paid Social</x:v>
      </x:c>
      <x:c r="D792" s="2" t="str">
        <x:v>CUS-142</x:v>
      </x:c>
      <x:c r="E792" s="10" t="n">
        <x:v>54.95</x:v>
      </x:c>
      <x:c r="F792" s="10" t="n">
        <x:v>5.49</x:v>
      </x:c>
      <x:c r="G792" s="10" t="n">
        <x:v>0</x:v>
      </x:c>
      <x:c r="H792" s="10" t="n">
        <x:v>49.46</x:v>
      </x:c>
      <x:c r="I792" s="10" t="n">
        <x:v>22</x:v>
      </x:c>
      <x:c r="J792" s="10" t="n">
        <x:v>27.46</x:v>
      </x:c>
      <x:c r="K792" s="2" t="n">
        <x:v>1</x:v>
      </x:c>
      <x:c r="L792" s="2" t="n">
        <x:v>0</x:v>
      </x:c>
    </x:row>
    <x:row r="793" ht="20" customHeight="1">
      <x:c r="A793" s="9" t="n">
        <x:v>46309</x:v>
      </x:c>
      <x:c r="B793" s="2" t="str">
        <x:v>MM-1828</x:v>
      </x:c>
      <x:c r="C793" s="2" t="str">
        <x:v>Organic Search</x:v>
      </x:c>
      <x:c r="D793" s="2" t="str">
        <x:v>CUS-163</x:v>
      </x:c>
      <x:c r="E793" s="10" t="n">
        <x:v>37.9</x:v>
      </x:c>
      <x:c r="F793" s="10" t="n">
        <x:v>0</x:v>
      </x:c>
      <x:c r="G793" s="10" t="n">
        <x:v>18.95</x:v>
      </x:c>
      <x:c r="H793" s="10" t="n">
        <x:v>18.95</x:v>
      </x:c>
      <x:c r="I793" s="10" t="n">
        <x:v>6.5</x:v>
      </x:c>
      <x:c r="J793" s="10" t="n">
        <x:v>12.45</x:v>
      </x:c>
      <x:c r="K793" s="2" t="n">
        <x:v>2</x:v>
      </x:c>
      <x:c r="L793" s="2" t="n">
        <x:v>1</x:v>
      </x:c>
    </x:row>
    <x:row r="794" ht="20" customHeight="1">
      <x:c r="A794" s="9" t="n">
        <x:v>46309</x:v>
      </x:c>
      <x:c r="B794" s="2" t="str">
        <x:v>MM-1818</x:v>
      </x:c>
      <x:c r="C794" s="2" t="str">
        <x:v>Organic Search</x:v>
      </x:c>
      <x:c r="D794" s="2" t="str">
        <x:v>CUS-180</x:v>
      </x:c>
      <x:c r="E794" s="10" t="n">
        <x:v>79.95</x:v>
      </x:c>
      <x:c r="F794" s="10" t="n">
        <x:v>0</x:v>
      </x:c>
      <x:c r="G794" s="10" t="n">
        <x:v>0</x:v>
      </x:c>
      <x:c r="H794" s="10" t="n">
        <x:v>79.95</x:v>
      </x:c>
      <x:c r="I794" s="10" t="n">
        <x:v>32</x:v>
      </x:c>
      <x:c r="J794" s="10" t="n">
        <x:v>47.95</x:v>
      </x:c>
      <x:c r="K794" s="2" t="n">
        <x:v>1</x:v>
      </x:c>
      <x:c r="L794" s="2" t="n">
        <x:v>0</x:v>
      </x:c>
    </x:row>
    <x:row r="795" ht="20" customHeight="1">
      <x:c r="A795" s="9" t="n">
        <x:v>46309</x:v>
      </x:c>
      <x:c r="B795" s="2" t="str">
        <x:v>MM-1822</x:v>
      </x:c>
      <x:c r="C795" s="2" t="str">
        <x:v>Email</x:v>
      </x:c>
      <x:c r="D795" s="2" t="str">
        <x:v>CUS-041</x:v>
      </x:c>
      <x:c r="E795" s="10" t="n">
        <x:v>54.95</x:v>
      </x:c>
      <x:c r="F795" s="10" t="n">
        <x:v>5.49</x:v>
      </x:c>
      <x:c r="G795" s="10" t="n">
        <x:v>0</x:v>
      </x:c>
      <x:c r="H795" s="10" t="n">
        <x:v>49.46</x:v>
      </x:c>
      <x:c r="I795" s="10" t="n">
        <x:v>22</x:v>
      </x:c>
      <x:c r="J795" s="10" t="n">
        <x:v>27.46</x:v>
      </x:c>
      <x:c r="K795" s="2" t="n">
        <x:v>1</x:v>
      </x:c>
      <x:c r="L795" s="2" t="n">
        <x:v>0</x:v>
      </x:c>
    </x:row>
    <x:row r="796" ht="20" customHeight="1">
      <x:c r="A796" s="9" t="n">
        <x:v>46309</x:v>
      </x:c>
      <x:c r="B796" s="2" t="str">
        <x:v>MM-1819</x:v>
      </x:c>
      <x:c r="C796" s="2" t="str">
        <x:v>Paid Social</x:v>
      </x:c>
      <x:c r="D796" s="2" t="str">
        <x:v>CUS-171</x:v>
      </x:c>
      <x:c r="E796" s="10" t="n">
        <x:v>167.8</x:v>
      </x:c>
      <x:c r="F796" s="10" t="n">
        <x:v>5.78</x:v>
      </x:c>
      <x:c r="G796" s="10" t="n">
        <x:v>0</x:v>
      </x:c>
      <x:c r="H796" s="10" t="n">
        <x:v>162.02</x:v>
      </x:c>
      <x:c r="I796" s="10" t="n">
        <x:v>65</x:v>
      </x:c>
      <x:c r="J796" s="10" t="n">
        <x:v>97.02</x:v>
      </x:c>
      <x:c r="K796" s="2" t="n">
        <x:v>4</x:v>
      </x:c>
      <x:c r="L796" s="2" t="n">
        <x:v>0</x:v>
      </x:c>
    </x:row>
    <x:row r="797" ht="20" customHeight="1">
      <x:c r="A797" s="9" t="n">
        <x:v>46309</x:v>
      </x:c>
      <x:c r="B797" s="2" t="str">
        <x:v>MM-1820</x:v>
      </x:c>
      <x:c r="C797" s="2" t="str">
        <x:v>Email</x:v>
      </x:c>
      <x:c r="D797" s="2" t="str">
        <x:v>CUS-017</x:v>
      </x:c>
      <x:c r="E797" s="10" t="n">
        <x:v>42.9</x:v>
      </x:c>
      <x:c r="F797" s="10" t="n">
        <x:v>4.28</x:v>
      </x:c>
      <x:c r="G797" s="10" t="n">
        <x:v>0</x:v>
      </x:c>
      <x:c r="H797" s="10" t="n">
        <x:v>38.62</x:v>
      </x:c>
      <x:c r="I797" s="10" t="n">
        <x:v>13.5</x:v>
      </x:c>
      <x:c r="J797" s="10" t="n">
        <x:v>25.12</x:v>
      </x:c>
      <x:c r="K797" s="2" t="n">
        <x:v>2</x:v>
      </x:c>
      <x:c r="L797" s="2" t="n">
        <x:v>0</x:v>
      </x:c>
    </x:row>
    <x:row r="798" ht="20" customHeight="1">
      <x:c r="A798" s="9" t="n">
        <x:v>46309</x:v>
      </x:c>
      <x:c r="B798" s="2" t="str">
        <x:v>MM-1824</x:v>
      </x:c>
      <x:c r="C798" s="2" t="str">
        <x:v>Organic Search</x:v>
      </x:c>
      <x:c r="D798" s="2" t="str">
        <x:v>CUS-103</x:v>
      </x:c>
      <x:c r="E798" s="10" t="n">
        <x:v>120.75</x:v>
      </x:c>
      <x:c r="F798" s="10" t="n">
        <x:v>0</x:v>
      </x:c>
      <x:c r="G798" s="10" t="n">
        <x:v>0</x:v>
      </x:c>
      <x:c r="H798" s="10" t="n">
        <x:v>120.75</x:v>
      </x:c>
      <x:c r="I798" s="10" t="n">
        <x:v>44</x:v>
      </x:c>
      <x:c r="J798" s="10" t="n">
        <x:v>76.75</x:v>
      </x:c>
      <x:c r="K798" s="2" t="n">
        <x:v>5</x:v>
      </x:c>
      <x:c r="L798" s="2" t="n">
        <x:v>0</x:v>
      </x:c>
    </x:row>
    <x:row r="799" ht="20" customHeight="1">
      <x:c r="A799" s="9" t="n">
        <x:v>46309</x:v>
      </x:c>
      <x:c r="B799" s="2" t="str">
        <x:v>MM-1821</x:v>
      </x:c>
      <x:c r="C799" s="2" t="str">
        <x:v>Paid Social</x:v>
      </x:c>
      <x:c r="D799" s="2" t="str">
        <x:v>CUS-109</x:v>
      </x:c>
      <x:c r="E799" s="10" t="n">
        <x:v>18.95</x:v>
      </x:c>
      <x:c r="F799" s="10" t="n">
        <x:v>0</x:v>
      </x:c>
      <x:c r="G799" s="10" t="n">
        <x:v>0</x:v>
      </x:c>
      <x:c r="H799" s="10" t="n">
        <x:v>18.95</x:v>
      </x:c>
      <x:c r="I799" s="10" t="n">
        <x:v>6.5</x:v>
      </x:c>
      <x:c r="J799" s="10" t="n">
        <x:v>12.45</x:v>
      </x:c>
      <x:c r="K799" s="2" t="n">
        <x:v>1</x:v>
      </x:c>
      <x:c r="L799" s="2" t="n">
        <x:v>0</x:v>
      </x:c>
    </x:row>
    <x:row r="800" ht="20" customHeight="1">
      <x:c r="A800" s="9" t="n">
        <x:v>46309</x:v>
      </x:c>
      <x:c r="B800" s="2" t="str">
        <x:v>MM-1823</x:v>
      </x:c>
      <x:c r="C800" s="2" t="str">
        <x:v>Email</x:v>
      </x:c>
      <x:c r="D800" s="2" t="str">
        <x:v>CUS-073</x:v>
      </x:c>
      <x:c r="E800" s="10" t="n">
        <x:v>69.95</x:v>
      </x:c>
      <x:c r="F800" s="10" t="n">
        <x:v>6.99</x:v>
      </x:c>
      <x:c r="G800" s="10" t="n">
        <x:v>0</x:v>
      </x:c>
      <x:c r="H800" s="10" t="n">
        <x:v>62.96</x:v>
      </x:c>
      <x:c r="I800" s="10" t="n">
        <x:v>28</x:v>
      </x:c>
      <x:c r="J800" s="10" t="n">
        <x:v>34.96</x:v>
      </x:c>
      <x:c r="K800" s="2" t="n">
        <x:v>1</x:v>
      </x:c>
      <x:c r="L800" s="2" t="n">
        <x:v>0</x:v>
      </x:c>
    </x:row>
    <x:row r="801" ht="20" customHeight="1">
      <x:c r="A801" s="9" t="n">
        <x:v>46309</x:v>
      </x:c>
      <x:c r="B801" s="2" t="str">
        <x:v>MM-1825</x:v>
      </x:c>
      <x:c r="C801" s="2" t="str">
        <x:v>Direct</x:v>
      </x:c>
      <x:c r="D801" s="2" t="str">
        <x:v>CUS-022</x:v>
      </x:c>
      <x:c r="E801" s="10" t="n">
        <x:v>283.65</x:v>
      </x:c>
      <x:c r="F801" s="10" t="n">
        <x:v>7.99</x:v>
      </x:c>
      <x:c r="G801" s="10" t="n">
        <x:v>34.95</x:v>
      </x:c>
      <x:c r="H801" s="10" t="n">
        <x:v>240.71</x:v>
      </x:c>
      <x:c r="I801" s="10" t="n">
        <x:v>95</x:v>
      </x:c>
      <x:c r="J801" s="10" t="n">
        <x:v>145.71</x:v>
      </x:c>
      <x:c r="K801" s="2" t="n">
        <x:v>7</x:v>
      </x:c>
      <x:c r="L801" s="2" t="n">
        <x:v>1</x:v>
      </x:c>
    </x:row>
    <x:row r="802" ht="20" customHeight="1">
      <x:c r="A802" s="9" t="n">
        <x:v>46309</x:v>
      </x:c>
      <x:c r="B802" s="2" t="str">
        <x:v>MM-1826</x:v>
      </x:c>
      <x:c r="C802" s="2" t="str">
        <x:v>Email</x:v>
      </x:c>
      <x:c r="D802" s="2" t="str">
        <x:v>CUS-118</x:v>
      </x:c>
      <x:c r="E802" s="10" t="n">
        <x:v>62.85</x:v>
      </x:c>
      <x:c r="F802" s="10" t="n">
        <x:v>6.28</x:v>
      </x:c>
      <x:c r="G802" s="10" t="n">
        <x:v>0</x:v>
      </x:c>
      <x:c r="H802" s="10" t="n">
        <x:v>56.57</x:v>
      </x:c>
      <x:c r="I802" s="10" t="n">
        <x:v>20.5</x:v>
      </x:c>
      <x:c r="J802" s="10" t="n">
        <x:v>36.07</x:v>
      </x:c>
      <x:c r="K802" s="2" t="n">
        <x:v>3</x:v>
      </x:c>
      <x:c r="L802" s="2" t="n">
        <x:v>0</x:v>
      </x:c>
    </x:row>
    <x:row r="803" ht="20" customHeight="1">
      <x:c r="A803" s="9" t="n">
        <x:v>46309</x:v>
      </x:c>
      <x:c r="B803" s="2" t="str">
        <x:v>MM-1832</x:v>
      </x:c>
      <x:c r="C803" s="2" t="str">
        <x:v>Paid Social</x:v>
      </x:c>
      <x:c r="D803" s="2" t="str">
        <x:v>CUS-074</x:v>
      </x:c>
      <x:c r="E803" s="10" t="n">
        <x:v>34.95</x:v>
      </x:c>
      <x:c r="F803" s="10" t="n">
        <x:v>3.49</x:v>
      </x:c>
      <x:c r="G803" s="10" t="n">
        <x:v>0</x:v>
      </x:c>
      <x:c r="H803" s="10" t="n">
        <x:v>31.46</x:v>
      </x:c>
      <x:c r="I803" s="10" t="n">
        <x:v>13.5</x:v>
      </x:c>
      <x:c r="J803" s="10" t="n">
        <x:v>17.96</x:v>
      </x:c>
      <x:c r="K803" s="2" t="n">
        <x:v>1</x:v>
      </x:c>
      <x:c r="L803" s="2" t="n">
        <x:v>0</x:v>
      </x:c>
    </x:row>
    <x:row r="804" ht="20" customHeight="1">
      <x:c r="A804" s="9" t="n">
        <x:v>46309</x:v>
      </x:c>
      <x:c r="B804" s="2" t="str">
        <x:v>MM-1833</x:v>
      </x:c>
      <x:c r="C804" s="2" t="str">
        <x:v>Direct</x:v>
      </x:c>
      <x:c r="D804" s="2" t="str">
        <x:v>CUS-018</x:v>
      </x:c>
      <x:c r="E804" s="10" t="n">
        <x:v>77.85</x:v>
      </x:c>
      <x:c r="F804" s="10" t="n">
        <x:v>2.49</x:v>
      </x:c>
      <x:c r="G804" s="10" t="n">
        <x:v>0</x:v>
      </x:c>
      <x:c r="H804" s="10" t="n">
        <x:v>75.36</x:v>
      </x:c>
      <x:c r="I804" s="10" t="n">
        <x:v>27.5</x:v>
      </x:c>
      <x:c r="J804" s="10" t="n">
        <x:v>47.86</x:v>
      </x:c>
      <x:c r="K804" s="2" t="n">
        <x:v>3</x:v>
      </x:c>
      <x:c r="L804" s="2" t="n">
        <x:v>0</x:v>
      </x:c>
    </x:row>
    <x:row r="805" ht="20" customHeight="1">
      <x:c r="A805" s="9" t="n">
        <x:v>46310</x:v>
      </x:c>
      <x:c r="B805" s="2" t="str">
        <x:v>MM-1841</x:v>
      </x:c>
      <x:c r="C805" s="2" t="str">
        <x:v>Paid Social</x:v>
      </x:c>
      <x:c r="D805" s="2" t="str">
        <x:v>CUS-077</x:v>
      </x:c>
      <x:c r="E805" s="10" t="n">
        <x:v>18.95</x:v>
      </x:c>
      <x:c r="F805" s="10" t="n">
        <x:v>0</x:v>
      </x:c>
      <x:c r="G805" s="10" t="n">
        <x:v>0</x:v>
      </x:c>
      <x:c r="H805" s="10" t="n">
        <x:v>18.95</x:v>
      </x:c>
      <x:c r="I805" s="10" t="n">
        <x:v>6.5</x:v>
      </x:c>
      <x:c r="J805" s="10" t="n">
        <x:v>12.45</x:v>
      </x:c>
      <x:c r="K805" s="2" t="n">
        <x:v>1</x:v>
      </x:c>
      <x:c r="L805" s="2" t="n">
        <x:v>0</x:v>
      </x:c>
    </x:row>
    <x:row r="806" ht="20" customHeight="1">
      <x:c r="A806" s="9" t="n">
        <x:v>46310</x:v>
      </x:c>
      <x:c r="B806" s="2" t="str">
        <x:v>MM-1843</x:v>
      </x:c>
      <x:c r="C806" s="2" t="str">
        <x:v>Organic Search</x:v>
      </x:c>
      <x:c r="D806" s="2" t="str">
        <x:v>CUS-006</x:v>
      </x:c>
      <x:c r="E806" s="10" t="n">
        <x:v>32.95</x:v>
      </x:c>
      <x:c r="F806" s="10" t="n">
        <x:v>0</x:v>
      </x:c>
      <x:c r="G806" s="10" t="n">
        <x:v>0</x:v>
      </x:c>
      <x:c r="H806" s="10" t="n">
        <x:v>32.95</x:v>
      </x:c>
      <x:c r="I806" s="10" t="n">
        <x:v>12</x:v>
      </x:c>
      <x:c r="J806" s="10" t="n">
        <x:v>20.95</x:v>
      </x:c>
      <x:c r="K806" s="2" t="n">
        <x:v>1</x:v>
      </x:c>
      <x:c r="L806" s="2" t="n">
        <x:v>0</x:v>
      </x:c>
    </x:row>
    <x:row r="807" ht="20" customHeight="1">
      <x:c r="A807" s="9" t="n">
        <x:v>46310</x:v>
      </x:c>
      <x:c r="B807" s="2" t="str">
        <x:v>MM-1839</x:v>
      </x:c>
      <x:c r="C807" s="2" t="str">
        <x:v>Paid Social</x:v>
      </x:c>
      <x:c r="D807" s="2" t="str">
        <x:v>CUS-135</x:v>
      </x:c>
      <x:c r="E807" s="10" t="n">
        <x:v>18.95</x:v>
      </x:c>
      <x:c r="F807" s="10" t="n">
        <x:v>0</x:v>
      </x:c>
      <x:c r="G807" s="10" t="n">
        <x:v>0</x:v>
      </x:c>
      <x:c r="H807" s="10" t="n">
        <x:v>18.95</x:v>
      </x:c>
      <x:c r="I807" s="10" t="n">
        <x:v>6.5</x:v>
      </x:c>
      <x:c r="J807" s="10" t="n">
        <x:v>12.45</x:v>
      </x:c>
      <x:c r="K807" s="2" t="n">
        <x:v>1</x:v>
      </x:c>
      <x:c r="L807" s="2" t="n">
        <x:v>0</x:v>
      </x:c>
    </x:row>
    <x:row r="808" ht="20" customHeight="1">
      <x:c r="A808" s="9" t="n">
        <x:v>46310</x:v>
      </x:c>
      <x:c r="B808" s="2" t="str">
        <x:v>MM-1842</x:v>
      </x:c>
      <x:c r="C808" s="2" t="str">
        <x:v>Organic Search</x:v>
      </x:c>
      <x:c r="D808" s="2" t="str">
        <x:v>CUS-080</x:v>
      </x:c>
      <x:c r="E808" s="10" t="n">
        <x:v>187.75</x:v>
      </x:c>
      <x:c r="F808" s="10" t="n">
        <x:v>7.99</x:v>
      </x:c>
      <x:c r="G808" s="10" t="n">
        <x:v>0</x:v>
      </x:c>
      <x:c r="H808" s="10" t="n">
        <x:v>179.76</x:v>
      </x:c>
      <x:c r="I808" s="10" t="n">
        <x:v>71</x:v>
      </x:c>
      <x:c r="J808" s="10" t="n">
        <x:v>108.76</x:v>
      </x:c>
      <x:c r="K808" s="2" t="n">
        <x:v>5</x:v>
      </x:c>
      <x:c r="L808" s="2" t="n">
        <x:v>0</x:v>
      </x:c>
    </x:row>
    <x:row r="809" ht="20" customHeight="1">
      <x:c r="A809" s="9" t="n">
        <x:v>46310</x:v>
      </x:c>
      <x:c r="B809" s="2" t="str">
        <x:v>MM-1848</x:v>
      </x:c>
      <x:c r="C809" s="2" t="str">
        <x:v>Direct</x:v>
      </x:c>
      <x:c r="D809" s="2" t="str">
        <x:v>CUS-151</x:v>
      </x:c>
      <x:c r="E809" s="10" t="n">
        <x:v>37.9</x:v>
      </x:c>
      <x:c r="F809" s="10" t="n">
        <x:v>0</x:v>
      </x:c>
      <x:c r="G809" s="10" t="n">
        <x:v>0</x:v>
      </x:c>
      <x:c r="H809" s="10" t="n">
        <x:v>37.9</x:v>
      </x:c>
      <x:c r="I809" s="10" t="n">
        <x:v>12.5</x:v>
      </x:c>
      <x:c r="J809" s="10" t="n">
        <x:v>25.4</x:v>
      </x:c>
      <x:c r="K809" s="2" t="n">
        <x:v>2</x:v>
      </x:c>
      <x:c r="L809" s="2" t="n">
        <x:v>0</x:v>
      </x:c>
    </x:row>
    <x:row r="810" ht="20" customHeight="1">
      <x:c r="A810" s="9" t="n">
        <x:v>46310</x:v>
      </x:c>
      <x:c r="B810" s="2" t="str">
        <x:v>MM-1840</x:v>
      </x:c>
      <x:c r="C810" s="2" t="str">
        <x:v>Email</x:v>
      </x:c>
      <x:c r="D810" s="2" t="str">
        <x:v>CUS-091</x:v>
      </x:c>
      <x:c r="E810" s="10" t="n">
        <x:v>54.95</x:v>
      </x:c>
      <x:c r="F810" s="10" t="n">
        <x:v>5.49</x:v>
      </x:c>
      <x:c r="G810" s="10" t="n">
        <x:v>0</x:v>
      </x:c>
      <x:c r="H810" s="10" t="n">
        <x:v>49.46</x:v>
      </x:c>
      <x:c r="I810" s="10" t="n">
        <x:v>22</x:v>
      </x:c>
      <x:c r="J810" s="10" t="n">
        <x:v>27.46</x:v>
      </x:c>
      <x:c r="K810" s="2" t="n">
        <x:v>1</x:v>
      </x:c>
      <x:c r="L810" s="2" t="n">
        <x:v>0</x:v>
      </x:c>
    </x:row>
    <x:row r="811" ht="20" customHeight="1">
      <x:c r="A811" s="9" t="n">
        <x:v>46310</x:v>
      </x:c>
      <x:c r="B811" s="2" t="str">
        <x:v>MM-1845</x:v>
      </x:c>
      <x:c r="C811" s="2" t="str">
        <x:v>Paid Social</x:v>
      </x:c>
      <x:c r="D811" s="2" t="str">
        <x:v>CUS-053</x:v>
      </x:c>
      <x:c r="E811" s="10" t="n">
        <x:v>79.85</x:v>
      </x:c>
      <x:c r="F811" s="10" t="n">
        <x:v>4.99</x:v>
      </x:c>
      <x:c r="G811" s="10" t="n">
        <x:v>0</x:v>
      </x:c>
      <x:c r="H811" s="10" t="n">
        <x:v>74.86</x:v>
      </x:c>
      <x:c r="I811" s="10" t="n">
        <x:v>27</x:v>
      </x:c>
      <x:c r="J811" s="10" t="n">
        <x:v>47.86</x:v>
      </x:c>
      <x:c r="K811" s="2" t="n">
        <x:v>3</x:v>
      </x:c>
      <x:c r="L811" s="2" t="n">
        <x:v>0</x:v>
      </x:c>
    </x:row>
    <x:row r="812" ht="20" customHeight="1">
      <x:c r="A812" s="9" t="n">
        <x:v>46310</x:v>
      </x:c>
      <x:c r="B812" s="2" t="str">
        <x:v>MM-1835</x:v>
      </x:c>
      <x:c r="C812" s="2" t="str">
        <x:v>Email</x:v>
      </x:c>
      <x:c r="D812" s="2" t="str">
        <x:v>CUS-103</x:v>
      </x:c>
      <x:c r="E812" s="10" t="n">
        <x:v>22.95</x:v>
      </x:c>
      <x:c r="F812" s="10" t="n">
        <x:v>2.29</x:v>
      </x:c>
      <x:c r="G812" s="10" t="n">
        <x:v>0</x:v>
      </x:c>
      <x:c r="H812" s="10" t="n">
        <x:v>20.66</x:v>
      </x:c>
      <x:c r="I812" s="10" t="n">
        <x:v>8.5</x:v>
      </x:c>
      <x:c r="J812" s="10" t="n">
        <x:v>12.16</x:v>
      </x:c>
      <x:c r="K812" s="2" t="n">
        <x:v>1</x:v>
      </x:c>
      <x:c r="L812" s="2" t="n">
        <x:v>0</x:v>
      </x:c>
    </x:row>
    <x:row r="813" ht="20" customHeight="1">
      <x:c r="A813" s="9" t="n">
        <x:v>46310</x:v>
      </x:c>
      <x:c r="B813" s="2" t="str">
        <x:v>MM-1836</x:v>
      </x:c>
      <x:c r="C813" s="2" t="str">
        <x:v>Email</x:v>
      </x:c>
      <x:c r="D813" s="2" t="str">
        <x:v>CUS-057</x:v>
      </x:c>
      <x:c r="E813" s="10" t="n">
        <x:v>99.85</x:v>
      </x:c>
      <x:c r="F813" s="10" t="n">
        <x:v>9.98</x:v>
      </x:c>
      <x:c r="G813" s="10" t="n">
        <x:v>0</x:v>
      </x:c>
      <x:c r="H813" s="10" t="n">
        <x:v>89.87</x:v>
      </x:c>
      <x:c r="I813" s="10" t="n">
        <x:v>37</x:v>
      </x:c>
      <x:c r="J813" s="10" t="n">
        <x:v>52.87</x:v>
      </x:c>
      <x:c r="K813" s="2" t="n">
        <x:v>3</x:v>
      </x:c>
      <x:c r="L813" s="2" t="n">
        <x:v>0</x:v>
      </x:c>
    </x:row>
    <x:row r="814" ht="20" customHeight="1">
      <x:c r="A814" s="9" t="n">
        <x:v>46310</x:v>
      </x:c>
      <x:c r="B814" s="2" t="str">
        <x:v>MM-1847</x:v>
      </x:c>
      <x:c r="C814" s="2" t="str">
        <x:v>Organic Search</x:v>
      </x:c>
      <x:c r="D814" s="2" t="str">
        <x:v>CUS-155</x:v>
      </x:c>
      <x:c r="E814" s="10" t="n">
        <x:v>54.95</x:v>
      </x:c>
      <x:c r="F814" s="10" t="n">
        <x:v>0</x:v>
      </x:c>
      <x:c r="G814" s="10" t="n">
        <x:v>0</x:v>
      </x:c>
      <x:c r="H814" s="10" t="n">
        <x:v>54.95</x:v>
      </x:c>
      <x:c r="I814" s="10" t="n">
        <x:v>22</x:v>
      </x:c>
      <x:c r="J814" s="10" t="n">
        <x:v>32.95</x:v>
      </x:c>
      <x:c r="K814" s="2" t="n">
        <x:v>1</x:v>
      </x:c>
      <x:c r="L814" s="2" t="n">
        <x:v>0</x:v>
      </x:c>
    </x:row>
    <x:row r="815" ht="20" customHeight="1">
      <x:c r="A815" s="9" t="n">
        <x:v>46310</x:v>
      </x:c>
      <x:c r="B815" s="2" t="str">
        <x:v>MM-1850</x:v>
      </x:c>
      <x:c r="C815" s="2" t="str">
        <x:v>Direct</x:v>
      </x:c>
      <x:c r="D815" s="2" t="str">
        <x:v>CUS-027</x:v>
      </x:c>
      <x:c r="E815" s="10" t="n">
        <x:v>94.9</x:v>
      </x:c>
      <x:c r="F815" s="10" t="n">
        <x:v>0</x:v>
      </x:c>
      <x:c r="G815" s="10" t="n">
        <x:v>0</x:v>
      </x:c>
      <x:c r="H815" s="10" t="n">
        <x:v>94.9</x:v>
      </x:c>
      <x:c r="I815" s="10" t="n">
        <x:v>37</x:v>
      </x:c>
      <x:c r="J815" s="10" t="n">
        <x:v>57.9</x:v>
      </x:c>
      <x:c r="K815" s="2" t="n">
        <x:v>2</x:v>
      </x:c>
      <x:c r="L815" s="2" t="n">
        <x:v>0</x:v>
      </x:c>
    </x:row>
    <x:row r="816" ht="20" customHeight="1">
      <x:c r="A816" s="9" t="n">
        <x:v>46310</x:v>
      </x:c>
      <x:c r="B816" s="2" t="str">
        <x:v>MM-1853</x:v>
      </x:c>
      <x:c r="C816" s="2" t="str">
        <x:v>Direct</x:v>
      </x:c>
      <x:c r="D816" s="2" t="str">
        <x:v>CUS-117</x:v>
      </x:c>
      <x:c r="E816" s="10" t="n">
        <x:v>143.7</x:v>
      </x:c>
      <x:c r="F816" s="10" t="n">
        <x:v>0</x:v>
      </x:c>
      <x:c r="G816" s="10" t="n">
        <x:v>0</x:v>
      </x:c>
      <x:c r="H816" s="10" t="n">
        <x:v>143.7</x:v>
      </x:c>
      <x:c r="I816" s="10" t="n">
        <x:v>49.5</x:v>
      </x:c>
      <x:c r="J816" s="10" t="n">
        <x:v>94.2</x:v>
      </x:c>
      <x:c r="K816" s="2" t="n">
        <x:v>6</x:v>
      </x:c>
      <x:c r="L816" s="2" t="n">
        <x:v>0</x:v>
      </x:c>
    </x:row>
    <x:row r="817" ht="20" customHeight="1">
      <x:c r="A817" s="9" t="n">
        <x:v>46310</x:v>
      </x:c>
      <x:c r="B817" s="2" t="str">
        <x:v>MM-1846</x:v>
      </x:c>
      <x:c r="C817" s="2" t="str">
        <x:v>Organic Search</x:v>
      </x:c>
      <x:c r="D817" s="2" t="str">
        <x:v>CUS-121</x:v>
      </x:c>
      <x:c r="E817" s="10" t="n">
        <x:v>129.85</x:v>
      </x:c>
      <x:c r="F817" s="10" t="n">
        <x:v>5.99</x:v>
      </x:c>
      <x:c r="G817" s="10" t="n">
        <x:v>0</x:v>
      </x:c>
      <x:c r="H817" s="10" t="n">
        <x:v>123.86</x:v>
      </x:c>
      <x:c r="I817" s="10" t="n">
        <x:v>51</x:v>
      </x:c>
      <x:c r="J817" s="10" t="n">
        <x:v>72.86</x:v>
      </x:c>
      <x:c r="K817" s="2" t="n">
        <x:v>3</x:v>
      </x:c>
      <x:c r="L817" s="2" t="n">
        <x:v>0</x:v>
      </x:c>
    </x:row>
    <x:row r="818" ht="20" customHeight="1">
      <x:c r="A818" s="9" t="n">
        <x:v>46310</x:v>
      </x:c>
      <x:c r="B818" s="2" t="str">
        <x:v>MM-1849</x:v>
      </x:c>
      <x:c r="C818" s="2" t="str">
        <x:v>Email</x:v>
      </x:c>
      <x:c r="D818" s="2" t="str">
        <x:v>CUS-014</x:v>
      </x:c>
      <x:c r="E818" s="10" t="n">
        <x:v>78.8</x:v>
      </x:c>
      <x:c r="F818" s="10" t="n">
        <x:v>7.87</x:v>
      </x:c>
      <x:c r="G818" s="10" t="n">
        <x:v>0</x:v>
      </x:c>
      <x:c r="H818" s="10" t="n">
        <x:v>70.93</x:v>
      </x:c>
      <x:c r="I818" s="10" t="n">
        <x:v>24.5</x:v>
      </x:c>
      <x:c r="J818" s="10" t="n">
        <x:v>46.43</x:v>
      </x:c>
      <x:c r="K818" s="2" t="n">
        <x:v>4</x:v>
      </x:c>
      <x:c r="L818" s="2" t="n">
        <x:v>0</x:v>
      </x:c>
    </x:row>
    <x:row r="819" ht="20" customHeight="1">
      <x:c r="A819" s="9" t="n">
        <x:v>46310</x:v>
      </x:c>
      <x:c r="B819" s="2" t="str">
        <x:v>MM-1844</x:v>
      </x:c>
      <x:c r="C819" s="2" t="str">
        <x:v>Organic Search</x:v>
      </x:c>
      <x:c r="D819" s="2" t="str">
        <x:v>CUS-066</x:v>
      </x:c>
      <x:c r="E819" s="10" t="n">
        <x:v>34.95</x:v>
      </x:c>
      <x:c r="F819" s="10" t="n">
        <x:v>0</x:v>
      </x:c>
      <x:c r="G819" s="10" t="n">
        <x:v>0</x:v>
      </x:c>
      <x:c r="H819" s="10" t="n">
        <x:v>34.95</x:v>
      </x:c>
      <x:c r="I819" s="10" t="n">
        <x:v>13.5</x:v>
      </x:c>
      <x:c r="J819" s="10" t="n">
        <x:v>21.45</x:v>
      </x:c>
      <x:c r="K819" s="2" t="n">
        <x:v>1</x:v>
      </x:c>
      <x:c r="L819" s="2" t="n">
        <x:v>0</x:v>
      </x:c>
    </x:row>
    <x:row r="820" ht="20" customHeight="1">
      <x:c r="A820" s="9" t="n">
        <x:v>46310</x:v>
      </x:c>
      <x:c r="B820" s="2" t="str">
        <x:v>MM-1837</x:v>
      </x:c>
      <x:c r="C820" s="2" t="str">
        <x:v>Paid Social</x:v>
      </x:c>
      <x:c r="D820" s="2" t="str">
        <x:v>CUS-118</x:v>
      </x:c>
      <x:c r="E820" s="10" t="n">
        <x:v>54.95</x:v>
      </x:c>
      <x:c r="F820" s="10" t="n">
        <x:v>5.49</x:v>
      </x:c>
      <x:c r="G820" s="10" t="n">
        <x:v>0</x:v>
      </x:c>
      <x:c r="H820" s="10" t="n">
        <x:v>49.46</x:v>
      </x:c>
      <x:c r="I820" s="10" t="n">
        <x:v>22</x:v>
      </x:c>
      <x:c r="J820" s="10" t="n">
        <x:v>27.46</x:v>
      </x:c>
      <x:c r="K820" s="2" t="n">
        <x:v>1</x:v>
      </x:c>
      <x:c r="L820" s="2" t="n">
        <x:v>0</x:v>
      </x:c>
    </x:row>
    <x:row r="821" ht="20" customHeight="1">
      <x:c r="A821" s="9" t="n">
        <x:v>46310</x:v>
      </x:c>
      <x:c r="B821" s="2" t="str">
        <x:v>MM-1838</x:v>
      </x:c>
      <x:c r="C821" s="2" t="str">
        <x:v>Organic Search</x:v>
      </x:c>
      <x:c r="D821" s="2" t="str">
        <x:v>CUS-130</x:v>
      </x:c>
      <x:c r="E821" s="10" t="n">
        <x:v>19.95</x:v>
      </x:c>
      <x:c r="F821" s="10" t="n">
        <x:v>0</x:v>
      </x:c>
      <x:c r="G821" s="10" t="n">
        <x:v>0</x:v>
      </x:c>
      <x:c r="H821" s="10" t="n">
        <x:v>19.95</x:v>
      </x:c>
      <x:c r="I821" s="10" t="n">
        <x:v>6</x:v>
      </x:c>
      <x:c r="J821" s="10" t="n">
        <x:v>13.95</x:v>
      </x:c>
      <x:c r="K821" s="2" t="n">
        <x:v>1</x:v>
      </x:c>
      <x:c r="L821" s="2" t="n">
        <x:v>0</x:v>
      </x:c>
    </x:row>
    <x:row r="822" ht="20" customHeight="1">
      <x:c r="A822" s="9" t="n">
        <x:v>46310</x:v>
      </x:c>
      <x:c r="B822" s="2" t="str">
        <x:v>MM-1852</x:v>
      </x:c>
      <x:c r="C822" s="2" t="str">
        <x:v>Organic Search</x:v>
      </x:c>
      <x:c r="D822" s="2" t="str">
        <x:v>CUS-082</x:v>
      </x:c>
      <x:c r="E822" s="10" t="n">
        <x:v>82.85</x:v>
      </x:c>
      <x:c r="F822" s="10" t="n">
        <x:v>0</x:v>
      </x:c>
      <x:c r="G822" s="10" t="n">
        <x:v>0</x:v>
      </x:c>
      <x:c r="H822" s="10" t="n">
        <x:v>82.85</x:v>
      </x:c>
      <x:c r="I822" s="10" t="n">
        <x:v>30</x:v>
      </x:c>
      <x:c r="J822" s="10" t="n">
        <x:v>52.85</x:v>
      </x:c>
      <x:c r="K822" s="2" t="n">
        <x:v>3</x:v>
      </x:c>
      <x:c r="L822" s="2" t="n">
        <x:v>0</x:v>
      </x:c>
    </x:row>
    <x:row r="823" ht="20" customHeight="1">
      <x:c r="A823" s="9" t="n">
        <x:v>46311</x:v>
      </x:c>
      <x:c r="B823" s="2" t="str">
        <x:v>MM-1858</x:v>
      </x:c>
      <x:c r="C823" s="2" t="str">
        <x:v>Paid Social</x:v>
      </x:c>
      <x:c r="D823" s="2" t="str">
        <x:v>CUS-096</x:v>
      </x:c>
      <x:c r="E823" s="10" t="n">
        <x:v>57.9</x:v>
      </x:c>
      <x:c r="F823" s="10" t="n">
        <x:v>0</x:v>
      </x:c>
      <x:c r="G823" s="10" t="n">
        <x:v>0</x:v>
      </x:c>
      <x:c r="H823" s="10" t="n">
        <x:v>57.9</x:v>
      </x:c>
      <x:c r="I823" s="10" t="n">
        <x:v>20.5</x:v>
      </x:c>
      <x:c r="J823" s="10" t="n">
        <x:v>37.4</x:v>
      </x:c>
      <x:c r="K823" s="2" t="n">
        <x:v>2</x:v>
      </x:c>
      <x:c r="L823" s="2" t="n">
        <x:v>0</x:v>
      </x:c>
    </x:row>
    <x:row r="824" ht="20" customHeight="1">
      <x:c r="A824" s="9" t="n">
        <x:v>46311</x:v>
      </x:c>
      <x:c r="B824" s="2" t="str">
        <x:v>MM-1873</x:v>
      </x:c>
      <x:c r="C824" s="2" t="str">
        <x:v>Organic Search</x:v>
      </x:c>
      <x:c r="D824" s="2" t="str">
        <x:v>CUS-089</x:v>
      </x:c>
      <x:c r="E824" s="10" t="n">
        <x:v>104.9</x:v>
      </x:c>
      <x:c r="F824" s="10" t="n">
        <x:v>2.49</x:v>
      </x:c>
      <x:c r="G824" s="10" t="n">
        <x:v>0</x:v>
      </x:c>
      <x:c r="H824" s="10" t="n">
        <x:v>102.41</x:v>
      </x:c>
      <x:c r="I824" s="10" t="n">
        <x:v>41</x:v>
      </x:c>
      <x:c r="J824" s="10" t="n">
        <x:v>61.41</x:v>
      </x:c>
      <x:c r="K824" s="2" t="n">
        <x:v>2</x:v>
      </x:c>
      <x:c r="L824" s="2" t="n">
        <x:v>0</x:v>
      </x:c>
    </x:row>
    <x:row r="825" ht="20" customHeight="1">
      <x:c r="A825" s="9" t="n">
        <x:v>46311</x:v>
      </x:c>
      <x:c r="B825" s="2" t="str">
        <x:v>MM-1862</x:v>
      </x:c>
      <x:c r="C825" s="2" t="str">
        <x:v>Organic Search</x:v>
      </x:c>
      <x:c r="D825" s="2" t="str">
        <x:v>CUS-110</x:v>
      </x:c>
      <x:c r="E825" s="10" t="n">
        <x:v>22.95</x:v>
      </x:c>
      <x:c r="F825" s="10" t="n">
        <x:v>0</x:v>
      </x:c>
      <x:c r="G825" s="10" t="n">
        <x:v>0</x:v>
      </x:c>
      <x:c r="H825" s="10" t="n">
        <x:v>22.95</x:v>
      </x:c>
      <x:c r="I825" s="10" t="n">
        <x:v>8.5</x:v>
      </x:c>
      <x:c r="J825" s="10" t="n">
        <x:v>14.45</x:v>
      </x:c>
      <x:c r="K825" s="2" t="n">
        <x:v>1</x:v>
      </x:c>
      <x:c r="L825" s="2" t="n">
        <x:v>0</x:v>
      </x:c>
    </x:row>
    <x:row r="826" ht="20" customHeight="1">
      <x:c r="A826" s="9" t="n">
        <x:v>46311</x:v>
      </x:c>
      <x:c r="B826" s="2" t="str">
        <x:v>MM-1865</x:v>
      </x:c>
      <x:c r="C826" s="2" t="str">
        <x:v>Organic Search</x:v>
      </x:c>
      <x:c r="D826" s="2" t="str">
        <x:v>CUS-105</x:v>
      </x:c>
      <x:c r="E826" s="10" t="n">
        <x:v>24.95</x:v>
      </x:c>
      <x:c r="F826" s="10" t="n">
        <x:v>0</x:v>
      </x:c>
      <x:c r="G826" s="10" t="n">
        <x:v>0</x:v>
      </x:c>
      <x:c r="H826" s="10" t="n">
        <x:v>24.95</x:v>
      </x:c>
      <x:c r="I826" s="10" t="n">
        <x:v>9</x:v>
      </x:c>
      <x:c r="J826" s="10" t="n">
        <x:v>15.95</x:v>
      </x:c>
      <x:c r="K826" s="2" t="n">
        <x:v>1</x:v>
      </x:c>
      <x:c r="L826" s="2" t="n">
        <x:v>0</x:v>
      </x:c>
    </x:row>
    <x:row r="827" ht="20" customHeight="1">
      <x:c r="A827" s="9" t="n">
        <x:v>46311</x:v>
      </x:c>
      <x:c r="B827" s="2" t="str">
        <x:v>MM-1856</x:v>
      </x:c>
      <x:c r="C827" s="2" t="str">
        <x:v>Paid Social</x:v>
      </x:c>
      <x:c r="D827" s="2" t="str">
        <x:v>CUS-165</x:v>
      </x:c>
      <x:c r="E827" s="10" t="n">
        <x:v>59.95</x:v>
      </x:c>
      <x:c r="F827" s="10" t="n">
        <x:v>5.99</x:v>
      </x:c>
      <x:c r="G827" s="10" t="n">
        <x:v>0</x:v>
      </x:c>
      <x:c r="H827" s="10" t="n">
        <x:v>53.96</x:v>
      </x:c>
      <x:c r="I827" s="10" t="n">
        <x:v>24</x:v>
      </x:c>
      <x:c r="J827" s="10" t="n">
        <x:v>29.96</x:v>
      </x:c>
      <x:c r="K827" s="2" t="n">
        <x:v>1</x:v>
      </x:c>
      <x:c r="L827" s="2" t="n">
        <x:v>0</x:v>
      </x:c>
    </x:row>
    <x:row r="828" ht="20" customHeight="1">
      <x:c r="A828" s="9" t="n">
        <x:v>46311</x:v>
      </x:c>
      <x:c r="B828" s="2" t="str">
        <x:v>MM-1855</x:v>
      </x:c>
      <x:c r="C828" s="2" t="str">
        <x:v>Email</x:v>
      </x:c>
      <x:c r="D828" s="2" t="str">
        <x:v>CUS-102</x:v>
      </x:c>
      <x:c r="E828" s="10" t="n">
        <x:v>73.9</x:v>
      </x:c>
      <x:c r="F828" s="10" t="n">
        <x:v>7.38</x:v>
      </x:c>
      <x:c r="G828" s="10" t="n">
        <x:v>0</x:v>
      </x:c>
      <x:c r="H828" s="10" t="n">
        <x:v>66.52</x:v>
      </x:c>
      <x:c r="I828" s="10" t="n">
        <x:v>28.5</x:v>
      </x:c>
      <x:c r="J828" s="10" t="n">
        <x:v>38.02</x:v>
      </x:c>
      <x:c r="K828" s="2" t="n">
        <x:v>2</x:v>
      </x:c>
      <x:c r="L828" s="2" t="n">
        <x:v>0</x:v>
      </x:c>
    </x:row>
    <x:row r="829" ht="20" customHeight="1">
      <x:c r="A829" s="9" t="n">
        <x:v>46311</x:v>
      </x:c>
      <x:c r="B829" s="2" t="str">
        <x:v>MM-1863</x:v>
      </x:c>
      <x:c r="C829" s="2" t="str">
        <x:v>Email</x:v>
      </x:c>
      <x:c r="D829" s="2" t="str">
        <x:v>CUS-050</x:v>
      </x:c>
      <x:c r="E829" s="10" t="n">
        <x:v>67.85</x:v>
      </x:c>
      <x:c r="F829" s="10" t="n">
        <x:v>6.77</x:v>
      </x:c>
      <x:c r="G829" s="10" t="n">
        <x:v>0</x:v>
      </x:c>
      <x:c r="H829" s="10" t="n">
        <x:v>61.08</x:v>
      </x:c>
      <x:c r="I829" s="10" t="n">
        <x:v>23</x:v>
      </x:c>
      <x:c r="J829" s="10" t="n">
        <x:v>38.08</x:v>
      </x:c>
      <x:c r="K829" s="2" t="n">
        <x:v>3</x:v>
      </x:c>
      <x:c r="L829" s="2" t="n">
        <x:v>0</x:v>
      </x:c>
    </x:row>
    <x:row r="830" ht="20" customHeight="1">
      <x:c r="A830" s="9" t="n">
        <x:v>46311</x:v>
      </x:c>
      <x:c r="B830" s="2" t="str">
        <x:v>MM-1870</x:v>
      </x:c>
      <x:c r="C830" s="2" t="str">
        <x:v>Paid Social</x:v>
      </x:c>
      <x:c r="D830" s="2" t="str">
        <x:v>CUS-085</x:v>
      </x:c>
      <x:c r="E830" s="10" t="n">
        <x:v>49.9</x:v>
      </x:c>
      <x:c r="F830" s="10" t="n">
        <x:v>0</x:v>
      </x:c>
      <x:c r="G830" s="10" t="n">
        <x:v>0</x:v>
      </x:c>
      <x:c r="H830" s="10" t="n">
        <x:v>49.9</x:v>
      </x:c>
      <x:c r="I830" s="10" t="n">
        <x:v>18</x:v>
      </x:c>
      <x:c r="J830" s="10" t="n">
        <x:v>31.9</x:v>
      </x:c>
      <x:c r="K830" s="2" t="n">
        <x:v>2</x:v>
      </x:c>
      <x:c r="L830" s="2" t="n">
        <x:v>0</x:v>
      </x:c>
    </x:row>
    <x:row r="831" ht="20" customHeight="1">
      <x:c r="A831" s="9" t="n">
        <x:v>46311</x:v>
      </x:c>
      <x:c r="B831" s="2" t="str">
        <x:v>MM-1857</x:v>
      </x:c>
      <x:c r="C831" s="2" t="str">
        <x:v>Paid Social</x:v>
      </x:c>
      <x:c r="D831" s="2" t="str">
        <x:v>CUS-059</x:v>
      </x:c>
      <x:c r="E831" s="10" t="n">
        <x:v>44.9</x:v>
      </x:c>
      <x:c r="F831" s="10" t="n">
        <x:v>0</x:v>
      </x:c>
      <x:c r="G831" s="10" t="n">
        <x:v>0</x:v>
      </x:c>
      <x:c r="H831" s="10" t="n">
        <x:v>44.9</x:v>
      </x:c>
      <x:c r="I831" s="10" t="n">
        <x:v>15</x:v>
      </x:c>
      <x:c r="J831" s="10" t="n">
        <x:v>29.9</x:v>
      </x:c>
      <x:c r="K831" s="2" t="n">
        <x:v>2</x:v>
      </x:c>
      <x:c r="L831" s="2" t="n">
        <x:v>0</x:v>
      </x:c>
    </x:row>
    <x:row r="832" ht="20" customHeight="1">
      <x:c r="A832" s="9" t="n">
        <x:v>46311</x:v>
      </x:c>
      <x:c r="B832" s="2" t="str">
        <x:v>MM-1866</x:v>
      </x:c>
      <x:c r="C832" s="2" t="str">
        <x:v>Email</x:v>
      </x:c>
      <x:c r="D832" s="2" t="str">
        <x:v>CUS-080</x:v>
      </x:c>
      <x:c r="E832" s="10" t="n">
        <x:v>24.95</x:v>
      </x:c>
      <x:c r="F832" s="10" t="n">
        <x:v>2.49</x:v>
      </x:c>
      <x:c r="G832" s="10" t="n">
        <x:v>0</x:v>
      </x:c>
      <x:c r="H832" s="10" t="n">
        <x:v>22.46</x:v>
      </x:c>
      <x:c r="I832" s="10" t="n">
        <x:v>8.5</x:v>
      </x:c>
      <x:c r="J832" s="10" t="n">
        <x:v>13.96</x:v>
      </x:c>
      <x:c r="K832" s="2" t="n">
        <x:v>1</x:v>
      </x:c>
      <x:c r="L832" s="2" t="n">
        <x:v>0</x:v>
      </x:c>
    </x:row>
    <x:row r="833" ht="20" customHeight="1">
      <x:c r="A833" s="9" t="n">
        <x:v>46311</x:v>
      </x:c>
      <x:c r="B833" s="2" t="str">
        <x:v>MM-1871</x:v>
      </x:c>
      <x:c r="C833" s="2" t="str">
        <x:v>Direct</x:v>
      </x:c>
      <x:c r="D833" s="2" t="str">
        <x:v>CUS-083</x:v>
      </x:c>
      <x:c r="E833" s="10" t="n">
        <x:v>65.9</x:v>
      </x:c>
      <x:c r="F833" s="10" t="n">
        <x:v>6.59</x:v>
      </x:c>
      <x:c r="G833" s="10" t="n">
        <x:v>0</x:v>
      </x:c>
      <x:c r="H833" s="10" t="n">
        <x:v>59.31</x:v>
      </x:c>
      <x:c r="I833" s="10" t="n">
        <x:v>24</x:v>
      </x:c>
      <x:c r="J833" s="10" t="n">
        <x:v>35.31</x:v>
      </x:c>
      <x:c r="K833" s="2" t="n">
        <x:v>2</x:v>
      </x:c>
      <x:c r="L833" s="2" t="n">
        <x:v>0</x:v>
      </x:c>
    </x:row>
    <x:row r="834" ht="20" customHeight="1">
      <x:c r="A834" s="9" t="n">
        <x:v>46311</x:v>
      </x:c>
      <x:c r="B834" s="2" t="str">
        <x:v>MM-1874</x:v>
      </x:c>
      <x:c r="C834" s="2" t="str">
        <x:v>Paid Social</x:v>
      </x:c>
      <x:c r="D834" s="2" t="str">
        <x:v>CUS-123</x:v>
      </x:c>
      <x:c r="E834" s="10" t="n">
        <x:v>24.95</x:v>
      </x:c>
      <x:c r="F834" s="10" t="n">
        <x:v>2.49</x:v>
      </x:c>
      <x:c r="G834" s="10" t="n">
        <x:v>0</x:v>
      </x:c>
      <x:c r="H834" s="10" t="n">
        <x:v>22.46</x:v>
      </x:c>
      <x:c r="I834" s="10" t="n">
        <x:v>8.5</x:v>
      </x:c>
      <x:c r="J834" s="10" t="n">
        <x:v>13.96</x:v>
      </x:c>
      <x:c r="K834" s="2" t="n">
        <x:v>1</x:v>
      </x:c>
      <x:c r="L834" s="2" t="n">
        <x:v>0</x:v>
      </x:c>
    </x:row>
    <x:row r="835" ht="20" customHeight="1">
      <x:c r="A835" s="9" t="n">
        <x:v>46311</x:v>
      </x:c>
      <x:c r="B835" s="2" t="str">
        <x:v>MM-1854</x:v>
      </x:c>
      <x:c r="C835" s="2" t="str">
        <x:v>Organic Search</x:v>
      </x:c>
      <x:c r="D835" s="2" t="str">
        <x:v>CUS-129</x:v>
      </x:c>
      <x:c r="E835" s="10" t="n">
        <x:v>259.8</x:v>
      </x:c>
      <x:c r="F835" s="10" t="n">
        <x:v>0</x:v>
      </x:c>
      <x:c r="G835" s="10" t="n">
        <x:v>0</x:v>
      </x:c>
      <x:c r="H835" s="10" t="n">
        <x:v>259.8</x:v>
      </x:c>
      <x:c r="I835" s="10" t="n">
        <x:v>104</x:v>
      </x:c>
      <x:c r="J835" s="10" t="n">
        <x:v>155.8</x:v>
      </x:c>
      <x:c r="K835" s="2" t="n">
        <x:v>4</x:v>
      </x:c>
      <x:c r="L835" s="2" t="n">
        <x:v>0</x:v>
      </x:c>
    </x:row>
    <x:row r="836" ht="20" customHeight="1">
      <x:c r="A836" s="9" t="n">
        <x:v>46311</x:v>
      </x:c>
      <x:c r="B836" s="2" t="str">
        <x:v>MM-1861</x:v>
      </x:c>
      <x:c r="C836" s="2" t="str">
        <x:v>Organic Search</x:v>
      </x:c>
      <x:c r="D836" s="2" t="str">
        <x:v>CUS-107</x:v>
      </x:c>
      <x:c r="E836" s="10" t="n">
        <x:v>32.9</x:v>
      </x:c>
      <x:c r="F836" s="10" t="n">
        <x:v>0</x:v>
      </x:c>
      <x:c r="G836" s="10" t="n">
        <x:v>0</x:v>
      </x:c>
      <x:c r="H836" s="10" t="n">
        <x:v>32.9</x:v>
      </x:c>
      <x:c r="I836" s="10" t="n">
        <x:v>9.5</x:v>
      </x:c>
      <x:c r="J836" s="10" t="n">
        <x:v>23.4</x:v>
      </x:c>
      <x:c r="K836" s="2" t="n">
        <x:v>2</x:v>
      </x:c>
      <x:c r="L836" s="2" t="n">
        <x:v>0</x:v>
      </x:c>
    </x:row>
    <x:row r="837" ht="20" customHeight="1">
      <x:c r="A837" s="9" t="n">
        <x:v>46311</x:v>
      </x:c>
      <x:c r="B837" s="2" t="str">
        <x:v>MM-1864</x:v>
      </x:c>
      <x:c r="C837" s="2" t="str">
        <x:v>Paid Social</x:v>
      </x:c>
      <x:c r="D837" s="2" t="str">
        <x:v>CUS-044</x:v>
      </x:c>
      <x:c r="E837" s="10" t="n">
        <x:v>174.8</x:v>
      </x:c>
      <x:c r="F837" s="10" t="n">
        <x:v>2.99</x:v>
      </x:c>
      <x:c r="G837" s="10" t="n">
        <x:v>0</x:v>
      </x:c>
      <x:c r="H837" s="10" t="n">
        <x:v>171.81</x:v>
      </x:c>
      <x:c r="I837" s="10" t="n">
        <x:v>67.5</x:v>
      </x:c>
      <x:c r="J837" s="10" t="n">
        <x:v>104.31</x:v>
      </x:c>
      <x:c r="K837" s="2" t="n">
        <x:v>4</x:v>
      </x:c>
      <x:c r="L837" s="2" t="n">
        <x:v>0</x:v>
      </x:c>
    </x:row>
    <x:row r="838" ht="20" customHeight="1">
      <x:c r="A838" s="9" t="n">
        <x:v>46311</x:v>
      </x:c>
      <x:c r="B838" s="2" t="str">
        <x:v>MM-1860</x:v>
      </x:c>
      <x:c r="C838" s="2" t="str">
        <x:v>Direct</x:v>
      </x:c>
      <x:c r="D838" s="2" t="str">
        <x:v>CUS-072</x:v>
      </x:c>
      <x:c r="E838" s="10" t="n">
        <x:v>29.95</x:v>
      </x:c>
      <x:c r="F838" s="10" t="n">
        <x:v>0</x:v>
      </x:c>
      <x:c r="G838" s="10" t="n">
        <x:v>0</x:v>
      </x:c>
      <x:c r="H838" s="10" t="n">
        <x:v>29.95</x:v>
      </x:c>
      <x:c r="I838" s="10" t="n">
        <x:v>10</x:v>
      </x:c>
      <x:c r="J838" s="10" t="n">
        <x:v>19.95</x:v>
      </x:c>
      <x:c r="K838" s="2" t="n">
        <x:v>1</x:v>
      </x:c>
      <x:c r="L838" s="2" t="n">
        <x:v>0</x:v>
      </x:c>
    </x:row>
    <x:row r="839" ht="20" customHeight="1">
      <x:c r="A839" s="9" t="n">
        <x:v>46311</x:v>
      </x:c>
      <x:c r="B839" s="2" t="str">
        <x:v>MM-1872</x:v>
      </x:c>
      <x:c r="C839" s="2" t="str">
        <x:v>Organic Search</x:v>
      </x:c>
      <x:c r="D839" s="2" t="str">
        <x:v>CUS-015</x:v>
      </x:c>
      <x:c r="E839" s="10" t="n">
        <x:v>49.9</x:v>
      </x:c>
      <x:c r="F839" s="10" t="n">
        <x:v>0</x:v>
      </x:c>
      <x:c r="G839" s="10" t="n">
        <x:v>0</x:v>
      </x:c>
      <x:c r="H839" s="10" t="n">
        <x:v>49.9</x:v>
      </x:c>
      <x:c r="I839" s="10" t="n">
        <x:v>16</x:v>
      </x:c>
      <x:c r="J839" s="10" t="n">
        <x:v>33.9</x:v>
      </x:c>
      <x:c r="K839" s="2" t="n">
        <x:v>2</x:v>
      </x:c>
      <x:c r="L839" s="2" t="n">
        <x:v>0</x:v>
      </x:c>
    </x:row>
    <x:row r="840" ht="20" customHeight="1">
      <x:c r="A840" s="9" t="n">
        <x:v>46311</x:v>
      </x:c>
      <x:c r="B840" s="2" t="str">
        <x:v>MM-1859</x:v>
      </x:c>
      <x:c r="C840" s="2" t="str">
        <x:v>Email</x:v>
      </x:c>
      <x:c r="D840" s="2" t="str">
        <x:v>CUS-123</x:v>
      </x:c>
      <x:c r="E840" s="10" t="n">
        <x:v>49.9</x:v>
      </x:c>
      <x:c r="F840" s="10" t="n">
        <x:v>4.98</x:v>
      </x:c>
      <x:c r="G840" s="10" t="n">
        <x:v>0</x:v>
      </x:c>
      <x:c r="H840" s="10" t="n">
        <x:v>44.92</x:v>
      </x:c>
      <x:c r="I840" s="10" t="n">
        <x:v>17.5</x:v>
      </x:c>
      <x:c r="J840" s="10" t="n">
        <x:v>27.42</x:v>
      </x:c>
      <x:c r="K840" s="2" t="n">
        <x:v>2</x:v>
      </x:c>
      <x:c r="L840" s="2" t="n">
        <x:v>0</x:v>
      </x:c>
    </x:row>
    <x:row r="841" ht="20" customHeight="1">
      <x:c r="A841" s="9" t="n">
        <x:v>46311</x:v>
      </x:c>
      <x:c r="B841" s="2" t="str">
        <x:v>MM-1867</x:v>
      </x:c>
      <x:c r="C841" s="2" t="str">
        <x:v>Organic Search</x:v>
      </x:c>
      <x:c r="D841" s="2" t="str">
        <x:v>CUS-041</x:v>
      </x:c>
      <x:c r="E841" s="10" t="n">
        <x:v>239.85</x:v>
      </x:c>
      <x:c r="F841" s="10" t="n">
        <x:v>0</x:v>
      </x:c>
      <x:c r="G841" s="10" t="n">
        <x:v>0</x:v>
      </x:c>
      <x:c r="H841" s="10" t="n">
        <x:v>239.85</x:v>
      </x:c>
      <x:c r="I841" s="10" t="n">
        <x:v>96</x:v>
      </x:c>
      <x:c r="J841" s="10" t="n">
        <x:v>143.85</x:v>
      </x:c>
      <x:c r="K841" s="2" t="n">
        <x:v>3</x:v>
      </x:c>
      <x:c r="L841" s="2" t="n">
        <x:v>0</x:v>
      </x:c>
    </x:row>
    <x:row r="842" ht="20" customHeight="1">
      <x:c r="A842" s="9" t="n">
        <x:v>46311</x:v>
      </x:c>
      <x:c r="B842" s="2" t="str">
        <x:v>MM-1868</x:v>
      </x:c>
      <x:c r="C842" s="2" t="str">
        <x:v>Organic Search</x:v>
      </x:c>
      <x:c r="D842" s="2" t="str">
        <x:v>CUS-136</x:v>
      </x:c>
      <x:c r="E842" s="10" t="n">
        <x:v>182.85</x:v>
      </x:c>
      <x:c r="F842" s="10" t="n">
        <x:v>0</x:v>
      </x:c>
      <x:c r="G842" s="10" t="n">
        <x:v>0</x:v>
      </x:c>
      <x:c r="H842" s="10" t="n">
        <x:v>182.85</x:v>
      </x:c>
      <x:c r="I842" s="10" t="n">
        <x:v>72.5</x:v>
      </x:c>
      <x:c r="J842" s="10" t="n">
        <x:v>110.35</x:v>
      </x:c>
      <x:c r="K842" s="2" t="n">
        <x:v>3</x:v>
      </x:c>
      <x:c r="L842" s="2" t="n">
        <x:v>0</x:v>
      </x:c>
    </x:row>
    <x:row r="843" ht="20" customHeight="1">
      <x:c r="A843" s="9" t="n">
        <x:v>46311</x:v>
      </x:c>
      <x:c r="B843" s="2" t="str">
        <x:v>MM-1869</x:v>
      </x:c>
      <x:c r="C843" s="2" t="str">
        <x:v>Organic Search</x:v>
      </x:c>
      <x:c r="D843" s="2" t="str">
        <x:v>CUS-142</x:v>
      </x:c>
      <x:c r="E843" s="10" t="n">
        <x:v>19.95</x:v>
      </x:c>
      <x:c r="F843" s="10" t="n">
        <x:v>0</x:v>
      </x:c>
      <x:c r="G843" s="10" t="n">
        <x:v>0</x:v>
      </x:c>
      <x:c r="H843" s="10" t="n">
        <x:v>19.95</x:v>
      </x:c>
      <x:c r="I843" s="10" t="n">
        <x:v>6</x:v>
      </x:c>
      <x:c r="J843" s="10" t="n">
        <x:v>13.95</x:v>
      </x:c>
      <x:c r="K843" s="2" t="n">
        <x:v>1</x:v>
      </x:c>
      <x:c r="L843" s="2" t="n">
        <x:v>0</x:v>
      </x:c>
    </x:row>
    <x:row r="844" ht="20" customHeight="1">
      <x:c r="A844" s="9" t="n">
        <x:v>46312</x:v>
      </x:c>
      <x:c r="B844" s="2" t="str">
        <x:v>MM-1876</x:v>
      </x:c>
      <x:c r="C844" s="2" t="str">
        <x:v>Email</x:v>
      </x:c>
      <x:c r="D844" s="2" t="str">
        <x:v>CUS-136</x:v>
      </x:c>
      <x:c r="E844" s="10" t="n">
        <x:v>149.85</x:v>
      </x:c>
      <x:c r="F844" s="10" t="n">
        <x:v>14.98</x:v>
      </x:c>
      <x:c r="G844" s="10" t="n">
        <x:v>0</x:v>
      </x:c>
      <x:c r="H844" s="10" t="n">
        <x:v>134.87</x:v>
      </x:c>
      <x:c r="I844" s="10" t="n">
        <x:v>58.5</x:v>
      </x:c>
      <x:c r="J844" s="10" t="n">
        <x:v>76.37</x:v>
      </x:c>
      <x:c r="K844" s="2" t="n">
        <x:v>3</x:v>
      </x:c>
      <x:c r="L844" s="2" t="n">
        <x:v>0</x:v>
      </x:c>
    </x:row>
    <x:row r="845" ht="20" customHeight="1">
      <x:c r="A845" s="9" t="n">
        <x:v>46312</x:v>
      </x:c>
      <x:c r="B845" s="2" t="str">
        <x:v>MM-1887</x:v>
      </x:c>
      <x:c r="C845" s="2" t="str">
        <x:v>Paid Social</x:v>
      </x:c>
      <x:c r="D845" s="2" t="str">
        <x:v>CUS-029</x:v>
      </x:c>
      <x:c r="E845" s="10" t="n">
        <x:v>24.95</x:v>
      </x:c>
      <x:c r="F845" s="10" t="n">
        <x:v>0</x:v>
      </x:c>
      <x:c r="G845" s="10" t="n">
        <x:v>0</x:v>
      </x:c>
      <x:c r="H845" s="10" t="n">
        <x:v>24.95</x:v>
      </x:c>
      <x:c r="I845" s="10" t="n">
        <x:v>9</x:v>
      </x:c>
      <x:c r="J845" s="10" t="n">
        <x:v>15.95</x:v>
      </x:c>
      <x:c r="K845" s="2" t="n">
        <x:v>1</x:v>
      </x:c>
      <x:c r="L845" s="2" t="n">
        <x:v>0</x:v>
      </x:c>
    </x:row>
    <x:row r="846" ht="20" customHeight="1">
      <x:c r="A846" s="9" t="n">
        <x:v>46312</x:v>
      </x:c>
      <x:c r="B846" s="2" t="str">
        <x:v>MM-1890</x:v>
      </x:c>
      <x:c r="C846" s="2" t="str">
        <x:v>Paid Social</x:v>
      </x:c>
      <x:c r="D846" s="2" t="str">
        <x:v>CUS-039</x:v>
      </x:c>
      <x:c r="E846" s="10" t="n">
        <x:v>77.9</x:v>
      </x:c>
      <x:c r="F846" s="10" t="n">
        <x:v>0</x:v>
      </x:c>
      <x:c r="G846" s="10" t="n">
        <x:v>0</x:v>
      </x:c>
      <x:c r="H846" s="10" t="n">
        <x:v>77.9</x:v>
      </x:c>
      <x:c r="I846" s="10" t="n">
        <x:v>30.5</x:v>
      </x:c>
      <x:c r="J846" s="10" t="n">
        <x:v>47.4</x:v>
      </x:c>
      <x:c r="K846" s="2" t="n">
        <x:v>2</x:v>
      </x:c>
      <x:c r="L846" s="2" t="n">
        <x:v>0</x:v>
      </x:c>
    </x:row>
    <x:row r="847" ht="20" customHeight="1">
      <x:c r="A847" s="9" t="n">
        <x:v>46312</x:v>
      </x:c>
      <x:c r="B847" s="2" t="str">
        <x:v>MM-1880</x:v>
      </x:c>
      <x:c r="C847" s="2" t="str">
        <x:v>Paid Social</x:v>
      </x:c>
      <x:c r="D847" s="2" t="str">
        <x:v>CUS-101</x:v>
      </x:c>
      <x:c r="E847" s="10" t="n">
        <x:v>12.95</x:v>
      </x:c>
      <x:c r="F847" s="10" t="n">
        <x:v>0</x:v>
      </x:c>
      <x:c r="G847" s="10" t="n">
        <x:v>0</x:v>
      </x:c>
      <x:c r="H847" s="10" t="n">
        <x:v>12.95</x:v>
      </x:c>
      <x:c r="I847" s="10" t="n">
        <x:v>3.5</x:v>
      </x:c>
      <x:c r="J847" s="10" t="n">
        <x:v>9.45</x:v>
      </x:c>
      <x:c r="K847" s="2" t="n">
        <x:v>1</x:v>
      </x:c>
      <x:c r="L847" s="2" t="n">
        <x:v>0</x:v>
      </x:c>
    </x:row>
    <x:row r="848" ht="20" customHeight="1">
      <x:c r="A848" s="9" t="n">
        <x:v>46312</x:v>
      </x:c>
      <x:c r="B848" s="2" t="str">
        <x:v>MM-1884</x:v>
      </x:c>
      <x:c r="C848" s="2" t="str">
        <x:v>Organic Search</x:v>
      </x:c>
      <x:c r="D848" s="2" t="str">
        <x:v>CUS-013</x:v>
      </x:c>
      <x:c r="E848" s="10" t="n">
        <x:v>18.95</x:v>
      </x:c>
      <x:c r="F848" s="10" t="n">
        <x:v>0</x:v>
      </x:c>
      <x:c r="G848" s="10" t="n">
        <x:v>0</x:v>
      </x:c>
      <x:c r="H848" s="10" t="n">
        <x:v>18.95</x:v>
      </x:c>
      <x:c r="I848" s="10" t="n">
        <x:v>6.5</x:v>
      </x:c>
      <x:c r="J848" s="10" t="n">
        <x:v>12.45</x:v>
      </x:c>
      <x:c r="K848" s="2" t="n">
        <x:v>1</x:v>
      </x:c>
      <x:c r="L848" s="2" t="n">
        <x:v>0</x:v>
      </x:c>
    </x:row>
    <x:row r="849" ht="20" customHeight="1">
      <x:c r="A849" s="9" t="n">
        <x:v>46312</x:v>
      </x:c>
      <x:c r="B849" s="2" t="str">
        <x:v>MM-1885</x:v>
      </x:c>
      <x:c r="C849" s="2" t="str">
        <x:v>Direct</x:v>
      </x:c>
      <x:c r="D849" s="2" t="str">
        <x:v>CUS-127</x:v>
      </x:c>
      <x:c r="E849" s="10" t="n">
        <x:v>29.95</x:v>
      </x:c>
      <x:c r="F849" s="10" t="n">
        <x:v>0</x:v>
      </x:c>
      <x:c r="G849" s="10" t="n">
        <x:v>0</x:v>
      </x:c>
      <x:c r="H849" s="10" t="n">
        <x:v>29.95</x:v>
      </x:c>
      <x:c r="I849" s="10" t="n">
        <x:v>10</x:v>
      </x:c>
      <x:c r="J849" s="10" t="n">
        <x:v>19.95</x:v>
      </x:c>
      <x:c r="K849" s="2" t="n">
        <x:v>1</x:v>
      </x:c>
      <x:c r="L849" s="2" t="n">
        <x:v>0</x:v>
      </x:c>
    </x:row>
    <x:row r="850" ht="20" customHeight="1">
      <x:c r="A850" s="9" t="n">
        <x:v>46312</x:v>
      </x:c>
      <x:c r="B850" s="2" t="str">
        <x:v>MM-1886</x:v>
      </x:c>
      <x:c r="C850" s="2" t="str">
        <x:v>Paid Social</x:v>
      </x:c>
      <x:c r="D850" s="2" t="str">
        <x:v>CUS-169</x:v>
      </x:c>
      <x:c r="E850" s="10" t="n">
        <x:v>79.95</x:v>
      </x:c>
      <x:c r="F850" s="10" t="n">
        <x:v>0</x:v>
      </x:c>
      <x:c r="G850" s="10" t="n">
        <x:v>0</x:v>
      </x:c>
      <x:c r="H850" s="10" t="n">
        <x:v>79.95</x:v>
      </x:c>
      <x:c r="I850" s="10" t="n">
        <x:v>32</x:v>
      </x:c>
      <x:c r="J850" s="10" t="n">
        <x:v>47.95</x:v>
      </x:c>
      <x:c r="K850" s="2" t="n">
        <x:v>1</x:v>
      </x:c>
      <x:c r="L850" s="2" t="n">
        <x:v>0</x:v>
      </x:c>
    </x:row>
    <x:row r="851" ht="20" customHeight="1">
      <x:c r="A851" s="9" t="n">
        <x:v>46312</x:v>
      </x:c>
      <x:c r="B851" s="2" t="str">
        <x:v>MM-1897</x:v>
      </x:c>
      <x:c r="C851" s="2" t="str">
        <x:v>Email</x:v>
      </x:c>
      <x:c r="D851" s="2" t="str">
        <x:v>CUS-043</x:v>
      </x:c>
      <x:c r="E851" s="10" t="n">
        <x:v>25.9</x:v>
      </x:c>
      <x:c r="F851" s="10" t="n">
        <x:v>2.59</x:v>
      </x:c>
      <x:c r="G851" s="10" t="n">
        <x:v>0</x:v>
      </x:c>
      <x:c r="H851" s="10" t="n">
        <x:v>23.31</x:v>
      </x:c>
      <x:c r="I851" s="10" t="n">
        <x:v>7</x:v>
      </x:c>
      <x:c r="J851" s="10" t="n">
        <x:v>16.31</x:v>
      </x:c>
      <x:c r="K851" s="2" t="n">
        <x:v>2</x:v>
      </x:c>
      <x:c r="L851" s="2" t="n">
        <x:v>0</x:v>
      </x:c>
    </x:row>
    <x:row r="852" ht="20" customHeight="1">
      <x:c r="A852" s="9" t="n">
        <x:v>46312</x:v>
      </x:c>
      <x:c r="B852" s="2" t="str">
        <x:v>MM-1879</x:v>
      </x:c>
      <x:c r="C852" s="2" t="str">
        <x:v>Email</x:v>
      </x:c>
      <x:c r="D852" s="2" t="str">
        <x:v>CUS-031</x:v>
      </x:c>
      <x:c r="E852" s="10" t="n">
        <x:v>87.85</x:v>
      </x:c>
      <x:c r="F852" s="10" t="n">
        <x:v>8.77</x:v>
      </x:c>
      <x:c r="G852" s="10" t="n">
        <x:v>0</x:v>
      </x:c>
      <x:c r="H852" s="10" t="n">
        <x:v>79.08</x:v>
      </x:c>
      <x:c r="I852" s="10" t="n">
        <x:v>32</x:v>
      </x:c>
      <x:c r="J852" s="10" t="n">
        <x:v>47.08</x:v>
      </x:c>
      <x:c r="K852" s="2" t="n">
        <x:v>3</x:v>
      </x:c>
      <x:c r="L852" s="2" t="n">
        <x:v>0</x:v>
      </x:c>
    </x:row>
    <x:row r="853" ht="20" customHeight="1">
      <x:c r="A853" s="9" t="n">
        <x:v>46312</x:v>
      </x:c>
      <x:c r="B853" s="2" t="str">
        <x:v>MM-1888</x:v>
      </x:c>
      <x:c r="C853" s="2" t="str">
        <x:v>Paid Social</x:v>
      </x:c>
      <x:c r="D853" s="2" t="str">
        <x:v>CUS-038</x:v>
      </x:c>
      <x:c r="E853" s="10" t="n">
        <x:v>79.95</x:v>
      </x:c>
      <x:c r="F853" s="10" t="n">
        <x:v>0</x:v>
      </x:c>
      <x:c r="G853" s="10" t="n">
        <x:v>0</x:v>
      </x:c>
      <x:c r="H853" s="10" t="n">
        <x:v>79.95</x:v>
      </x:c>
      <x:c r="I853" s="10" t="n">
        <x:v>32</x:v>
      </x:c>
      <x:c r="J853" s="10" t="n">
        <x:v>47.95</x:v>
      </x:c>
      <x:c r="K853" s="2" t="n">
        <x:v>1</x:v>
      </x:c>
      <x:c r="L853" s="2" t="n">
        <x:v>0</x:v>
      </x:c>
    </x:row>
    <x:row r="854" ht="20" customHeight="1">
      <x:c r="A854" s="9" t="n">
        <x:v>46312</x:v>
      </x:c>
      <x:c r="B854" s="2" t="str">
        <x:v>MM-1882</x:v>
      </x:c>
      <x:c r="C854" s="2" t="str">
        <x:v>Direct</x:v>
      </x:c>
      <x:c r="D854" s="2" t="str">
        <x:v>CUS-085</x:v>
      </x:c>
      <x:c r="E854" s="10" t="n">
        <x:v>29.95</x:v>
      </x:c>
      <x:c r="F854" s="10" t="n">
        <x:v>2.99</x:v>
      </x:c>
      <x:c r="G854" s="10" t="n">
        <x:v>0</x:v>
      </x:c>
      <x:c r="H854" s="10" t="n">
        <x:v>26.96</x:v>
      </x:c>
      <x:c r="I854" s="10" t="n">
        <x:v>10</x:v>
      </x:c>
      <x:c r="J854" s="10" t="n">
        <x:v>16.96</x:v>
      </x:c>
      <x:c r="K854" s="2" t="n">
        <x:v>1</x:v>
      </x:c>
      <x:c r="L854" s="2" t="n">
        <x:v>0</x:v>
      </x:c>
    </x:row>
    <x:row r="855" ht="20" customHeight="1">
      <x:c r="A855" s="9" t="n">
        <x:v>46312</x:v>
      </x:c>
      <x:c r="B855" s="2" t="str">
        <x:v>MM-1893</x:v>
      </x:c>
      <x:c r="C855" s="2" t="str">
        <x:v>Direct</x:v>
      </x:c>
      <x:c r="D855" s="2" t="str">
        <x:v>CUS-163</x:v>
      </x:c>
      <x:c r="E855" s="10" t="n">
        <x:v>18.95</x:v>
      </x:c>
      <x:c r="F855" s="10" t="n">
        <x:v>0</x:v>
      </x:c>
      <x:c r="G855" s="10" t="n">
        <x:v>0</x:v>
      </x:c>
      <x:c r="H855" s="10" t="n">
        <x:v>18.95</x:v>
      </x:c>
      <x:c r="I855" s="10" t="n">
        <x:v>6.5</x:v>
      </x:c>
      <x:c r="J855" s="10" t="n">
        <x:v>12.45</x:v>
      </x:c>
      <x:c r="K855" s="2" t="n">
        <x:v>1</x:v>
      </x:c>
      <x:c r="L855" s="2" t="n">
        <x:v>0</x:v>
      </x:c>
    </x:row>
    <x:row r="856" ht="20" customHeight="1">
      <x:c r="A856" s="9" t="n">
        <x:v>46312</x:v>
      </x:c>
      <x:c r="B856" s="2" t="str">
        <x:v>MM-1895</x:v>
      </x:c>
      <x:c r="C856" s="2" t="str">
        <x:v>Organic Search</x:v>
      </x:c>
      <x:c r="D856" s="2" t="str">
        <x:v>CUS-023</x:v>
      </x:c>
      <x:c r="E856" s="10" t="n">
        <x:v>244.8</x:v>
      </x:c>
      <x:c r="F856" s="10" t="n">
        <x:v>0</x:v>
      </x:c>
      <x:c r="G856" s="10" t="n">
        <x:v>0</x:v>
      </x:c>
      <x:c r="H856" s="10" t="n">
        <x:v>244.8</x:v>
      </x:c>
      <x:c r="I856" s="10" t="n">
        <x:v>97.5</x:v>
      </x:c>
      <x:c r="J856" s="10" t="n">
        <x:v>147.3</x:v>
      </x:c>
      <x:c r="K856" s="2" t="n">
        <x:v>4</x:v>
      </x:c>
      <x:c r="L856" s="2" t="n">
        <x:v>0</x:v>
      </x:c>
    </x:row>
    <x:row r="857" ht="20" customHeight="1">
      <x:c r="A857" s="9" t="n">
        <x:v>46312</x:v>
      </x:c>
      <x:c r="B857" s="2" t="str">
        <x:v>MM-1881</x:v>
      </x:c>
      <x:c r="C857" s="2" t="str">
        <x:v>Paid Social</x:v>
      </x:c>
      <x:c r="D857" s="2" t="str">
        <x:v>CUS-137</x:v>
      </x:c>
      <x:c r="E857" s="10" t="n">
        <x:v>159.9</x:v>
      </x:c>
      <x:c r="F857" s="10" t="n">
        <x:v>0</x:v>
      </x:c>
      <x:c r="G857" s="10" t="n">
        <x:v>0</x:v>
      </x:c>
      <x:c r="H857" s="10" t="n">
        <x:v>159.9</x:v>
      </x:c>
      <x:c r="I857" s="10" t="n">
        <x:v>64</x:v>
      </x:c>
      <x:c r="J857" s="10" t="n">
        <x:v>95.9</x:v>
      </x:c>
      <x:c r="K857" s="2" t="n">
        <x:v>2</x:v>
      </x:c>
      <x:c r="L857" s="2" t="n">
        <x:v>0</x:v>
      </x:c>
    </x:row>
    <x:row r="858" ht="20" customHeight="1">
      <x:c r="A858" s="9" t="n">
        <x:v>46312</x:v>
      </x:c>
      <x:c r="B858" s="2" t="str">
        <x:v>MM-1894</x:v>
      </x:c>
      <x:c r="C858" s="2" t="str">
        <x:v>Organic Search</x:v>
      </x:c>
      <x:c r="D858" s="2" t="str">
        <x:v>CUS-041</x:v>
      </x:c>
      <x:c r="E858" s="10" t="n">
        <x:v>209.8</x:v>
      </x:c>
      <x:c r="F858" s="10" t="n">
        <x:v>15.99</x:v>
      </x:c>
      <x:c r="G858" s="10" t="n">
        <x:v>0</x:v>
      </x:c>
      <x:c r="H858" s="10" t="n">
        <x:v>193.81</x:v>
      </x:c>
      <x:c r="I858" s="10" t="n">
        <x:v>81</x:v>
      </x:c>
      <x:c r="J858" s="10" t="n">
        <x:v>112.81</x:v>
      </x:c>
      <x:c r="K858" s="2" t="n">
        <x:v>4</x:v>
      </x:c>
      <x:c r="L858" s="2" t="n">
        <x:v>0</x:v>
      </x:c>
    </x:row>
    <x:row r="859" ht="20" customHeight="1">
      <x:c r="A859" s="9" t="n">
        <x:v>46312</x:v>
      </x:c>
      <x:c r="B859" s="2" t="str">
        <x:v>MM-1883</x:v>
      </x:c>
      <x:c r="C859" s="2" t="str">
        <x:v>Paid Social</x:v>
      </x:c>
      <x:c r="D859" s="2" t="str">
        <x:v>CUS-031</x:v>
      </x:c>
      <x:c r="E859" s="10" t="n">
        <x:v>57.9</x:v>
      </x:c>
      <x:c r="F859" s="10" t="n">
        <x:v>0</x:v>
      </x:c>
      <x:c r="G859" s="10" t="n">
        <x:v>0</x:v>
      </x:c>
      <x:c r="H859" s="10" t="n">
        <x:v>57.9</x:v>
      </x:c>
      <x:c r="I859" s="10" t="n">
        <x:v>21</x:v>
      </x:c>
      <x:c r="J859" s="10" t="n">
        <x:v>36.9</x:v>
      </x:c>
      <x:c r="K859" s="2" t="n">
        <x:v>2</x:v>
      </x:c>
      <x:c r="L859" s="2" t="n">
        <x:v>0</x:v>
      </x:c>
    </x:row>
    <x:row r="860" ht="20" customHeight="1">
      <x:c r="A860" s="9" t="n">
        <x:v>46312</x:v>
      </x:c>
      <x:c r="B860" s="2" t="str">
        <x:v>MM-1891</x:v>
      </x:c>
      <x:c r="C860" s="2" t="str">
        <x:v>Email</x:v>
      </x:c>
      <x:c r="D860" s="2" t="str">
        <x:v>CUS-143</x:v>
      </x:c>
      <x:c r="E860" s="10" t="n">
        <x:v>9.95</x:v>
      </x:c>
      <x:c r="F860" s="10" t="n">
        <x:v>0.99</x:v>
      </x:c>
      <x:c r="G860" s="10" t="n">
        <x:v>0</x:v>
      </x:c>
      <x:c r="H860" s="10" t="n">
        <x:v>8.96</x:v>
      </x:c>
      <x:c r="I860" s="10" t="n">
        <x:v>2.5</x:v>
      </x:c>
      <x:c r="J860" s="10" t="n">
        <x:v>6.46</x:v>
      </x:c>
      <x:c r="K860" s="2" t="n">
        <x:v>1</x:v>
      </x:c>
      <x:c r="L860" s="2" t="n">
        <x:v>0</x:v>
      </x:c>
    </x:row>
    <x:row r="861" ht="20" customHeight="1">
      <x:c r="A861" s="9" t="n">
        <x:v>46312</x:v>
      </x:c>
      <x:c r="B861" s="2" t="str">
        <x:v>MM-1889</x:v>
      </x:c>
      <x:c r="C861" s="2" t="str">
        <x:v>Paid Social</x:v>
      </x:c>
      <x:c r="D861" s="2" t="str">
        <x:v>CUS-132</x:v>
      </x:c>
      <x:c r="E861" s="10" t="n">
        <x:v>19.95</x:v>
      </x:c>
      <x:c r="F861" s="10" t="n">
        <x:v>0</x:v>
      </x:c>
      <x:c r="G861" s="10" t="n">
        <x:v>0</x:v>
      </x:c>
      <x:c r="H861" s="10" t="n">
        <x:v>19.95</x:v>
      </x:c>
      <x:c r="I861" s="10" t="n">
        <x:v>6</x:v>
      </x:c>
      <x:c r="J861" s="10" t="n">
        <x:v>13.95</x:v>
      </x:c>
      <x:c r="K861" s="2" t="n">
        <x:v>1</x:v>
      </x:c>
      <x:c r="L861" s="2" t="n">
        <x:v>0</x:v>
      </x:c>
    </x:row>
    <x:row r="862" ht="20" customHeight="1">
      <x:c r="A862" s="9" t="n">
        <x:v>46312</x:v>
      </x:c>
      <x:c r="B862" s="2" t="str">
        <x:v>MM-1878</x:v>
      </x:c>
      <x:c r="C862" s="2" t="str">
        <x:v>Paid Social</x:v>
      </x:c>
      <x:c r="D862" s="2" t="str">
        <x:v>CUS-098</x:v>
      </x:c>
      <x:c r="E862" s="10" t="n">
        <x:v>37.9</x:v>
      </x:c>
      <x:c r="F862" s="10" t="n">
        <x:v>0</x:v>
      </x:c>
      <x:c r="G862" s="10" t="n">
        <x:v>0</x:v>
      </x:c>
      <x:c r="H862" s="10" t="n">
        <x:v>37.9</x:v>
      </x:c>
      <x:c r="I862" s="10" t="n">
        <x:v>12.5</x:v>
      </x:c>
      <x:c r="J862" s="10" t="n">
        <x:v>25.4</x:v>
      </x:c>
      <x:c r="K862" s="2" t="n">
        <x:v>2</x:v>
      </x:c>
      <x:c r="L862" s="2" t="n">
        <x:v>0</x:v>
      </x:c>
    </x:row>
    <x:row r="863" ht="20" customHeight="1">
      <x:c r="A863" s="9" t="n">
        <x:v>46312</x:v>
      </x:c>
      <x:c r="B863" s="2" t="str">
        <x:v>MM-1892</x:v>
      </x:c>
      <x:c r="C863" s="2" t="str">
        <x:v>Email</x:v>
      </x:c>
      <x:c r="D863" s="2" t="str">
        <x:v>CUS-094</x:v>
      </x:c>
      <x:c r="E863" s="10" t="n">
        <x:v>9.95</x:v>
      </x:c>
      <x:c r="F863" s="10" t="n">
        <x:v>0.99</x:v>
      </x:c>
      <x:c r="G863" s="10" t="n">
        <x:v>0</x:v>
      </x:c>
      <x:c r="H863" s="10" t="n">
        <x:v>8.96</x:v>
      </x:c>
      <x:c r="I863" s="10" t="n">
        <x:v>2.5</x:v>
      </x:c>
      <x:c r="J863" s="10" t="n">
        <x:v>6.46</x:v>
      </x:c>
      <x:c r="K863" s="2" t="n">
        <x:v>1</x:v>
      </x:c>
      <x:c r="L863" s="2" t="n">
        <x:v>0</x:v>
      </x:c>
    </x:row>
    <x:row r="864" ht="20" customHeight="1">
      <x:c r="A864" s="9" t="n">
        <x:v>46312</x:v>
      </x:c>
      <x:c r="B864" s="2" t="str">
        <x:v>MM-1875</x:v>
      </x:c>
      <x:c r="C864" s="2" t="str">
        <x:v>Organic Search</x:v>
      </x:c>
      <x:c r="D864" s="2" t="str">
        <x:v>CUS-117</x:v>
      </x:c>
      <x:c r="E864" s="10" t="n">
        <x:v>29.95</x:v>
      </x:c>
      <x:c r="F864" s="10" t="n">
        <x:v>0</x:v>
      </x:c>
      <x:c r="G864" s="10" t="n">
        <x:v>0</x:v>
      </x:c>
      <x:c r="H864" s="10" t="n">
        <x:v>29.95</x:v>
      </x:c>
      <x:c r="I864" s="10" t="n">
        <x:v>10</x:v>
      </x:c>
      <x:c r="J864" s="10" t="n">
        <x:v>19.95</x:v>
      </x:c>
      <x:c r="K864" s="2" t="n">
        <x:v>1</x:v>
      </x:c>
      <x:c r="L864" s="2" t="n">
        <x:v>0</x:v>
      </x:c>
    </x:row>
    <x:row r="865" ht="20" customHeight="1">
      <x:c r="A865" s="9" t="n">
        <x:v>46312</x:v>
      </x:c>
      <x:c r="B865" s="2" t="str">
        <x:v>MM-1877</x:v>
      </x:c>
      <x:c r="C865" s="2" t="str">
        <x:v>Paid Social</x:v>
      </x:c>
      <x:c r="D865" s="2" t="str">
        <x:v>CUS-133</x:v>
      </x:c>
      <x:c r="E865" s="10" t="n">
        <x:v>59.95</x:v>
      </x:c>
      <x:c r="F865" s="10" t="n">
        <x:v>0</x:v>
      </x:c>
      <x:c r="G865" s="10" t="n">
        <x:v>0</x:v>
      </x:c>
      <x:c r="H865" s="10" t="n">
        <x:v>59.95</x:v>
      </x:c>
      <x:c r="I865" s="10" t="n">
        <x:v>24</x:v>
      </x:c>
      <x:c r="J865" s="10" t="n">
        <x:v>35.95</x:v>
      </x:c>
      <x:c r="K865" s="2" t="n">
        <x:v>1</x:v>
      </x:c>
      <x:c r="L865" s="2" t="n">
        <x:v>0</x:v>
      </x:c>
    </x:row>
    <x:row r="866" ht="20" customHeight="1">
      <x:c r="A866" s="9" t="n">
        <x:v>46313</x:v>
      </x:c>
      <x:c r="B866" s="2" t="str">
        <x:v>MM-1898</x:v>
      </x:c>
      <x:c r="C866" s="2" t="str">
        <x:v>Direct</x:v>
      </x:c>
      <x:c r="D866" s="2" t="str">
        <x:v>CUS-047</x:v>
      </x:c>
      <x:c r="E866" s="10" t="n">
        <x:v>38.85</x:v>
      </x:c>
      <x:c r="F866" s="10" t="n">
        <x:v>3.88</x:v>
      </x:c>
      <x:c r="G866" s="10" t="n">
        <x:v>0</x:v>
      </x:c>
      <x:c r="H866" s="10" t="n">
        <x:v>34.97</x:v>
      </x:c>
      <x:c r="I866" s="10" t="n">
        <x:v>10.5</x:v>
      </x:c>
      <x:c r="J866" s="10" t="n">
        <x:v>24.47</x:v>
      </x:c>
      <x:c r="K866" s="2" t="n">
        <x:v>3</x:v>
      </x:c>
      <x:c r="L866" s="2" t="n">
        <x:v>0</x:v>
      </x:c>
    </x:row>
    <x:row r="867" ht="20" customHeight="1">
      <x:c r="A867" s="9" t="n">
        <x:v>46313</x:v>
      </x:c>
      <x:c r="B867" s="2" t="str">
        <x:v>MM-1899</x:v>
      </x:c>
      <x:c r="C867" s="2" t="str">
        <x:v>Email</x:v>
      </x:c>
      <x:c r="D867" s="2" t="str">
        <x:v>CUS-003</x:v>
      </x:c>
      <x:c r="E867" s="10" t="n">
        <x:v>159.8</x:v>
      </x:c>
      <x:c r="F867" s="10" t="n">
        <x:v>15.97</x:v>
      </x:c>
      <x:c r="G867" s="10" t="n">
        <x:v>0</x:v>
      </x:c>
      <x:c r="H867" s="10" t="n">
        <x:v>143.83</x:v>
      </x:c>
      <x:c r="I867" s="10" t="n">
        <x:v>62.5</x:v>
      </x:c>
      <x:c r="J867" s="10" t="n">
        <x:v>81.33</x:v>
      </x:c>
      <x:c r="K867" s="2" t="n">
        <x:v>4</x:v>
      </x:c>
      <x:c r="L867" s="2" t="n">
        <x:v>0</x:v>
      </x:c>
    </x:row>
    <x:row r="868" ht="20" customHeight="1">
      <x:c r="A868" s="9" t="n">
        <x:v>46313</x:v>
      </x:c>
      <x:c r="B868" s="2" t="str">
        <x:v>MM-1902</x:v>
      </x:c>
      <x:c r="C868" s="2" t="str">
        <x:v>Organic Search</x:v>
      </x:c>
      <x:c r="D868" s="2" t="str">
        <x:v>CUS-020</x:v>
      </x:c>
      <x:c r="E868" s="10" t="n">
        <x:v>37.9</x:v>
      </x:c>
      <x:c r="F868" s="10" t="n">
        <x:v>0</x:v>
      </x:c>
      <x:c r="G868" s="10" t="n">
        <x:v>0</x:v>
      </x:c>
      <x:c r="H868" s="10" t="n">
        <x:v>37.9</x:v>
      </x:c>
      <x:c r="I868" s="10" t="n">
        <x:v>13</x:v>
      </x:c>
      <x:c r="J868" s="10" t="n">
        <x:v>24.9</x:v>
      </x:c>
      <x:c r="K868" s="2" t="n">
        <x:v>2</x:v>
      </x:c>
      <x:c r="L868" s="2" t="n">
        <x:v>0</x:v>
      </x:c>
    </x:row>
    <x:row r="869" ht="20" customHeight="1">
      <x:c r="A869" s="9" t="n">
        <x:v>46313</x:v>
      </x:c>
      <x:c r="B869" s="2" t="str">
        <x:v>MM-1916</x:v>
      </x:c>
      <x:c r="C869" s="2" t="str">
        <x:v>Email</x:v>
      </x:c>
      <x:c r="D869" s="2" t="str">
        <x:v>CUS-018</x:v>
      </x:c>
      <x:c r="E869" s="10" t="n">
        <x:v>9.95</x:v>
      </x:c>
      <x:c r="F869" s="10" t="n">
        <x:v>0.99</x:v>
      </x:c>
      <x:c r="G869" s="10" t="n">
        <x:v>0</x:v>
      </x:c>
      <x:c r="H869" s="10" t="n">
        <x:v>8.96</x:v>
      </x:c>
      <x:c r="I869" s="10" t="n">
        <x:v>2.5</x:v>
      </x:c>
      <x:c r="J869" s="10" t="n">
        <x:v>6.46</x:v>
      </x:c>
      <x:c r="K869" s="2" t="n">
        <x:v>1</x:v>
      </x:c>
      <x:c r="L869" s="2" t="n">
        <x:v>0</x:v>
      </x:c>
    </x:row>
    <x:row r="870" ht="20" customHeight="1">
      <x:c r="A870" s="9" t="n">
        <x:v>46313</x:v>
      </x:c>
      <x:c r="B870" s="2" t="str">
        <x:v>MM-1915</x:v>
      </x:c>
      <x:c r="C870" s="2" t="str">
        <x:v>Email</x:v>
      </x:c>
      <x:c r="D870" s="2" t="str">
        <x:v>CUS-025</x:v>
      </x:c>
      <x:c r="E870" s="10" t="n">
        <x:v>69.95</x:v>
      </x:c>
      <x:c r="F870" s="10" t="n">
        <x:v>6.99</x:v>
      </x:c>
      <x:c r="G870" s="10" t="n">
        <x:v>0</x:v>
      </x:c>
      <x:c r="H870" s="10" t="n">
        <x:v>62.96</x:v>
      </x:c>
      <x:c r="I870" s="10" t="n">
        <x:v>28</x:v>
      </x:c>
      <x:c r="J870" s="10" t="n">
        <x:v>34.96</x:v>
      </x:c>
      <x:c r="K870" s="2" t="n">
        <x:v>1</x:v>
      </x:c>
      <x:c r="L870" s="2" t="n">
        <x:v>0</x:v>
      </x:c>
    </x:row>
    <x:row r="871" ht="20" customHeight="1">
      <x:c r="A871" s="9" t="n">
        <x:v>46313</x:v>
      </x:c>
      <x:c r="B871" s="2" t="str">
        <x:v>MM-1904</x:v>
      </x:c>
      <x:c r="C871" s="2" t="str">
        <x:v>Organic Search</x:v>
      </x:c>
      <x:c r="D871" s="2" t="str">
        <x:v>CUS-026</x:v>
      </x:c>
      <x:c r="E871" s="10" t="n">
        <x:v>148.75</x:v>
      </x:c>
      <x:c r="F871" s="10" t="n">
        <x:v>0</x:v>
      </x:c>
      <x:c r="G871" s="10" t="n">
        <x:v>0</x:v>
      </x:c>
      <x:c r="H871" s="10" t="n">
        <x:v>148.75</x:v>
      </x:c>
      <x:c r="I871" s="10" t="n">
        <x:v>54</x:v>
      </x:c>
      <x:c r="J871" s="10" t="n">
        <x:v>94.75</x:v>
      </x:c>
      <x:c r="K871" s="2" t="n">
        <x:v>5</x:v>
      </x:c>
      <x:c r="L871" s="2" t="n">
        <x:v>0</x:v>
      </x:c>
    </x:row>
    <x:row r="872" ht="20" customHeight="1">
      <x:c r="A872" s="9" t="n">
        <x:v>46313</x:v>
      </x:c>
      <x:c r="B872" s="2" t="str">
        <x:v>MM-1908</x:v>
      </x:c>
      <x:c r="C872" s="2" t="str">
        <x:v>Email</x:v>
      </x:c>
      <x:c r="D872" s="2" t="str">
        <x:v>CUS-027</x:v>
      </x:c>
      <x:c r="E872" s="10" t="n">
        <x:v>137.85</x:v>
      </x:c>
      <x:c r="F872" s="10" t="n">
        <x:v>13.77</x:v>
      </x:c>
      <x:c r="G872" s="10" t="n">
        <x:v>0</x:v>
      </x:c>
      <x:c r="H872" s="10" t="n">
        <x:v>124.08</x:v>
      </x:c>
      <x:c r="I872" s="10" t="n">
        <x:v>54.5</x:v>
      </x:c>
      <x:c r="J872" s="10" t="n">
        <x:v>69.58</x:v>
      </x:c>
      <x:c r="K872" s="2" t="n">
        <x:v>3</x:v>
      </x:c>
      <x:c r="L872" s="2" t="n">
        <x:v>0</x:v>
      </x:c>
    </x:row>
    <x:row r="873" ht="20" customHeight="1">
      <x:c r="A873" s="9" t="n">
        <x:v>46313</x:v>
      </x:c>
      <x:c r="B873" s="2" t="str">
        <x:v>MM-1905</x:v>
      </x:c>
      <x:c r="C873" s="2" t="str">
        <x:v>Email</x:v>
      </x:c>
      <x:c r="D873" s="2" t="str">
        <x:v>CUS-030</x:v>
      </x:c>
      <x:c r="E873" s="10" t="n">
        <x:v>94.85</x:v>
      </x:c>
      <x:c r="F873" s="10" t="n">
        <x:v>9.48</x:v>
      </x:c>
      <x:c r="G873" s="10" t="n">
        <x:v>0</x:v>
      </x:c>
      <x:c r="H873" s="10" t="n">
        <x:v>85.37</x:v>
      </x:c>
      <x:c r="I873" s="10" t="n">
        <x:v>33.5</x:v>
      </x:c>
      <x:c r="J873" s="10" t="n">
        <x:v>51.87</x:v>
      </x:c>
      <x:c r="K873" s="2" t="n">
        <x:v>3</x:v>
      </x:c>
      <x:c r="L873" s="2" t="n">
        <x:v>0</x:v>
      </x:c>
    </x:row>
    <x:row r="874" ht="20" customHeight="1">
      <x:c r="A874" s="9" t="n">
        <x:v>46313</x:v>
      </x:c>
      <x:c r="B874" s="2" t="str">
        <x:v>MM-1909</x:v>
      </x:c>
      <x:c r="C874" s="2" t="str">
        <x:v>Organic Search</x:v>
      </x:c>
      <x:c r="D874" s="2" t="str">
        <x:v>CUS-011</x:v>
      </x:c>
      <x:c r="E874" s="10" t="n">
        <x:v>249.75</x:v>
      </x:c>
      <x:c r="F874" s="10" t="n">
        <x:v>0</x:v>
      </x:c>
      <x:c r="G874" s="10" t="n">
        <x:v>0</x:v>
      </x:c>
      <x:c r="H874" s="10" t="n">
        <x:v>249.75</x:v>
      </x:c>
      <x:c r="I874" s="10" t="n">
        <x:v>99</x:v>
      </x:c>
      <x:c r="J874" s="10" t="n">
        <x:v>150.75</x:v>
      </x:c>
      <x:c r="K874" s="2" t="n">
        <x:v>5</x:v>
      </x:c>
      <x:c r="L874" s="2" t="n">
        <x:v>0</x:v>
      </x:c>
    </x:row>
    <x:row r="875" ht="20" customHeight="1">
      <x:c r="A875" s="9" t="n">
        <x:v>46313</x:v>
      </x:c>
      <x:c r="B875" s="2" t="str">
        <x:v>MM-1911</x:v>
      </x:c>
      <x:c r="C875" s="2" t="str">
        <x:v>Email</x:v>
      </x:c>
      <x:c r="D875" s="2" t="str">
        <x:v>CUS-060</x:v>
      </x:c>
      <x:c r="E875" s="10" t="n">
        <x:v>159.9</x:v>
      </x:c>
      <x:c r="F875" s="10" t="n">
        <x:v>15.99</x:v>
      </x:c>
      <x:c r="G875" s="10" t="n">
        <x:v>0</x:v>
      </x:c>
      <x:c r="H875" s="10" t="n">
        <x:v>143.91</x:v>
      </x:c>
      <x:c r="I875" s="10" t="n">
        <x:v>64</x:v>
      </x:c>
      <x:c r="J875" s="10" t="n">
        <x:v>79.91</x:v>
      </x:c>
      <x:c r="K875" s="2" t="n">
        <x:v>2</x:v>
      </x:c>
      <x:c r="L875" s="2" t="n">
        <x:v>0</x:v>
      </x:c>
    </x:row>
    <x:row r="876" ht="20" customHeight="1">
      <x:c r="A876" s="9" t="n">
        <x:v>46313</x:v>
      </x:c>
      <x:c r="B876" s="2" t="str">
        <x:v>MM-1913</x:v>
      </x:c>
      <x:c r="C876" s="2" t="str">
        <x:v>Paid Social</x:v>
      </x:c>
      <x:c r="D876" s="2" t="str">
        <x:v>CUS-127</x:v>
      </x:c>
      <x:c r="E876" s="10" t="n">
        <x:v>59.95</x:v>
      </x:c>
      <x:c r="F876" s="10" t="n">
        <x:v>5.99</x:v>
      </x:c>
      <x:c r="G876" s="10" t="n">
        <x:v>0</x:v>
      </x:c>
      <x:c r="H876" s="10" t="n">
        <x:v>53.96</x:v>
      </x:c>
      <x:c r="I876" s="10" t="n">
        <x:v>24</x:v>
      </x:c>
      <x:c r="J876" s="10" t="n">
        <x:v>29.96</x:v>
      </x:c>
      <x:c r="K876" s="2" t="n">
        <x:v>1</x:v>
      </x:c>
      <x:c r="L876" s="2" t="n">
        <x:v>0</x:v>
      </x:c>
    </x:row>
    <x:row r="877" ht="20" customHeight="1">
      <x:c r="A877" s="9" t="n">
        <x:v>46313</x:v>
      </x:c>
      <x:c r="B877" s="2" t="str">
        <x:v>MM-1914</x:v>
      </x:c>
      <x:c r="C877" s="2" t="str">
        <x:v>Paid Social</x:v>
      </x:c>
      <x:c r="D877" s="2" t="str">
        <x:v>CUS-154</x:v>
      </x:c>
      <x:c r="E877" s="10" t="n">
        <x:v>369.75</x:v>
      </x:c>
      <x:c r="F877" s="10" t="n">
        <x:v>0</x:v>
      </x:c>
      <x:c r="G877" s="10" t="n">
        <x:v>0</x:v>
      </x:c>
      <x:c r="H877" s="10" t="n">
        <x:v>369.75</x:v>
      </x:c>
      <x:c r="I877" s="10" t="n">
        <x:v>148</x:v>
      </x:c>
      <x:c r="J877" s="10" t="n">
        <x:v>221.75</x:v>
      </x:c>
      <x:c r="K877" s="2" t="n">
        <x:v>5</x:v>
      </x:c>
      <x:c r="L877" s="2" t="n">
        <x:v>0</x:v>
      </x:c>
    </x:row>
    <x:row r="878" ht="20" customHeight="1">
      <x:c r="A878" s="9" t="n">
        <x:v>46313</x:v>
      </x:c>
      <x:c r="B878" s="2" t="str">
        <x:v>MM-1917</x:v>
      </x:c>
      <x:c r="C878" s="2" t="str">
        <x:v>Organic Search</x:v>
      </x:c>
      <x:c r="D878" s="2" t="str">
        <x:v>CUS-163</x:v>
      </x:c>
      <x:c r="E878" s="10" t="n">
        <x:v>79.95</x:v>
      </x:c>
      <x:c r="F878" s="10" t="n">
        <x:v>0</x:v>
      </x:c>
      <x:c r="G878" s="10" t="n">
        <x:v>0</x:v>
      </x:c>
      <x:c r="H878" s="10" t="n">
        <x:v>79.95</x:v>
      </x:c>
      <x:c r="I878" s="10" t="n">
        <x:v>32</x:v>
      </x:c>
      <x:c r="J878" s="10" t="n">
        <x:v>47.95</x:v>
      </x:c>
      <x:c r="K878" s="2" t="n">
        <x:v>1</x:v>
      </x:c>
      <x:c r="L878" s="2" t="n">
        <x:v>0</x:v>
      </x:c>
    </x:row>
    <x:row r="879" ht="20" customHeight="1">
      <x:c r="A879" s="9" t="n">
        <x:v>46313</x:v>
      </x:c>
      <x:c r="B879" s="2" t="str">
        <x:v>MM-1901</x:v>
      </x:c>
      <x:c r="C879" s="2" t="str">
        <x:v>Organic Search</x:v>
      </x:c>
      <x:c r="D879" s="2" t="str">
        <x:v>CUS-038</x:v>
      </x:c>
      <x:c r="E879" s="10" t="n">
        <x:v>73.9</x:v>
      </x:c>
      <x:c r="F879" s="10" t="n">
        <x:v>5.49</x:v>
      </x:c>
      <x:c r="G879" s="10" t="n">
        <x:v>0</x:v>
      </x:c>
      <x:c r="H879" s="10" t="n">
        <x:v>68.41</x:v>
      </x:c>
      <x:c r="I879" s="10" t="n">
        <x:v>28.5</x:v>
      </x:c>
      <x:c r="J879" s="10" t="n">
        <x:v>39.91</x:v>
      </x:c>
      <x:c r="K879" s="2" t="n">
        <x:v>2</x:v>
      </x:c>
      <x:c r="L879" s="2" t="n">
        <x:v>0</x:v>
      </x:c>
    </x:row>
    <x:row r="880" ht="20" customHeight="1">
      <x:c r="A880" s="9" t="n">
        <x:v>46313</x:v>
      </x:c>
      <x:c r="B880" s="2" t="str">
        <x:v>MM-1906</x:v>
      </x:c>
      <x:c r="C880" s="2" t="str">
        <x:v>Paid Social</x:v>
      </x:c>
      <x:c r="D880" s="2" t="str">
        <x:v>CUS-087</x:v>
      </x:c>
      <x:c r="E880" s="10" t="n">
        <x:v>37.9</x:v>
      </x:c>
      <x:c r="F880" s="10" t="n">
        <x:v>0</x:v>
      </x:c>
      <x:c r="G880" s="10" t="n">
        <x:v>0</x:v>
      </x:c>
      <x:c r="H880" s="10" t="n">
        <x:v>37.9</x:v>
      </x:c>
      <x:c r="I880" s="10" t="n">
        <x:v>12</x:v>
      </x:c>
      <x:c r="J880" s="10" t="n">
        <x:v>25.9</x:v>
      </x:c>
      <x:c r="K880" s="2" t="n">
        <x:v>2</x:v>
      </x:c>
      <x:c r="L880" s="2" t="n">
        <x:v>0</x:v>
      </x:c>
    </x:row>
    <x:row r="881" ht="20" customHeight="1">
      <x:c r="A881" s="9" t="n">
        <x:v>46313</x:v>
      </x:c>
      <x:c r="B881" s="2" t="str">
        <x:v>MM-1910</x:v>
      </x:c>
      <x:c r="C881" s="2" t="str">
        <x:v>Paid Social</x:v>
      </x:c>
      <x:c r="D881" s="2" t="str">
        <x:v>CUS-038</x:v>
      </x:c>
      <x:c r="E881" s="10" t="n">
        <x:v>59.95</x:v>
      </x:c>
      <x:c r="F881" s="10" t="n">
        <x:v>0</x:v>
      </x:c>
      <x:c r="G881" s="10" t="n">
        <x:v>0</x:v>
      </x:c>
      <x:c r="H881" s="10" t="n">
        <x:v>59.95</x:v>
      </x:c>
      <x:c r="I881" s="10" t="n">
        <x:v>24</x:v>
      </x:c>
      <x:c r="J881" s="10" t="n">
        <x:v>35.95</x:v>
      </x:c>
      <x:c r="K881" s="2" t="n">
        <x:v>1</x:v>
      </x:c>
      <x:c r="L881" s="2" t="n">
        <x:v>0</x:v>
      </x:c>
    </x:row>
    <x:row r="882" ht="20" customHeight="1">
      <x:c r="A882" s="9" t="n">
        <x:v>46313</x:v>
      </x:c>
      <x:c r="B882" s="2" t="str">
        <x:v>MM-1900</x:v>
      </x:c>
      <x:c r="C882" s="2" t="str">
        <x:v>Organic Search</x:v>
      </x:c>
      <x:c r="D882" s="2" t="str">
        <x:v>CUS-125</x:v>
      </x:c>
      <x:c r="E882" s="10" t="n">
        <x:v>54.95</x:v>
      </x:c>
      <x:c r="F882" s="10" t="n">
        <x:v>0</x:v>
      </x:c>
      <x:c r="G882" s="10" t="n">
        <x:v>0</x:v>
      </x:c>
      <x:c r="H882" s="10" t="n">
        <x:v>54.95</x:v>
      </x:c>
      <x:c r="I882" s="10" t="n">
        <x:v>22</x:v>
      </x:c>
      <x:c r="J882" s="10" t="n">
        <x:v>32.95</x:v>
      </x:c>
      <x:c r="K882" s="2" t="n">
        <x:v>1</x:v>
      </x:c>
      <x:c r="L882" s="2" t="n">
        <x:v>0</x:v>
      </x:c>
    </x:row>
    <x:row r="883" ht="20" customHeight="1">
      <x:c r="A883" s="9" t="n">
        <x:v>46313</x:v>
      </x:c>
      <x:c r="B883" s="2" t="str">
        <x:v>MM-1907</x:v>
      </x:c>
      <x:c r="C883" s="2" t="str">
        <x:v>Paid Social</x:v>
      </x:c>
      <x:c r="D883" s="2" t="str">
        <x:v>CUS-151</x:v>
      </x:c>
      <x:c r="E883" s="10" t="n">
        <x:v>29.95</x:v>
      </x:c>
      <x:c r="F883" s="10" t="n">
        <x:v>0</x:v>
      </x:c>
      <x:c r="G883" s="10" t="n">
        <x:v>0</x:v>
      </x:c>
      <x:c r="H883" s="10" t="n">
        <x:v>29.95</x:v>
      </x:c>
      <x:c r="I883" s="10" t="n">
        <x:v>10</x:v>
      </x:c>
      <x:c r="J883" s="10" t="n">
        <x:v>19.95</x:v>
      </x:c>
      <x:c r="K883" s="2" t="n">
        <x:v>1</x:v>
      </x:c>
      <x:c r="L883" s="2" t="n">
        <x:v>0</x:v>
      </x:c>
    </x:row>
    <x:row r="884" ht="20" customHeight="1">
      <x:c r="A884" s="9" t="n">
        <x:v>46313</x:v>
      </x:c>
      <x:c r="B884" s="2" t="str">
        <x:v>MM-1918</x:v>
      </x:c>
      <x:c r="C884" s="2" t="str">
        <x:v>Organic Search</x:v>
      </x:c>
      <x:c r="D884" s="2" t="str">
        <x:v>CUS-031</x:v>
      </x:c>
      <x:c r="E884" s="10" t="n">
        <x:v>49.9</x:v>
      </x:c>
      <x:c r="F884" s="10" t="n">
        <x:v>0</x:v>
      </x:c>
      <x:c r="G884" s="10" t="n">
        <x:v>0</x:v>
      </x:c>
      <x:c r="H884" s="10" t="n">
        <x:v>49.9</x:v>
      </x:c>
      <x:c r="I884" s="10" t="n">
        <x:v>18</x:v>
      </x:c>
      <x:c r="J884" s="10" t="n">
        <x:v>31.9</x:v>
      </x:c>
      <x:c r="K884" s="2" t="n">
        <x:v>2</x:v>
      </x:c>
      <x:c r="L884" s="2" t="n">
        <x:v>0</x:v>
      </x:c>
    </x:row>
    <x:row r="885" ht="20" customHeight="1">
      <x:c r="A885" s="9" t="n">
        <x:v>46313</x:v>
      </x:c>
      <x:c r="B885" s="2" t="str">
        <x:v>MM-1912</x:v>
      </x:c>
      <x:c r="C885" s="2" t="str">
        <x:v>Organic Search</x:v>
      </x:c>
      <x:c r="D885" s="2" t="str">
        <x:v>CUS-096</x:v>
      </x:c>
      <x:c r="E885" s="10" t="n">
        <x:v>59.95</x:v>
      </x:c>
      <x:c r="F885" s="10" t="n">
        <x:v>0</x:v>
      </x:c>
      <x:c r="G885" s="10" t="n">
        <x:v>0</x:v>
      </x:c>
      <x:c r="H885" s="10" t="n">
        <x:v>59.95</x:v>
      </x:c>
      <x:c r="I885" s="10" t="n">
        <x:v>24</x:v>
      </x:c>
      <x:c r="J885" s="10" t="n">
        <x:v>35.95</x:v>
      </x:c>
      <x:c r="K885" s="2" t="n">
        <x:v>1</x:v>
      </x:c>
      <x:c r="L885" s="2" t="n">
        <x:v>0</x:v>
      </x:c>
    </x:row>
    <x:row r="886" ht="20" customHeight="1">
      <x:c r="A886" s="9" t="n">
        <x:v>46313</x:v>
      </x:c>
      <x:c r="B886" s="2" t="str">
        <x:v>MM-1903</x:v>
      </x:c>
      <x:c r="C886" s="2" t="str">
        <x:v>Direct</x:v>
      </x:c>
      <x:c r="D886" s="2" t="str">
        <x:v>CUS-142</x:v>
      </x:c>
      <x:c r="E886" s="10" t="n">
        <x:v>25.9</x:v>
      </x:c>
      <x:c r="F886" s="10" t="n">
        <x:v>0</x:v>
      </x:c>
      <x:c r="G886" s="10" t="n">
        <x:v>0</x:v>
      </x:c>
      <x:c r="H886" s="10" t="n">
        <x:v>25.9</x:v>
      </x:c>
      <x:c r="I886" s="10" t="n">
        <x:v>7</x:v>
      </x:c>
      <x:c r="J886" s="10" t="n">
        <x:v>18.9</x:v>
      </x:c>
      <x:c r="K886" s="2" t="n">
        <x:v>2</x:v>
      </x:c>
      <x:c r="L886" s="2" t="n">
        <x:v>0</x:v>
      </x:c>
    </x:row>
    <x:row r="887" ht="20" customHeight="1">
      <x:c r="A887" s="9" t="n">
        <x:v>46314</x:v>
      </x:c>
      <x:c r="B887" s="2" t="str">
        <x:v>MM-1937</x:v>
      </x:c>
      <x:c r="C887" s="2" t="str">
        <x:v>Organic Search</x:v>
      </x:c>
      <x:c r="D887" s="2" t="str">
        <x:v>CUS-134</x:v>
      </x:c>
      <x:c r="E887" s="10" t="n">
        <x:v>18.95</x:v>
      </x:c>
      <x:c r="F887" s="10" t="n">
        <x:v>0</x:v>
      </x:c>
      <x:c r="G887" s="10" t="n">
        <x:v>0</x:v>
      </x:c>
      <x:c r="H887" s="10" t="n">
        <x:v>18.95</x:v>
      </x:c>
      <x:c r="I887" s="10" t="n">
        <x:v>6.5</x:v>
      </x:c>
      <x:c r="J887" s="10" t="n">
        <x:v>12.45</x:v>
      </x:c>
      <x:c r="K887" s="2" t="n">
        <x:v>1</x:v>
      </x:c>
      <x:c r="L887" s="2" t="n">
        <x:v>0</x:v>
      </x:c>
    </x:row>
    <x:row r="888" ht="20" customHeight="1">
      <x:c r="A888" s="9" t="n">
        <x:v>46314</x:v>
      </x:c>
      <x:c r="B888" s="2" t="str">
        <x:v>MM-1930</x:v>
      </x:c>
      <x:c r="C888" s="2" t="str">
        <x:v>Organic Search</x:v>
      </x:c>
      <x:c r="D888" s="2" t="str">
        <x:v>CUS-151</x:v>
      </x:c>
      <x:c r="E888" s="10" t="n">
        <x:v>38.85</x:v>
      </x:c>
      <x:c r="F888" s="10" t="n">
        <x:v>0</x:v>
      </x:c>
      <x:c r="G888" s="10" t="n">
        <x:v>0</x:v>
      </x:c>
      <x:c r="H888" s="10" t="n">
        <x:v>38.85</x:v>
      </x:c>
      <x:c r="I888" s="10" t="n">
        <x:v>10.5</x:v>
      </x:c>
      <x:c r="J888" s="10" t="n">
        <x:v>28.35</x:v>
      </x:c>
      <x:c r="K888" s="2" t="n">
        <x:v>3</x:v>
      </x:c>
      <x:c r="L888" s="2" t="n">
        <x:v>0</x:v>
      </x:c>
    </x:row>
    <x:row r="889" ht="20" customHeight="1">
      <x:c r="A889" s="9" t="n">
        <x:v>46314</x:v>
      </x:c>
      <x:c r="B889" s="2" t="str">
        <x:v>MM-1940</x:v>
      </x:c>
      <x:c r="C889" s="2" t="str">
        <x:v>Organic Search</x:v>
      </x:c>
      <x:c r="D889" s="2" t="str">
        <x:v>CUS-121</x:v>
      </x:c>
      <x:c r="E889" s="10" t="n">
        <x:v>19.95</x:v>
      </x:c>
      <x:c r="F889" s="10" t="n">
        <x:v>1.99</x:v>
      </x:c>
      <x:c r="G889" s="10" t="n">
        <x:v>0</x:v>
      </x:c>
      <x:c r="H889" s="10" t="n">
        <x:v>17.96</x:v>
      </x:c>
      <x:c r="I889" s="10" t="n">
        <x:v>6</x:v>
      </x:c>
      <x:c r="J889" s="10" t="n">
        <x:v>11.96</x:v>
      </x:c>
      <x:c r="K889" s="2" t="n">
        <x:v>1</x:v>
      </x:c>
      <x:c r="L889" s="2" t="n">
        <x:v>0</x:v>
      </x:c>
    </x:row>
    <x:row r="890" ht="20" customHeight="1">
      <x:c r="A890" s="9" t="n">
        <x:v>46314</x:v>
      </x:c>
      <x:c r="B890" s="2" t="str">
        <x:v>MM-1920</x:v>
      </x:c>
      <x:c r="C890" s="2" t="str">
        <x:v>Organic Search</x:v>
      </x:c>
      <x:c r="D890" s="2" t="str">
        <x:v>CUS-065</x:v>
      </x:c>
      <x:c r="E890" s="10" t="n">
        <x:v>25.9</x:v>
      </x:c>
      <x:c r="F890" s="10" t="n">
        <x:v>0</x:v>
      </x:c>
      <x:c r="G890" s="10" t="n">
        <x:v>0</x:v>
      </x:c>
      <x:c r="H890" s="10" t="n">
        <x:v>25.9</x:v>
      </x:c>
      <x:c r="I890" s="10" t="n">
        <x:v>7</x:v>
      </x:c>
      <x:c r="J890" s="10" t="n">
        <x:v>18.9</x:v>
      </x:c>
      <x:c r="K890" s="2" t="n">
        <x:v>2</x:v>
      </x:c>
      <x:c r="L890" s="2" t="n">
        <x:v>0</x:v>
      </x:c>
    </x:row>
    <x:row r="891" ht="20" customHeight="1">
      <x:c r="A891" s="9" t="n">
        <x:v>46314</x:v>
      </x:c>
      <x:c r="B891" s="2" t="str">
        <x:v>MM-1922</x:v>
      </x:c>
      <x:c r="C891" s="2" t="str">
        <x:v>Organic Search</x:v>
      </x:c>
      <x:c r="D891" s="2" t="str">
        <x:v>CUS-173</x:v>
      </x:c>
      <x:c r="E891" s="10" t="n">
        <x:v>159.9</x:v>
      </x:c>
      <x:c r="F891" s="10" t="n">
        <x:v>0</x:v>
      </x:c>
      <x:c r="G891" s="10" t="n">
        <x:v>0</x:v>
      </x:c>
      <x:c r="H891" s="10" t="n">
        <x:v>159.9</x:v>
      </x:c>
      <x:c r="I891" s="10" t="n">
        <x:v>64</x:v>
      </x:c>
      <x:c r="J891" s="10" t="n">
        <x:v>95.9</x:v>
      </x:c>
      <x:c r="K891" s="2" t="n">
        <x:v>2</x:v>
      </x:c>
      <x:c r="L891" s="2" t="n">
        <x:v>0</x:v>
      </x:c>
    </x:row>
    <x:row r="892" ht="20" customHeight="1">
      <x:c r="A892" s="9" t="n">
        <x:v>46314</x:v>
      </x:c>
      <x:c r="B892" s="2" t="str">
        <x:v>MM-1935</x:v>
      </x:c>
      <x:c r="C892" s="2" t="str">
        <x:v>Email</x:v>
      </x:c>
      <x:c r="D892" s="2" t="str">
        <x:v>CUS-002</x:v>
      </x:c>
      <x:c r="E892" s="10" t="n">
        <x:v>72.85</x:v>
      </x:c>
      <x:c r="F892" s="10" t="n">
        <x:v>7.27</x:v>
      </x:c>
      <x:c r="G892" s="10" t="n">
        <x:v>0</x:v>
      </x:c>
      <x:c r="H892" s="10" t="n">
        <x:v>65.58</x:v>
      </x:c>
      <x:c r="I892" s="10" t="n">
        <x:v>26</x:v>
      </x:c>
      <x:c r="J892" s="10" t="n">
        <x:v>39.58</x:v>
      </x:c>
      <x:c r="K892" s="2" t="n">
        <x:v>3</x:v>
      </x:c>
      <x:c r="L892" s="2" t="n">
        <x:v>0</x:v>
      </x:c>
    </x:row>
    <x:row r="893" ht="20" customHeight="1">
      <x:c r="A893" s="9" t="n">
        <x:v>46314</x:v>
      </x:c>
      <x:c r="B893" s="2" t="str">
        <x:v>MM-1936</x:v>
      </x:c>
      <x:c r="C893" s="2" t="str">
        <x:v>Paid Social</x:v>
      </x:c>
      <x:c r="D893" s="2" t="str">
        <x:v>CUS-119</x:v>
      </x:c>
      <x:c r="E893" s="10" t="n">
        <x:v>59.9</x:v>
      </x:c>
      <x:c r="F893" s="10" t="n">
        <x:v>0</x:v>
      </x:c>
      <x:c r="G893" s="10" t="n">
        <x:v>0</x:v>
      </x:c>
      <x:c r="H893" s="10" t="n">
        <x:v>59.9</x:v>
      </x:c>
      <x:c r="I893" s="10" t="n">
        <x:v>20</x:v>
      </x:c>
      <x:c r="J893" s="10" t="n">
        <x:v>39.9</x:v>
      </x:c>
      <x:c r="K893" s="2" t="n">
        <x:v>2</x:v>
      </x:c>
      <x:c r="L893" s="2" t="n">
        <x:v>0</x:v>
      </x:c>
    </x:row>
    <x:row r="894" ht="20" customHeight="1">
      <x:c r="A894" s="9" t="n">
        <x:v>46314</x:v>
      </x:c>
      <x:c r="B894" s="2" t="str">
        <x:v>MM-1927</x:v>
      </x:c>
      <x:c r="C894" s="2" t="str">
        <x:v>Email</x:v>
      </x:c>
      <x:c r="D894" s="2" t="str">
        <x:v>CUS-065</x:v>
      </x:c>
      <x:c r="E894" s="10" t="n">
        <x:v>68.85</x:v>
      </x:c>
      <x:c r="F894" s="10" t="n">
        <x:v>6.88</x:v>
      </x:c>
      <x:c r="G894" s="10" t="n">
        <x:v>0</x:v>
      </x:c>
      <x:c r="H894" s="10" t="n">
        <x:v>61.97</x:v>
      </x:c>
      <x:c r="I894" s="10" t="n">
        <x:v>25.5</x:v>
      </x:c>
      <x:c r="J894" s="10" t="n">
        <x:v>36.47</x:v>
      </x:c>
      <x:c r="K894" s="2" t="n">
        <x:v>3</x:v>
      </x:c>
      <x:c r="L894" s="2" t="n">
        <x:v>0</x:v>
      </x:c>
    </x:row>
    <x:row r="895" ht="20" customHeight="1">
      <x:c r="A895" s="9" t="n">
        <x:v>46314</x:v>
      </x:c>
      <x:c r="B895" s="2" t="str">
        <x:v>MM-1923</x:v>
      </x:c>
      <x:c r="C895" s="2" t="str">
        <x:v>Paid Social</x:v>
      </x:c>
      <x:c r="D895" s="2" t="str">
        <x:v>CUS-131</x:v>
      </x:c>
      <x:c r="E895" s="10" t="n">
        <x:v>74.85</x:v>
      </x:c>
      <x:c r="F895" s="10" t="n">
        <x:v>0</x:v>
      </x:c>
      <x:c r="G895" s="10" t="n">
        <x:v>0</x:v>
      </x:c>
      <x:c r="H895" s="10" t="n">
        <x:v>74.85</x:v>
      </x:c>
      <x:c r="I895" s="10" t="n">
        <x:v>27</x:v>
      </x:c>
      <x:c r="J895" s="10" t="n">
        <x:v>47.85</x:v>
      </x:c>
      <x:c r="K895" s="2" t="n">
        <x:v>3</x:v>
      </x:c>
      <x:c r="L895" s="2" t="n">
        <x:v>0</x:v>
      </x:c>
    </x:row>
    <x:row r="896" ht="20" customHeight="1">
      <x:c r="A896" s="9" t="n">
        <x:v>46314</x:v>
      </x:c>
      <x:c r="B896" s="2" t="str">
        <x:v>MM-1926</x:v>
      </x:c>
      <x:c r="C896" s="2" t="str">
        <x:v>Organic Search</x:v>
      </x:c>
      <x:c r="D896" s="2" t="str">
        <x:v>CUS-083</x:v>
      </x:c>
      <x:c r="E896" s="10" t="n">
        <x:v>44.9</x:v>
      </x:c>
      <x:c r="F896" s="10" t="n">
        <x:v>0</x:v>
      </x:c>
      <x:c r="G896" s="10" t="n">
        <x:v>0</x:v>
      </x:c>
      <x:c r="H896" s="10" t="n">
        <x:v>44.9</x:v>
      </x:c>
      <x:c r="I896" s="10" t="n">
        <x:v>15</x:v>
      </x:c>
      <x:c r="J896" s="10" t="n">
        <x:v>29.9</x:v>
      </x:c>
      <x:c r="K896" s="2" t="n">
        <x:v>2</x:v>
      </x:c>
      <x:c r="L896" s="2" t="n">
        <x:v>0</x:v>
      </x:c>
    </x:row>
    <x:row r="897" ht="20" customHeight="1">
      <x:c r="A897" s="9" t="n">
        <x:v>46314</x:v>
      </x:c>
      <x:c r="B897" s="2" t="str">
        <x:v>MM-1941</x:v>
      </x:c>
      <x:c r="C897" s="2" t="str">
        <x:v>Organic Search</x:v>
      </x:c>
      <x:c r="D897" s="2" t="str">
        <x:v>CUS-056</x:v>
      </x:c>
      <x:c r="E897" s="10" t="n">
        <x:v>59.9</x:v>
      </x:c>
      <x:c r="F897" s="10" t="n">
        <x:v>0</x:v>
      </x:c>
      <x:c r="G897" s="10" t="n">
        <x:v>0</x:v>
      </x:c>
      <x:c r="H897" s="10" t="n">
        <x:v>59.9</x:v>
      </x:c>
      <x:c r="I897" s="10" t="n">
        <x:v>20</x:v>
      </x:c>
      <x:c r="J897" s="10" t="n">
        <x:v>39.9</x:v>
      </x:c>
      <x:c r="K897" s="2" t="n">
        <x:v>2</x:v>
      </x:c>
      <x:c r="L897" s="2" t="n">
        <x:v>0</x:v>
      </x:c>
    </x:row>
    <x:row r="898" ht="20" customHeight="1">
      <x:c r="A898" s="9" t="n">
        <x:v>46314</x:v>
      </x:c>
      <x:c r="B898" s="2" t="str">
        <x:v>MM-1929</x:v>
      </x:c>
      <x:c r="C898" s="2" t="str">
        <x:v>Organic Search</x:v>
      </x:c>
      <x:c r="D898" s="2" t="str">
        <x:v>CUS-171</x:v>
      </x:c>
      <x:c r="E898" s="10" t="n">
        <x:v>157.85</x:v>
      </x:c>
      <x:c r="F898" s="10" t="n">
        <x:v>0</x:v>
      </x:c>
      <x:c r="G898" s="10" t="n">
        <x:v>0</x:v>
      </x:c>
      <x:c r="H898" s="10" t="n">
        <x:v>157.85</x:v>
      </x:c>
      <x:c r="I898" s="10" t="n">
        <x:v>62.5</x:v>
      </x:c>
      <x:c r="J898" s="10" t="n">
        <x:v>95.35</x:v>
      </x:c>
      <x:c r="K898" s="2" t="n">
        <x:v>3</x:v>
      </x:c>
      <x:c r="L898" s="2" t="n">
        <x:v>0</x:v>
      </x:c>
    </x:row>
    <x:row r="899" ht="20" customHeight="1">
      <x:c r="A899" s="9" t="n">
        <x:v>46314</x:v>
      </x:c>
      <x:c r="B899" s="2" t="str">
        <x:v>MM-1919</x:v>
      </x:c>
      <x:c r="C899" s="2" t="str">
        <x:v>Email</x:v>
      </x:c>
      <x:c r="D899" s="2" t="str">
        <x:v>CUS-173</x:v>
      </x:c>
      <x:c r="E899" s="10" t="n">
        <x:v>29.95</x:v>
      </x:c>
      <x:c r="F899" s="10" t="n">
        <x:v>2.99</x:v>
      </x:c>
      <x:c r="G899" s="10" t="n">
        <x:v>0</x:v>
      </x:c>
      <x:c r="H899" s="10" t="n">
        <x:v>26.96</x:v>
      </x:c>
      <x:c r="I899" s="10" t="n">
        <x:v>10</x:v>
      </x:c>
      <x:c r="J899" s="10" t="n">
        <x:v>16.96</x:v>
      </x:c>
      <x:c r="K899" s="2" t="n">
        <x:v>1</x:v>
      </x:c>
      <x:c r="L899" s="2" t="n">
        <x:v>0</x:v>
      </x:c>
    </x:row>
    <x:row r="900" ht="20" customHeight="1">
      <x:c r="A900" s="9" t="n">
        <x:v>46314</x:v>
      </x:c>
      <x:c r="B900" s="2" t="str">
        <x:v>MM-1928</x:v>
      </x:c>
      <x:c r="C900" s="2" t="str">
        <x:v>Direct</x:v>
      </x:c>
      <x:c r="D900" s="2" t="str">
        <x:v>CUS-094</x:v>
      </x:c>
      <x:c r="E900" s="10" t="n">
        <x:v>12.95</x:v>
      </x:c>
      <x:c r="F900" s="10" t="n">
        <x:v>0</x:v>
      </x:c>
      <x:c r="G900" s="10" t="n">
        <x:v>0</x:v>
      </x:c>
      <x:c r="H900" s="10" t="n">
        <x:v>12.95</x:v>
      </x:c>
      <x:c r="I900" s="10" t="n">
        <x:v>3.5</x:v>
      </x:c>
      <x:c r="J900" s="10" t="n">
        <x:v>9.45</x:v>
      </x:c>
      <x:c r="K900" s="2" t="n">
        <x:v>1</x:v>
      </x:c>
      <x:c r="L900" s="2" t="n">
        <x:v>0</x:v>
      </x:c>
    </x:row>
    <x:row r="901" ht="20" customHeight="1">
      <x:c r="A901" s="9" t="n">
        <x:v>46314</x:v>
      </x:c>
      <x:c r="B901" s="2" t="str">
        <x:v>MM-1931</x:v>
      </x:c>
      <x:c r="C901" s="2" t="str">
        <x:v>Organic Search</x:v>
      </x:c>
      <x:c r="D901" s="2" t="str">
        <x:v>CUS-098</x:v>
      </x:c>
      <x:c r="E901" s="10" t="n">
        <x:v>132.85</x:v>
      </x:c>
      <x:c r="F901" s="10" t="n">
        <x:v>0</x:v>
      </x:c>
      <x:c r="G901" s="10" t="n">
        <x:v>0</x:v>
      </x:c>
      <x:c r="H901" s="10" t="n">
        <x:v>132.85</x:v>
      </x:c>
      <x:c r="I901" s="10" t="n">
        <x:v>52.5</x:v>
      </x:c>
      <x:c r="J901" s="10" t="n">
        <x:v>80.35</x:v>
      </x:c>
      <x:c r="K901" s="2" t="n">
        <x:v>3</x:v>
      </x:c>
      <x:c r="L901" s="2" t="n">
        <x:v>0</x:v>
      </x:c>
    </x:row>
    <x:row r="902" ht="20" customHeight="1">
      <x:c r="A902" s="9" t="n">
        <x:v>46314</x:v>
      </x:c>
      <x:c r="B902" s="2" t="str">
        <x:v>MM-1938</x:v>
      </x:c>
      <x:c r="C902" s="2" t="str">
        <x:v>Organic Search</x:v>
      </x:c>
      <x:c r="D902" s="2" t="str">
        <x:v>CUS-125</x:v>
      </x:c>
      <x:c r="E902" s="10" t="n">
        <x:v>24.95</x:v>
      </x:c>
      <x:c r="F902" s="10" t="n">
        <x:v>0</x:v>
      </x:c>
      <x:c r="G902" s="10" t="n">
        <x:v>0</x:v>
      </x:c>
      <x:c r="H902" s="10" t="n">
        <x:v>24.95</x:v>
      </x:c>
      <x:c r="I902" s="10" t="n">
        <x:v>9</x:v>
      </x:c>
      <x:c r="J902" s="10" t="n">
        <x:v>15.95</x:v>
      </x:c>
      <x:c r="K902" s="2" t="n">
        <x:v>1</x:v>
      </x:c>
      <x:c r="L902" s="2" t="n">
        <x:v>0</x:v>
      </x:c>
    </x:row>
    <x:row r="903" ht="20" customHeight="1">
      <x:c r="A903" s="9" t="n">
        <x:v>46314</x:v>
      </x:c>
      <x:c r="B903" s="2" t="str">
        <x:v>MM-1921</x:v>
      </x:c>
      <x:c r="C903" s="2" t="str">
        <x:v>Organic Search</x:v>
      </x:c>
      <x:c r="D903" s="2" t="str">
        <x:v>CUS-130</x:v>
      </x:c>
      <x:c r="E903" s="10" t="n">
        <x:v>62.85</x:v>
      </x:c>
      <x:c r="F903" s="10" t="n">
        <x:v>3.99</x:v>
      </x:c>
      <x:c r="G903" s="10" t="n">
        <x:v>0</x:v>
      </x:c>
      <x:c r="H903" s="10" t="n">
        <x:v>58.86</x:v>
      </x:c>
      <x:c r="I903" s="10" t="n">
        <x:v>20.5</x:v>
      </x:c>
      <x:c r="J903" s="10" t="n">
        <x:v>38.36</x:v>
      </x:c>
      <x:c r="K903" s="2" t="n">
        <x:v>3</x:v>
      </x:c>
      <x:c r="L903" s="2" t="n">
        <x:v>0</x:v>
      </x:c>
    </x:row>
    <x:row r="904" ht="20" customHeight="1">
      <x:c r="A904" s="9" t="n">
        <x:v>46314</x:v>
      </x:c>
      <x:c r="B904" s="2" t="str">
        <x:v>MM-1925</x:v>
      </x:c>
      <x:c r="C904" s="2" t="str">
        <x:v>Organic Search</x:v>
      </x:c>
      <x:c r="D904" s="2" t="str">
        <x:v>CUS-045</x:v>
      </x:c>
      <x:c r="E904" s="10" t="n">
        <x:v>38.85</x:v>
      </x:c>
      <x:c r="F904" s="10" t="n">
        <x:v>0</x:v>
      </x:c>
      <x:c r="G904" s="10" t="n">
        <x:v>0</x:v>
      </x:c>
      <x:c r="H904" s="10" t="n">
        <x:v>38.85</x:v>
      </x:c>
      <x:c r="I904" s="10" t="n">
        <x:v>10.5</x:v>
      </x:c>
      <x:c r="J904" s="10" t="n">
        <x:v>28.35</x:v>
      </x:c>
      <x:c r="K904" s="2" t="n">
        <x:v>3</x:v>
      </x:c>
      <x:c r="L904" s="2" t="n">
        <x:v>0</x:v>
      </x:c>
    </x:row>
    <x:row r="905" ht="20" customHeight="1">
      <x:c r="A905" s="9" t="n">
        <x:v>46314</x:v>
      </x:c>
      <x:c r="B905" s="2" t="str">
        <x:v>MM-1939</x:v>
      </x:c>
      <x:c r="C905" s="2" t="str">
        <x:v>Direct</x:v>
      </x:c>
      <x:c r="D905" s="2" t="str">
        <x:v>CUS-005</x:v>
      </x:c>
      <x:c r="E905" s="10" t="n">
        <x:v>179.75</x:v>
      </x:c>
      <x:c r="F905" s="10" t="n">
        <x:v>0</x:v>
      </x:c>
      <x:c r="G905" s="10" t="n">
        <x:v>0</x:v>
      </x:c>
      <x:c r="H905" s="10" t="n">
        <x:v>179.75</x:v>
      </x:c>
      <x:c r="I905" s="10" t="n">
        <x:v>64</x:v>
      </x:c>
      <x:c r="J905" s="10" t="n">
        <x:v>115.75</x:v>
      </x:c>
      <x:c r="K905" s="2" t="n">
        <x:v>5</x:v>
      </x:c>
      <x:c r="L905" s="2" t="n">
        <x:v>0</x:v>
      </x:c>
    </x:row>
    <x:row r="906" ht="20" customHeight="1">
      <x:c r="A906" s="9" t="n">
        <x:v>46314</x:v>
      </x:c>
      <x:c r="B906" s="2" t="str">
        <x:v>MM-1933</x:v>
      </x:c>
      <x:c r="C906" s="2" t="str">
        <x:v>Paid Social</x:v>
      </x:c>
      <x:c r="D906" s="2" t="str">
        <x:v>CUS-011</x:v>
      </x:c>
      <x:c r="E906" s="10" t="n">
        <x:v>115.8</x:v>
      </x:c>
      <x:c r="F906" s="10" t="n">
        <x:v>0</x:v>
      </x:c>
      <x:c r="G906" s="10" t="n">
        <x:v>0</x:v>
      </x:c>
      <x:c r="H906" s="10" t="n">
        <x:v>115.8</x:v>
      </x:c>
      <x:c r="I906" s="10" t="n">
        <x:v>43.5</x:v>
      </x:c>
      <x:c r="J906" s="10" t="n">
        <x:v>72.3</x:v>
      </x:c>
      <x:c r="K906" s="2" t="n">
        <x:v>4</x:v>
      </x:c>
      <x:c r="L906" s="2" t="n">
        <x:v>0</x:v>
      </x:c>
    </x:row>
    <x:row r="907" ht="20" customHeight="1">
      <x:c r="A907" s="9" t="n">
        <x:v>46314</x:v>
      </x:c>
      <x:c r="B907" s="2" t="str">
        <x:v>MM-1934</x:v>
      </x:c>
      <x:c r="C907" s="2" t="str">
        <x:v>Organic Search</x:v>
      </x:c>
      <x:c r="D907" s="2" t="str">
        <x:v>CUS-133</x:v>
      </x:c>
      <x:c r="E907" s="10" t="n">
        <x:v>102.9</x:v>
      </x:c>
      <x:c r="F907" s="10" t="n">
        <x:v>0</x:v>
      </x:c>
      <x:c r="G907" s="10" t="n">
        <x:v>0</x:v>
      </x:c>
      <x:c r="H907" s="10" t="n">
        <x:v>102.9</x:v>
      </x:c>
      <x:c r="I907" s="10" t="n">
        <x:v>40.5</x:v>
      </x:c>
      <x:c r="J907" s="10" t="n">
        <x:v>62.4</x:v>
      </x:c>
      <x:c r="K907" s="2" t="n">
        <x:v>2</x:v>
      </x:c>
      <x:c r="L907" s="2" t="n">
        <x:v>0</x:v>
      </x:c>
    </x:row>
    <x:row r="908" ht="20" customHeight="1">
      <x:c r="A908" s="9" t="n">
        <x:v>46314</x:v>
      </x:c>
      <x:c r="B908" s="2" t="str">
        <x:v>MM-1924</x:v>
      </x:c>
      <x:c r="C908" s="2" t="str">
        <x:v>Email</x:v>
      </x:c>
      <x:c r="D908" s="2" t="str">
        <x:v>CUS-118</x:v>
      </x:c>
      <x:c r="E908" s="10" t="n">
        <x:v>174.85</x:v>
      </x:c>
      <x:c r="F908" s="10" t="n">
        <x:v>17.48</x:v>
      </x:c>
      <x:c r="G908" s="10" t="n">
        <x:v>0</x:v>
      </x:c>
      <x:c r="H908" s="10" t="n">
        <x:v>157.37</x:v>
      </x:c>
      <x:c r="I908" s="10" t="n">
        <x:v>69.5</x:v>
      </x:c>
      <x:c r="J908" s="10" t="n">
        <x:v>87.87</x:v>
      </x:c>
      <x:c r="K908" s="2" t="n">
        <x:v>3</x:v>
      </x:c>
      <x:c r="L908" s="2" t="n">
        <x:v>0</x:v>
      </x:c>
    </x:row>
    <x:row r="909" ht="20" customHeight="1">
      <x:c r="A909" s="9" t="n">
        <x:v>46314</x:v>
      </x:c>
      <x:c r="B909" s="2" t="str">
        <x:v>MM-1932</x:v>
      </x:c>
      <x:c r="C909" s="2" t="str">
        <x:v>Email</x:v>
      </x:c>
      <x:c r="D909" s="2" t="str">
        <x:v>CUS-175</x:v>
      </x:c>
      <x:c r="E909" s="10" t="n">
        <x:v>49.9</x:v>
      </x:c>
      <x:c r="F909" s="10" t="n">
        <x:v>4.98</x:v>
      </x:c>
      <x:c r="G909" s="10" t="n">
        <x:v>0</x:v>
      </x:c>
      <x:c r="H909" s="10" t="n">
        <x:v>44.92</x:v>
      </x:c>
      <x:c r="I909" s="10" t="n">
        <x:v>17.5</x:v>
      </x:c>
      <x:c r="J909" s="10" t="n">
        <x:v>27.42</x:v>
      </x:c>
      <x:c r="K909" s="2" t="n">
        <x:v>2</x:v>
      </x:c>
      <x:c r="L909" s="2" t="n">
        <x:v>0</x:v>
      </x:c>
    </x:row>
    <x:row r="910" ht="20" customHeight="1">
      <x:c r="A910" s="9" t="n">
        <x:v>46315</x:v>
      </x:c>
      <x:c r="B910" s="2" t="str">
        <x:v>MM-1961</x:v>
      </x:c>
      <x:c r="C910" s="2" t="str">
        <x:v>Email</x:v>
      </x:c>
      <x:c r="D910" s="2" t="str">
        <x:v>CUS-133</x:v>
      </x:c>
      <x:c r="E910" s="10" t="n">
        <x:v>54.95</x:v>
      </x:c>
      <x:c r="F910" s="10" t="n">
        <x:v>5.49</x:v>
      </x:c>
      <x:c r="G910" s="10" t="n">
        <x:v>0</x:v>
      </x:c>
      <x:c r="H910" s="10" t="n">
        <x:v>49.46</x:v>
      </x:c>
      <x:c r="I910" s="10" t="n">
        <x:v>22</x:v>
      </x:c>
      <x:c r="J910" s="10" t="n">
        <x:v>27.46</x:v>
      </x:c>
      <x:c r="K910" s="2" t="n">
        <x:v>1</x:v>
      </x:c>
      <x:c r="L910" s="2" t="n">
        <x:v>0</x:v>
      </x:c>
    </x:row>
    <x:row r="911" ht="20" customHeight="1">
      <x:c r="A911" s="9" t="n">
        <x:v>46315</x:v>
      </x:c>
      <x:c r="B911" s="2" t="str">
        <x:v>MM-1947</x:v>
      </x:c>
      <x:c r="C911" s="2" t="str">
        <x:v>Organic Search</x:v>
      </x:c>
      <x:c r="D911" s="2" t="str">
        <x:v>CUS-076</x:v>
      </x:c>
      <x:c r="E911" s="10" t="n">
        <x:v>24.95</x:v>
      </x:c>
      <x:c r="F911" s="10" t="n">
        <x:v>0</x:v>
      </x:c>
      <x:c r="G911" s="10" t="n">
        <x:v>0</x:v>
      </x:c>
      <x:c r="H911" s="10" t="n">
        <x:v>24.95</x:v>
      </x:c>
      <x:c r="I911" s="10" t="n">
        <x:v>9</x:v>
      </x:c>
      <x:c r="J911" s="10" t="n">
        <x:v>15.95</x:v>
      </x:c>
      <x:c r="K911" s="2" t="n">
        <x:v>1</x:v>
      </x:c>
      <x:c r="L911" s="2" t="n">
        <x:v>0</x:v>
      </x:c>
    </x:row>
    <x:row r="912" ht="20" customHeight="1">
      <x:c r="A912" s="9" t="n">
        <x:v>46315</x:v>
      </x:c>
      <x:c r="B912" s="2" t="str">
        <x:v>MM-1945</x:v>
      </x:c>
      <x:c r="C912" s="2" t="str">
        <x:v>Email</x:v>
      </x:c>
      <x:c r="D912" s="2" t="str">
        <x:v>CUS-066</x:v>
      </x:c>
      <x:c r="E912" s="10" t="n">
        <x:v>9.95</x:v>
      </x:c>
      <x:c r="F912" s="10" t="n">
        <x:v>0.99</x:v>
      </x:c>
      <x:c r="G912" s="10" t="n">
        <x:v>0</x:v>
      </x:c>
      <x:c r="H912" s="10" t="n">
        <x:v>8.96</x:v>
      </x:c>
      <x:c r="I912" s="10" t="n">
        <x:v>2.5</x:v>
      </x:c>
      <x:c r="J912" s="10" t="n">
        <x:v>6.46</x:v>
      </x:c>
      <x:c r="K912" s="2" t="n">
        <x:v>1</x:v>
      </x:c>
      <x:c r="L912" s="2" t="n">
        <x:v>0</x:v>
      </x:c>
    </x:row>
    <x:row r="913" ht="20" customHeight="1">
      <x:c r="A913" s="9" t="n">
        <x:v>46315</x:v>
      </x:c>
      <x:c r="B913" s="2" t="str">
        <x:v>MM-1953</x:v>
      </x:c>
      <x:c r="C913" s="2" t="str">
        <x:v>Organic Search</x:v>
      </x:c>
      <x:c r="D913" s="2" t="str">
        <x:v>CUS-026</x:v>
      </x:c>
      <x:c r="E913" s="10" t="n">
        <x:v>19.95</x:v>
      </x:c>
      <x:c r="F913" s="10" t="n">
        <x:v>1.99</x:v>
      </x:c>
      <x:c r="G913" s="10" t="n">
        <x:v>0</x:v>
      </x:c>
      <x:c r="H913" s="10" t="n">
        <x:v>17.96</x:v>
      </x:c>
      <x:c r="I913" s="10" t="n">
        <x:v>6</x:v>
      </x:c>
      <x:c r="J913" s="10" t="n">
        <x:v>11.96</x:v>
      </x:c>
      <x:c r="K913" s="2" t="n">
        <x:v>1</x:v>
      </x:c>
      <x:c r="L913" s="2" t="n">
        <x:v>0</x:v>
      </x:c>
    </x:row>
    <x:row r="914" ht="20" customHeight="1">
      <x:c r="A914" s="9" t="n">
        <x:v>46315</x:v>
      </x:c>
      <x:c r="B914" s="2" t="str">
        <x:v>MM-1963</x:v>
      </x:c>
      <x:c r="C914" s="2" t="str">
        <x:v>Email</x:v>
      </x:c>
      <x:c r="D914" s="2" t="str">
        <x:v>CUS-132</x:v>
      </x:c>
      <x:c r="E914" s="10" t="n">
        <x:v>34.95</x:v>
      </x:c>
      <x:c r="F914" s="10" t="n">
        <x:v>3.49</x:v>
      </x:c>
      <x:c r="G914" s="10" t="n">
        <x:v>0</x:v>
      </x:c>
      <x:c r="H914" s="10" t="n">
        <x:v>31.46</x:v>
      </x:c>
      <x:c r="I914" s="10" t="n">
        <x:v>13.5</x:v>
      </x:c>
      <x:c r="J914" s="10" t="n">
        <x:v>17.96</x:v>
      </x:c>
      <x:c r="K914" s="2" t="n">
        <x:v>1</x:v>
      </x:c>
      <x:c r="L914" s="2" t="n">
        <x:v>0</x:v>
      </x:c>
    </x:row>
    <x:row r="915" ht="20" customHeight="1">
      <x:c r="A915" s="9" t="n">
        <x:v>46315</x:v>
      </x:c>
      <x:c r="B915" s="2" t="str">
        <x:v>MM-1952</x:v>
      </x:c>
      <x:c r="C915" s="2" t="str">
        <x:v>Email</x:v>
      </x:c>
      <x:c r="D915" s="2" t="str">
        <x:v>CUS-001</x:v>
      </x:c>
      <x:c r="E915" s="10" t="n">
        <x:v>164.75</x:v>
      </x:c>
      <x:c r="F915" s="10" t="n">
        <x:v>16.47</x:v>
      </x:c>
      <x:c r="G915" s="10" t="n">
        <x:v>0</x:v>
      </x:c>
      <x:c r="H915" s="10" t="n">
        <x:v>148.28</x:v>
      </x:c>
      <x:c r="I915" s="10" t="n">
        <x:v>60.5</x:v>
      </x:c>
      <x:c r="J915" s="10" t="n">
        <x:v>87.78</x:v>
      </x:c>
      <x:c r="K915" s="2" t="n">
        <x:v>5</x:v>
      </x:c>
      <x:c r="L915" s="2" t="n">
        <x:v>0</x:v>
      </x:c>
    </x:row>
    <x:row r="916" ht="20" customHeight="1">
      <x:c r="A916" s="9" t="n">
        <x:v>46315</x:v>
      </x:c>
      <x:c r="B916" s="2" t="str">
        <x:v>MM-1955</x:v>
      </x:c>
      <x:c r="C916" s="2" t="str">
        <x:v>Organic Search</x:v>
      </x:c>
      <x:c r="D916" s="2" t="str">
        <x:v>CUS-080</x:v>
      </x:c>
      <x:c r="E916" s="10" t="n">
        <x:v>59.85</x:v>
      </x:c>
      <x:c r="F916" s="10" t="n">
        <x:v>0</x:v>
      </x:c>
      <x:c r="G916" s="10" t="n">
        <x:v>0</x:v>
      </x:c>
      <x:c r="H916" s="10" t="n">
        <x:v>59.85</x:v>
      </x:c>
      <x:c r="I916" s="10" t="n">
        <x:v>18</x:v>
      </x:c>
      <x:c r="J916" s="10" t="n">
        <x:v>41.85</x:v>
      </x:c>
      <x:c r="K916" s="2" t="n">
        <x:v>3</x:v>
      </x:c>
      <x:c r="L916" s="2" t="n">
        <x:v>0</x:v>
      </x:c>
    </x:row>
    <x:row r="917" ht="20" customHeight="1">
      <x:c r="A917" s="9" t="n">
        <x:v>46315</x:v>
      </x:c>
      <x:c r="B917" s="2" t="str">
        <x:v>MM-1960</x:v>
      </x:c>
      <x:c r="C917" s="2" t="str">
        <x:v>Paid Social</x:v>
      </x:c>
      <x:c r="D917" s="2" t="str">
        <x:v>CUS-026</x:v>
      </x:c>
      <x:c r="E917" s="10" t="n">
        <x:v>24.95</x:v>
      </x:c>
      <x:c r="F917" s="10" t="n">
        <x:v>2.49</x:v>
      </x:c>
      <x:c r="G917" s="10" t="n">
        <x:v>0</x:v>
      </x:c>
      <x:c r="H917" s="10" t="n">
        <x:v>22.46</x:v>
      </x:c>
      <x:c r="I917" s="10" t="n">
        <x:v>9</x:v>
      </x:c>
      <x:c r="J917" s="10" t="n">
        <x:v>13.46</x:v>
      </x:c>
      <x:c r="K917" s="2" t="n">
        <x:v>1</x:v>
      </x:c>
      <x:c r="L917" s="2" t="n">
        <x:v>0</x:v>
      </x:c>
    </x:row>
    <x:row r="918" ht="20" customHeight="1">
      <x:c r="A918" s="9" t="n">
        <x:v>46315</x:v>
      </x:c>
      <x:c r="B918" s="2" t="str">
        <x:v>MM-1944</x:v>
      </x:c>
      <x:c r="C918" s="2" t="str">
        <x:v>Organic Search</x:v>
      </x:c>
      <x:c r="D918" s="2" t="str">
        <x:v>CUS-079</x:v>
      </x:c>
      <x:c r="E918" s="10" t="n">
        <x:v>54.95</x:v>
      </x:c>
      <x:c r="F918" s="10" t="n">
        <x:v>0</x:v>
      </x:c>
      <x:c r="G918" s="10" t="n">
        <x:v>0</x:v>
      </x:c>
      <x:c r="H918" s="10" t="n">
        <x:v>54.95</x:v>
      </x:c>
      <x:c r="I918" s="10" t="n">
        <x:v>22</x:v>
      </x:c>
      <x:c r="J918" s="10" t="n">
        <x:v>32.95</x:v>
      </x:c>
      <x:c r="K918" s="2" t="n">
        <x:v>1</x:v>
      </x:c>
      <x:c r="L918" s="2" t="n">
        <x:v>0</x:v>
      </x:c>
    </x:row>
    <x:row r="919" ht="20" customHeight="1">
      <x:c r="A919" s="9" t="n">
        <x:v>46315</x:v>
      </x:c>
      <x:c r="B919" s="2" t="str">
        <x:v>MM-1962</x:v>
      </x:c>
      <x:c r="C919" s="2" t="str">
        <x:v>Organic Search</x:v>
      </x:c>
      <x:c r="D919" s="2" t="str">
        <x:v>CUS-032</x:v>
      </x:c>
      <x:c r="E919" s="10" t="n">
        <x:v>24.95</x:v>
      </x:c>
      <x:c r="F919" s="10" t="n">
        <x:v>0</x:v>
      </x:c>
      <x:c r="G919" s="10" t="n">
        <x:v>0</x:v>
      </x:c>
      <x:c r="H919" s="10" t="n">
        <x:v>24.95</x:v>
      </x:c>
      <x:c r="I919" s="10" t="n">
        <x:v>9</x:v>
      </x:c>
      <x:c r="J919" s="10" t="n">
        <x:v>15.95</x:v>
      </x:c>
      <x:c r="K919" s="2" t="n">
        <x:v>1</x:v>
      </x:c>
      <x:c r="L919" s="2" t="n">
        <x:v>0</x:v>
      </x:c>
    </x:row>
    <x:row r="920" ht="20" customHeight="1">
      <x:c r="A920" s="9" t="n">
        <x:v>46315</x:v>
      </x:c>
      <x:c r="B920" s="2" t="str">
        <x:v>MM-1954</x:v>
      </x:c>
      <x:c r="C920" s="2" t="str">
        <x:v>Organic Search</x:v>
      </x:c>
      <x:c r="D920" s="2" t="str">
        <x:v>CUS-137</x:v>
      </x:c>
      <x:c r="E920" s="10" t="n">
        <x:v>59.95</x:v>
      </x:c>
      <x:c r="F920" s="10" t="n">
        <x:v>5.99</x:v>
      </x:c>
      <x:c r="G920" s="10" t="n">
        <x:v>0</x:v>
      </x:c>
      <x:c r="H920" s="10" t="n">
        <x:v>53.96</x:v>
      </x:c>
      <x:c r="I920" s="10" t="n">
        <x:v>24</x:v>
      </x:c>
      <x:c r="J920" s="10" t="n">
        <x:v>29.96</x:v>
      </x:c>
      <x:c r="K920" s="2" t="n">
        <x:v>1</x:v>
      </x:c>
      <x:c r="L920" s="2" t="n">
        <x:v>0</x:v>
      </x:c>
    </x:row>
    <x:row r="921" ht="20" customHeight="1">
      <x:c r="A921" s="9" t="n">
        <x:v>46315</x:v>
      </x:c>
      <x:c r="B921" s="2" t="str">
        <x:v>MM-1943</x:v>
      </x:c>
      <x:c r="C921" s="2" t="str">
        <x:v>Paid Social</x:v>
      </x:c>
      <x:c r="D921" s="2" t="str">
        <x:v>CUS-019</x:v>
      </x:c>
      <x:c r="E921" s="10" t="n">
        <x:v>109.85</x:v>
      </x:c>
      <x:c r="F921" s="10" t="n">
        <x:v>0</x:v>
      </x:c>
      <x:c r="G921" s="10" t="n">
        <x:v>0</x:v>
      </x:c>
      <x:c r="H921" s="10" t="n">
        <x:v>109.85</x:v>
      </x:c>
      <x:c r="I921" s="10" t="n">
        <x:v>40</x:v>
      </x:c>
      <x:c r="J921" s="10" t="n">
        <x:v>69.85</x:v>
      </x:c>
      <x:c r="K921" s="2" t="n">
        <x:v>3</x:v>
      </x:c>
      <x:c r="L921" s="2" t="n">
        <x:v>0</x:v>
      </x:c>
    </x:row>
    <x:row r="922" ht="20" customHeight="1">
      <x:c r="A922" s="9" t="n">
        <x:v>46315</x:v>
      </x:c>
      <x:c r="B922" s="2" t="str">
        <x:v>MM-1948</x:v>
      </x:c>
      <x:c r="C922" s="2" t="str">
        <x:v>Email</x:v>
      </x:c>
      <x:c r="D922" s="2" t="str">
        <x:v>CUS-137</x:v>
      </x:c>
      <x:c r="E922" s="10" t="n">
        <x:v>47.9</x:v>
      </x:c>
      <x:c r="F922" s="10" t="n">
        <x:v>4.78</x:v>
      </x:c>
      <x:c r="G922" s="10" t="n">
        <x:v>0</x:v>
      </x:c>
      <x:c r="H922" s="10" t="n">
        <x:v>43.12</x:v>
      </x:c>
      <x:c r="I922" s="10" t="n">
        <x:v>17.5</x:v>
      </x:c>
      <x:c r="J922" s="10" t="n">
        <x:v>25.62</x:v>
      </x:c>
      <x:c r="K922" s="2" t="n">
        <x:v>2</x:v>
      </x:c>
      <x:c r="L922" s="2" t="n">
        <x:v>0</x:v>
      </x:c>
    </x:row>
    <x:row r="923" ht="20" customHeight="1">
      <x:c r="A923" s="9" t="n">
        <x:v>46315</x:v>
      </x:c>
      <x:c r="B923" s="2" t="str">
        <x:v>MM-1958</x:v>
      </x:c>
      <x:c r="C923" s="2" t="str">
        <x:v>Organic Search</x:v>
      </x:c>
      <x:c r="D923" s="2" t="str">
        <x:v>CUS-175</x:v>
      </x:c>
      <x:c r="E923" s="10" t="n">
        <x:v>152.85</x:v>
      </x:c>
      <x:c r="F923" s="10" t="n">
        <x:v>0</x:v>
      </x:c>
      <x:c r="G923" s="10" t="n">
        <x:v>0</x:v>
      </x:c>
      <x:c r="H923" s="10" t="n">
        <x:v>152.85</x:v>
      </x:c>
      <x:c r="I923" s="10" t="n">
        <x:v>60</x:v>
      </x:c>
      <x:c r="J923" s="10" t="n">
        <x:v>92.85</x:v>
      </x:c>
      <x:c r="K923" s="2" t="n">
        <x:v>3</x:v>
      </x:c>
      <x:c r="L923" s="2" t="n">
        <x:v>0</x:v>
      </x:c>
    </x:row>
    <x:row r="924" ht="20" customHeight="1">
      <x:c r="A924" s="9" t="n">
        <x:v>46315</x:v>
      </x:c>
      <x:c r="B924" s="2" t="str">
        <x:v>MM-1964</x:v>
      </x:c>
      <x:c r="C924" s="2" t="str">
        <x:v>Paid Social</x:v>
      </x:c>
      <x:c r="D924" s="2" t="str">
        <x:v>CUS-008</x:v>
      </x:c>
      <x:c r="E924" s="10" t="n">
        <x:v>18.95</x:v>
      </x:c>
      <x:c r="F924" s="10" t="n">
        <x:v>1.89</x:v>
      </x:c>
      <x:c r="G924" s="10" t="n">
        <x:v>0</x:v>
      </x:c>
      <x:c r="H924" s="10" t="n">
        <x:v>17.06</x:v>
      </x:c>
      <x:c r="I924" s="10" t="n">
        <x:v>6.5</x:v>
      </x:c>
      <x:c r="J924" s="10" t="n">
        <x:v>10.56</x:v>
      </x:c>
      <x:c r="K924" s="2" t="n">
        <x:v>1</x:v>
      </x:c>
      <x:c r="L924" s="2" t="n">
        <x:v>0</x:v>
      </x:c>
    </x:row>
    <x:row r="925" ht="20" customHeight="1">
      <x:c r="A925" s="9" t="n">
        <x:v>46315</x:v>
      </x:c>
      <x:c r="B925" s="2" t="str">
        <x:v>MM-1942</x:v>
      </x:c>
      <x:c r="C925" s="2" t="str">
        <x:v>Email</x:v>
      </x:c>
      <x:c r="D925" s="2" t="str">
        <x:v>CUS-146</x:v>
      </x:c>
      <x:c r="E925" s="10" t="n">
        <x:v>179.85</x:v>
      </x:c>
      <x:c r="F925" s="10" t="n">
        <x:v>17.98</x:v>
      </x:c>
      <x:c r="G925" s="10" t="n">
        <x:v>0</x:v>
      </x:c>
      <x:c r="H925" s="10" t="n">
        <x:v>161.87</x:v>
      </x:c>
      <x:c r="I925" s="10" t="n">
        <x:v>72</x:v>
      </x:c>
      <x:c r="J925" s="10" t="n">
        <x:v>89.87</x:v>
      </x:c>
      <x:c r="K925" s="2" t="n">
        <x:v>3</x:v>
      </x:c>
      <x:c r="L925" s="2" t="n">
        <x:v>0</x:v>
      </x:c>
    </x:row>
    <x:row r="926" ht="20" customHeight="1">
      <x:c r="A926" s="9" t="n">
        <x:v>46315</x:v>
      </x:c>
      <x:c r="B926" s="2" t="str">
        <x:v>MM-1951</x:v>
      </x:c>
      <x:c r="C926" s="2" t="str">
        <x:v>Organic Search</x:v>
      </x:c>
      <x:c r="D926" s="2" t="str">
        <x:v>CUS-086</x:v>
      </x:c>
      <x:c r="E926" s="10" t="n">
        <x:v>117.85</x:v>
      </x:c>
      <x:c r="F926" s="10" t="n">
        <x:v>0</x:v>
      </x:c>
      <x:c r="G926" s="10" t="n">
        <x:v>0</x:v>
      </x:c>
      <x:c r="H926" s="10" t="n">
        <x:v>117.85</x:v>
      </x:c>
      <x:c r="I926" s="10" t="n">
        <x:v>44.5</x:v>
      </x:c>
      <x:c r="J926" s="10" t="n">
        <x:v>73.35</x:v>
      </x:c>
      <x:c r="K926" s="2" t="n">
        <x:v>3</x:v>
      </x:c>
      <x:c r="L926" s="2" t="n">
        <x:v>0</x:v>
      </x:c>
    </x:row>
    <x:row r="927" ht="20" customHeight="1">
      <x:c r="A927" s="9" t="n">
        <x:v>46315</x:v>
      </x:c>
      <x:c r="B927" s="2" t="str">
        <x:v>MM-1949</x:v>
      </x:c>
      <x:c r="C927" s="2" t="str">
        <x:v>Direct</x:v>
      </x:c>
      <x:c r="D927" s="2" t="str">
        <x:v>CUS-106</x:v>
      </x:c>
      <x:c r="E927" s="10" t="n">
        <x:v>188.8</x:v>
      </x:c>
      <x:c r="F927" s="10" t="n">
        <x:v>0</x:v>
      </x:c>
      <x:c r="G927" s="10" t="n">
        <x:v>0</x:v>
      </x:c>
      <x:c r="H927" s="10" t="n">
        <x:v>188.8</x:v>
      </x:c>
      <x:c r="I927" s="10" t="n">
        <x:v>74.5</x:v>
      </x:c>
      <x:c r="J927" s="10" t="n">
        <x:v>114.3</x:v>
      </x:c>
      <x:c r="K927" s="2" t="n">
        <x:v>4</x:v>
      </x:c>
      <x:c r="L927" s="2" t="n">
        <x:v>0</x:v>
      </x:c>
    </x:row>
    <x:row r="928" ht="20" customHeight="1">
      <x:c r="A928" s="9" t="n">
        <x:v>46315</x:v>
      </x:c>
      <x:c r="B928" s="2" t="str">
        <x:v>MM-1950</x:v>
      </x:c>
      <x:c r="C928" s="2" t="str">
        <x:v>Email</x:v>
      </x:c>
      <x:c r="D928" s="2" t="str">
        <x:v>CUS-079</x:v>
      </x:c>
      <x:c r="E928" s="10" t="n">
        <x:v>89.9</x:v>
      </x:c>
      <x:c r="F928" s="10" t="n">
        <x:v>8.98</x:v>
      </x:c>
      <x:c r="G928" s="10" t="n">
        <x:v>0</x:v>
      </x:c>
      <x:c r="H928" s="10" t="n">
        <x:v>80.92</x:v>
      </x:c>
      <x:c r="I928" s="10" t="n">
        <x:v>34</x:v>
      </x:c>
      <x:c r="J928" s="10" t="n">
        <x:v>46.92</x:v>
      </x:c>
      <x:c r="K928" s="2" t="n">
        <x:v>2</x:v>
      </x:c>
      <x:c r="L928" s="2" t="n">
        <x:v>0</x:v>
      </x:c>
    </x:row>
    <x:row r="929" ht="20" customHeight="1">
      <x:c r="A929" s="9" t="n">
        <x:v>46315</x:v>
      </x:c>
      <x:c r="B929" s="2" t="str">
        <x:v>MM-1957</x:v>
      </x:c>
      <x:c r="C929" s="2" t="str">
        <x:v>Direct</x:v>
      </x:c>
      <x:c r="D929" s="2" t="str">
        <x:v>CUS-091</x:v>
      </x:c>
      <x:c r="E929" s="10" t="n">
        <x:v>69.95</x:v>
      </x:c>
      <x:c r="F929" s="10" t="n">
        <x:v>6.99</x:v>
      </x:c>
      <x:c r="G929" s="10" t="n">
        <x:v>0</x:v>
      </x:c>
      <x:c r="H929" s="10" t="n">
        <x:v>62.96</x:v>
      </x:c>
      <x:c r="I929" s="10" t="n">
        <x:v>28</x:v>
      </x:c>
      <x:c r="J929" s="10" t="n">
        <x:v>34.96</x:v>
      </x:c>
      <x:c r="K929" s="2" t="n">
        <x:v>1</x:v>
      </x:c>
      <x:c r="L929" s="2" t="n">
        <x:v>0</x:v>
      </x:c>
    </x:row>
    <x:row r="930" ht="20" customHeight="1">
      <x:c r="A930" s="9" t="n">
        <x:v>46315</x:v>
      </x:c>
      <x:c r="B930" s="2" t="str">
        <x:v>MM-1959</x:v>
      </x:c>
      <x:c r="C930" s="2" t="str">
        <x:v>Direct</x:v>
      </x:c>
      <x:c r="D930" s="2" t="str">
        <x:v>CUS-109</x:v>
      </x:c>
      <x:c r="E930" s="10" t="n">
        <x:v>84.9</x:v>
      </x:c>
      <x:c r="F930" s="10" t="n">
        <x:v>0</x:v>
      </x:c>
      <x:c r="G930" s="10" t="n">
        <x:v>0</x:v>
      </x:c>
      <x:c r="H930" s="10" t="n">
        <x:v>84.9</x:v>
      </x:c>
      <x:c r="I930" s="10" t="n">
        <x:v>33</x:v>
      </x:c>
      <x:c r="J930" s="10" t="n">
        <x:v>51.9</x:v>
      </x:c>
      <x:c r="K930" s="2" t="n">
        <x:v>2</x:v>
      </x:c>
      <x:c r="L930" s="2" t="n">
        <x:v>0</x:v>
      </x:c>
    </x:row>
    <x:row r="931" ht="20" customHeight="1">
      <x:c r="A931" s="9" t="n">
        <x:v>46315</x:v>
      </x:c>
      <x:c r="B931" s="2" t="str">
        <x:v>MM-1946</x:v>
      </x:c>
      <x:c r="C931" s="2" t="str">
        <x:v>Paid Social</x:v>
      </x:c>
      <x:c r="D931" s="2" t="str">
        <x:v>CUS-109</x:v>
      </x:c>
      <x:c r="E931" s="10" t="n">
        <x:v>104.8</x:v>
      </x:c>
      <x:c r="F931" s="10" t="n">
        <x:v>0</x:v>
      </x:c>
      <x:c r="G931" s="10" t="n">
        <x:v>0</x:v>
      </x:c>
      <x:c r="H931" s="10" t="n">
        <x:v>104.8</x:v>
      </x:c>
      <x:c r="I931" s="10" t="n">
        <x:v>35.5</x:v>
      </x:c>
      <x:c r="J931" s="10" t="n">
        <x:v>69.3</x:v>
      </x:c>
      <x:c r="K931" s="2" t="n">
        <x:v>4</x:v>
      </x:c>
      <x:c r="L931" s="2" t="n">
        <x:v>0</x:v>
      </x:c>
    </x:row>
    <x:row r="932" ht="20" customHeight="1">
      <x:c r="A932" s="9" t="n">
        <x:v>46315</x:v>
      </x:c>
      <x:c r="B932" s="2" t="str">
        <x:v>MM-1956</x:v>
      </x:c>
      <x:c r="C932" s="2" t="str">
        <x:v>Paid Social</x:v>
      </x:c>
      <x:c r="D932" s="2" t="str">
        <x:v>CUS-151</x:v>
      </x:c>
      <x:c r="E932" s="10" t="n">
        <x:v>179.85</x:v>
      </x:c>
      <x:c r="F932" s="10" t="n">
        <x:v>0</x:v>
      </x:c>
      <x:c r="G932" s="10" t="n">
        <x:v>0</x:v>
      </x:c>
      <x:c r="H932" s="10" t="n">
        <x:v>179.85</x:v>
      </x:c>
      <x:c r="I932" s="10" t="n">
        <x:v>72</x:v>
      </x:c>
      <x:c r="J932" s="10" t="n">
        <x:v>107.85</x:v>
      </x:c>
      <x:c r="K932" s="2" t="n">
        <x:v>3</x:v>
      </x:c>
      <x:c r="L932" s="2" t="n">
        <x:v>0</x:v>
      </x:c>
    </x:row>
    <x:row r="933" ht="20" customHeight="1">
      <x:c r="A933" s="9" t="n">
        <x:v>46316</x:v>
      </x:c>
      <x:c r="B933" s="2" t="str">
        <x:v>MM-1984</x:v>
      </x:c>
      <x:c r="C933" s="2" t="str">
        <x:v>Organic Search</x:v>
      </x:c>
      <x:c r="D933" s="2" t="str">
        <x:v>CUS-131</x:v>
      </x:c>
      <x:c r="E933" s="10" t="n">
        <x:v>69.95</x:v>
      </x:c>
      <x:c r="F933" s="10" t="n">
        <x:v>0</x:v>
      </x:c>
      <x:c r="G933" s="10" t="n">
        <x:v>0</x:v>
      </x:c>
      <x:c r="H933" s="10" t="n">
        <x:v>69.95</x:v>
      </x:c>
      <x:c r="I933" s="10" t="n">
        <x:v>28</x:v>
      </x:c>
      <x:c r="J933" s="10" t="n">
        <x:v>41.95</x:v>
      </x:c>
      <x:c r="K933" s="2" t="n">
        <x:v>1</x:v>
      </x:c>
      <x:c r="L933" s="2" t="n">
        <x:v>0</x:v>
      </x:c>
    </x:row>
    <x:row r="934" ht="20" customHeight="1">
      <x:c r="A934" s="9" t="n">
        <x:v>46316</x:v>
      </x:c>
      <x:c r="B934" s="2" t="str">
        <x:v>MM-1969</x:v>
      </x:c>
      <x:c r="C934" s="2" t="str">
        <x:v>Organic Search</x:v>
      </x:c>
      <x:c r="D934" s="2" t="str">
        <x:v>CUS-153</x:v>
      </x:c>
      <x:c r="E934" s="10" t="n">
        <x:v>239.85</x:v>
      </x:c>
      <x:c r="F934" s="10" t="n">
        <x:v>0</x:v>
      </x:c>
      <x:c r="G934" s="10" t="n">
        <x:v>0</x:v>
      </x:c>
      <x:c r="H934" s="10" t="n">
        <x:v>239.85</x:v>
      </x:c>
      <x:c r="I934" s="10" t="n">
        <x:v>96</x:v>
      </x:c>
      <x:c r="J934" s="10" t="n">
        <x:v>143.85</x:v>
      </x:c>
      <x:c r="K934" s="2" t="n">
        <x:v>3</x:v>
      </x:c>
      <x:c r="L934" s="2" t="n">
        <x:v>0</x:v>
      </x:c>
    </x:row>
    <x:row r="935" ht="20" customHeight="1">
      <x:c r="A935" s="9" t="n">
        <x:v>46316</x:v>
      </x:c>
      <x:c r="B935" s="2" t="str">
        <x:v>MM-1990</x:v>
      </x:c>
      <x:c r="C935" s="2" t="str">
        <x:v>Organic Search</x:v>
      </x:c>
      <x:c r="D935" s="2" t="str">
        <x:v>CUS-158</x:v>
      </x:c>
      <x:c r="E935" s="10" t="n">
        <x:v>19.95</x:v>
      </x:c>
      <x:c r="F935" s="10" t="n">
        <x:v>0</x:v>
      </x:c>
      <x:c r="G935" s="10" t="n">
        <x:v>0</x:v>
      </x:c>
      <x:c r="H935" s="10" t="n">
        <x:v>19.95</x:v>
      </x:c>
      <x:c r="I935" s="10" t="n">
        <x:v>6</x:v>
      </x:c>
      <x:c r="J935" s="10" t="n">
        <x:v>13.95</x:v>
      </x:c>
      <x:c r="K935" s="2" t="n">
        <x:v>1</x:v>
      </x:c>
      <x:c r="L935" s="2" t="n">
        <x:v>0</x:v>
      </x:c>
    </x:row>
    <x:row r="936" ht="20" customHeight="1">
      <x:c r="A936" s="9" t="n">
        <x:v>46316</x:v>
      </x:c>
      <x:c r="B936" s="2" t="str">
        <x:v>MM-1975</x:v>
      </x:c>
      <x:c r="C936" s="2" t="str">
        <x:v>Email</x:v>
      </x:c>
      <x:c r="D936" s="2" t="str">
        <x:v>CUS-153</x:v>
      </x:c>
      <x:c r="E936" s="10" t="n">
        <x:v>32.95</x:v>
      </x:c>
      <x:c r="F936" s="10" t="n">
        <x:v>3.29</x:v>
      </x:c>
      <x:c r="G936" s="10" t="n">
        <x:v>0</x:v>
      </x:c>
      <x:c r="H936" s="10" t="n">
        <x:v>29.66</x:v>
      </x:c>
      <x:c r="I936" s="10" t="n">
        <x:v>12</x:v>
      </x:c>
      <x:c r="J936" s="10" t="n">
        <x:v>17.66</x:v>
      </x:c>
      <x:c r="K936" s="2" t="n">
        <x:v>1</x:v>
      </x:c>
      <x:c r="L936" s="2" t="n">
        <x:v>0</x:v>
      </x:c>
    </x:row>
    <x:row r="937" ht="20" customHeight="1">
      <x:c r="A937" s="9" t="n">
        <x:v>46316</x:v>
      </x:c>
      <x:c r="B937" s="2" t="str">
        <x:v>MM-1982</x:v>
      </x:c>
      <x:c r="C937" s="2" t="str">
        <x:v>Email</x:v>
      </x:c>
      <x:c r="D937" s="2" t="str">
        <x:v>CUS-080</x:v>
      </x:c>
      <x:c r="E937" s="10" t="n">
        <x:v>29.95</x:v>
      </x:c>
      <x:c r="F937" s="10" t="n">
        <x:v>2.99</x:v>
      </x:c>
      <x:c r="G937" s="10" t="n">
        <x:v>0</x:v>
      </x:c>
      <x:c r="H937" s="10" t="n">
        <x:v>26.96</x:v>
      </x:c>
      <x:c r="I937" s="10" t="n">
        <x:v>10</x:v>
      </x:c>
      <x:c r="J937" s="10" t="n">
        <x:v>16.96</x:v>
      </x:c>
      <x:c r="K937" s="2" t="n">
        <x:v>1</x:v>
      </x:c>
      <x:c r="L937" s="2" t="n">
        <x:v>0</x:v>
      </x:c>
    </x:row>
    <x:row r="938" ht="20" customHeight="1">
      <x:c r="A938" s="9" t="n">
        <x:v>46316</x:v>
      </x:c>
      <x:c r="B938" s="2" t="str">
        <x:v>MM-1987</x:v>
      </x:c>
      <x:c r="C938" s="2" t="str">
        <x:v>Email</x:v>
      </x:c>
      <x:c r="D938" s="2" t="str">
        <x:v>CUS-174</x:v>
      </x:c>
      <x:c r="E938" s="10" t="n">
        <x:v>49.9</x:v>
      </x:c>
      <x:c r="F938" s="10" t="n">
        <x:v>4.99</x:v>
      </x:c>
      <x:c r="G938" s="10" t="n">
        <x:v>0</x:v>
      </x:c>
      <x:c r="H938" s="10" t="n">
        <x:v>44.91</x:v>
      </x:c>
      <x:c r="I938" s="10" t="n">
        <x:v>17</x:v>
      </x:c>
      <x:c r="J938" s="10" t="n">
        <x:v>27.91</x:v>
      </x:c>
      <x:c r="K938" s="2" t="n">
        <x:v>2</x:v>
      </x:c>
      <x:c r="L938" s="2" t="n">
        <x:v>0</x:v>
      </x:c>
    </x:row>
    <x:row r="939" ht="20" customHeight="1">
      <x:c r="A939" s="9" t="n">
        <x:v>46316</x:v>
      </x:c>
      <x:c r="B939" s="2" t="str">
        <x:v>MM-1965</x:v>
      </x:c>
      <x:c r="C939" s="2" t="str">
        <x:v>Email</x:v>
      </x:c>
      <x:c r="D939" s="2" t="str">
        <x:v>CUS-136</x:v>
      </x:c>
      <x:c r="E939" s="10" t="n">
        <x:v>82.85</x:v>
      </x:c>
      <x:c r="F939" s="10" t="n">
        <x:v>8.28</x:v>
      </x:c>
      <x:c r="G939" s="10" t="n">
        <x:v>0</x:v>
      </x:c>
      <x:c r="H939" s="10" t="n">
        <x:v>74.57</x:v>
      </x:c>
      <x:c r="I939" s="10" t="n">
        <x:v>29</x:v>
      </x:c>
      <x:c r="J939" s="10" t="n">
        <x:v>45.57</x:v>
      </x:c>
      <x:c r="K939" s="2" t="n">
        <x:v>3</x:v>
      </x:c>
      <x:c r="L939" s="2" t="n">
        <x:v>0</x:v>
      </x:c>
    </x:row>
    <x:row r="940" ht="20" customHeight="1">
      <x:c r="A940" s="9" t="n">
        <x:v>46316</x:v>
      </x:c>
      <x:c r="B940" s="2" t="str">
        <x:v>MM-1972</x:v>
      </x:c>
      <x:c r="C940" s="2" t="str">
        <x:v>Email</x:v>
      </x:c>
      <x:c r="D940" s="2" t="str">
        <x:v>CUS-167</x:v>
      </x:c>
      <x:c r="E940" s="10" t="n">
        <x:v>74.85</x:v>
      </x:c>
      <x:c r="F940" s="10" t="n">
        <x:v>7.48</x:v>
      </x:c>
      <x:c r="G940" s="10" t="n">
        <x:v>0</x:v>
      </x:c>
      <x:c r="H940" s="10" t="n">
        <x:v>67.37</x:v>
      </x:c>
      <x:c r="I940" s="10" t="n">
        <x:v>25.5</x:v>
      </x:c>
      <x:c r="J940" s="10" t="n">
        <x:v>41.87</x:v>
      </x:c>
      <x:c r="K940" s="2" t="n">
        <x:v>3</x:v>
      </x:c>
      <x:c r="L940" s="2" t="n">
        <x:v>0</x:v>
      </x:c>
    </x:row>
    <x:row r="941" ht="20" customHeight="1">
      <x:c r="A941" s="9" t="n">
        <x:v>46316</x:v>
      </x:c>
      <x:c r="B941" s="2" t="str">
        <x:v>MM-1977</x:v>
      </x:c>
      <x:c r="C941" s="2" t="str">
        <x:v>Email</x:v>
      </x:c>
      <x:c r="D941" s="2" t="str">
        <x:v>CUS-020</x:v>
      </x:c>
      <x:c r="E941" s="10" t="n">
        <x:v>112.9</x:v>
      </x:c>
      <x:c r="F941" s="10" t="n">
        <x:v>11.28</x:v>
      </x:c>
      <x:c r="G941" s="10" t="n">
        <x:v>0</x:v>
      </x:c>
      <x:c r="H941" s="10" t="n">
        <x:v>101.62</x:v>
      </x:c>
      <x:c r="I941" s="10" t="n">
        <x:v>44</x:v>
      </x:c>
      <x:c r="J941" s="10" t="n">
        <x:v>57.62</x:v>
      </x:c>
      <x:c r="K941" s="2" t="n">
        <x:v>2</x:v>
      </x:c>
      <x:c r="L941" s="2" t="n">
        <x:v>0</x:v>
      </x:c>
    </x:row>
    <x:row r="942" ht="20" customHeight="1">
      <x:c r="A942" s="9" t="n">
        <x:v>46316</x:v>
      </x:c>
      <x:c r="B942" s="2" t="str">
        <x:v>MM-1978</x:v>
      </x:c>
      <x:c r="C942" s="2" t="str">
        <x:v>Paid Social</x:v>
      </x:c>
      <x:c r="D942" s="2" t="str">
        <x:v>CUS-041</x:v>
      </x:c>
      <x:c r="E942" s="10" t="n">
        <x:v>9.95</x:v>
      </x:c>
      <x:c r="F942" s="10" t="n">
        <x:v>0.99</x:v>
      </x:c>
      <x:c r="G942" s="10" t="n">
        <x:v>0</x:v>
      </x:c>
      <x:c r="H942" s="10" t="n">
        <x:v>8.96</x:v>
      </x:c>
      <x:c r="I942" s="10" t="n">
        <x:v>2.5</x:v>
      </x:c>
      <x:c r="J942" s="10" t="n">
        <x:v>6.46</x:v>
      </x:c>
      <x:c r="K942" s="2" t="n">
        <x:v>1</x:v>
      </x:c>
      <x:c r="L942" s="2" t="n">
        <x:v>0</x:v>
      </x:c>
    </x:row>
    <x:row r="943" ht="20" customHeight="1">
      <x:c r="A943" s="9" t="n">
        <x:v>46316</x:v>
      </x:c>
      <x:c r="B943" s="2" t="str">
        <x:v>MM-1986</x:v>
      </x:c>
      <x:c r="C943" s="2" t="str">
        <x:v>Paid Social</x:v>
      </x:c>
      <x:c r="D943" s="2" t="str">
        <x:v>CUS-082</x:v>
      </x:c>
      <x:c r="E943" s="10" t="n">
        <x:v>24.95</x:v>
      </x:c>
      <x:c r="F943" s="10" t="n">
        <x:v>0</x:v>
      </x:c>
      <x:c r="G943" s="10" t="n">
        <x:v>0</x:v>
      </x:c>
      <x:c r="H943" s="10" t="n">
        <x:v>24.95</x:v>
      </x:c>
      <x:c r="I943" s="10" t="n">
        <x:v>9</x:v>
      </x:c>
      <x:c r="J943" s="10" t="n">
        <x:v>15.95</x:v>
      </x:c>
      <x:c r="K943" s="2" t="n">
        <x:v>1</x:v>
      </x:c>
      <x:c r="L943" s="2" t="n">
        <x:v>0</x:v>
      </x:c>
    </x:row>
    <x:row r="944" ht="20" customHeight="1">
      <x:c r="A944" s="9" t="n">
        <x:v>46316</x:v>
      </x:c>
      <x:c r="B944" s="2" t="str">
        <x:v>MM-1989</x:v>
      </x:c>
      <x:c r="C944" s="2" t="str">
        <x:v>Organic Search</x:v>
      </x:c>
      <x:c r="D944" s="2" t="str">
        <x:v>CUS-109</x:v>
      </x:c>
      <x:c r="E944" s="10" t="n">
        <x:v>24.95</x:v>
      </x:c>
      <x:c r="F944" s="10" t="n">
        <x:v>0</x:v>
      </x:c>
      <x:c r="G944" s="10" t="n">
        <x:v>0</x:v>
      </x:c>
      <x:c r="H944" s="10" t="n">
        <x:v>24.95</x:v>
      </x:c>
      <x:c r="I944" s="10" t="n">
        <x:v>8.5</x:v>
      </x:c>
      <x:c r="J944" s="10" t="n">
        <x:v>16.45</x:v>
      </x:c>
      <x:c r="K944" s="2" t="n">
        <x:v>1</x:v>
      </x:c>
      <x:c r="L944" s="2" t="n">
        <x:v>0</x:v>
      </x:c>
    </x:row>
    <x:row r="945" ht="20" customHeight="1">
      <x:c r="A945" s="9" t="n">
        <x:v>46316</x:v>
      </x:c>
      <x:c r="B945" s="2" t="str">
        <x:v>MM-1966</x:v>
      </x:c>
      <x:c r="C945" s="2" t="str">
        <x:v>Email</x:v>
      </x:c>
      <x:c r="D945" s="2" t="str">
        <x:v>CUS-170</x:v>
      </x:c>
      <x:c r="E945" s="10" t="n">
        <x:v>62.9</x:v>
      </x:c>
      <x:c r="F945" s="10" t="n">
        <x:v>6.28</x:v>
      </x:c>
      <x:c r="G945" s="10" t="n">
        <x:v>0</x:v>
      </x:c>
      <x:c r="H945" s="10" t="n">
        <x:v>56.62</x:v>
      </x:c>
      <x:c r="I945" s="10" t="n">
        <x:v>22</x:v>
      </x:c>
      <x:c r="J945" s="10" t="n">
        <x:v>34.62</x:v>
      </x:c>
      <x:c r="K945" s="2" t="n">
        <x:v>2</x:v>
      </x:c>
      <x:c r="L945" s="2" t="n">
        <x:v>0</x:v>
      </x:c>
    </x:row>
    <x:row r="946" ht="20" customHeight="1">
      <x:c r="A946" s="9" t="n">
        <x:v>46316</x:v>
      </x:c>
      <x:c r="B946" s="2" t="str">
        <x:v>MM-1970</x:v>
      </x:c>
      <x:c r="C946" s="2" t="str">
        <x:v>Paid Social</x:v>
      </x:c>
      <x:c r="D946" s="2" t="str">
        <x:v>CUS-061</x:v>
      </x:c>
      <x:c r="E946" s="10" t="n">
        <x:v>18.95</x:v>
      </x:c>
      <x:c r="F946" s="10" t="n">
        <x:v>0</x:v>
      </x:c>
      <x:c r="G946" s="10" t="n">
        <x:v>0</x:v>
      </x:c>
      <x:c r="H946" s="10" t="n">
        <x:v>18.95</x:v>
      </x:c>
      <x:c r="I946" s="10" t="n">
        <x:v>6.5</x:v>
      </x:c>
      <x:c r="J946" s="10" t="n">
        <x:v>12.45</x:v>
      </x:c>
      <x:c r="K946" s="2" t="n">
        <x:v>1</x:v>
      </x:c>
      <x:c r="L946" s="2" t="n">
        <x:v>0</x:v>
      </x:c>
    </x:row>
    <x:row r="947" ht="20" customHeight="1">
      <x:c r="A947" s="9" t="n">
        <x:v>46316</x:v>
      </x:c>
      <x:c r="B947" s="2" t="str">
        <x:v>MM-1971</x:v>
      </x:c>
      <x:c r="C947" s="2" t="str">
        <x:v>Paid Social</x:v>
      </x:c>
      <x:c r="D947" s="2" t="str">
        <x:v>CUS-160</x:v>
      </x:c>
      <x:c r="E947" s="10" t="n">
        <x:v>69.9</x:v>
      </x:c>
      <x:c r="F947" s="10" t="n">
        <x:v>0</x:v>
      </x:c>
      <x:c r="G947" s="10" t="n">
        <x:v>0</x:v>
      </x:c>
      <x:c r="H947" s="10" t="n">
        <x:v>69.9</x:v>
      </x:c>
      <x:c r="I947" s="10" t="n">
        <x:v>27</x:v>
      </x:c>
      <x:c r="J947" s="10" t="n">
        <x:v>42.9</x:v>
      </x:c>
      <x:c r="K947" s="2" t="n">
        <x:v>2</x:v>
      </x:c>
      <x:c r="L947" s="2" t="n">
        <x:v>0</x:v>
      </x:c>
    </x:row>
    <x:row r="948" ht="20" customHeight="1">
      <x:c r="A948" s="9" t="n">
        <x:v>46316</x:v>
      </x:c>
      <x:c r="B948" s="2" t="str">
        <x:v>MM-1979</x:v>
      </x:c>
      <x:c r="C948" s="2" t="str">
        <x:v>Email</x:v>
      </x:c>
      <x:c r="D948" s="2" t="str">
        <x:v>CUS-082</x:v>
      </x:c>
      <x:c r="E948" s="10" t="n">
        <x:v>12.95</x:v>
      </x:c>
      <x:c r="F948" s="10" t="n">
        <x:v>1.29</x:v>
      </x:c>
      <x:c r="G948" s="10" t="n">
        <x:v>0</x:v>
      </x:c>
      <x:c r="H948" s="10" t="n">
        <x:v>11.66</x:v>
      </x:c>
      <x:c r="I948" s="10" t="n">
        <x:v>3.5</x:v>
      </x:c>
      <x:c r="J948" s="10" t="n">
        <x:v>8.16</x:v>
      </x:c>
      <x:c r="K948" s="2" t="n">
        <x:v>1</x:v>
      </x:c>
      <x:c r="L948" s="2" t="n">
        <x:v>0</x:v>
      </x:c>
    </x:row>
    <x:row r="949" ht="20" customHeight="1">
      <x:c r="A949" s="9" t="n">
        <x:v>46316</x:v>
      </x:c>
      <x:c r="B949" s="2" t="str">
        <x:v>MM-1985</x:v>
      </x:c>
      <x:c r="C949" s="2" t="str">
        <x:v>Email</x:v>
      </x:c>
      <x:c r="D949" s="2" t="str">
        <x:v>CUS-046</x:v>
      </x:c>
      <x:c r="E949" s="10" t="n">
        <x:v>84.9</x:v>
      </x:c>
      <x:c r="F949" s="10" t="n">
        <x:v>8.48</x:v>
      </x:c>
      <x:c r="G949" s="10" t="n">
        <x:v>0</x:v>
      </x:c>
      <x:c r="H949" s="10" t="n">
        <x:v>76.42</x:v>
      </x:c>
      <x:c r="I949" s="10" t="n">
        <x:v>33</x:v>
      </x:c>
      <x:c r="J949" s="10" t="n">
        <x:v>43.42</x:v>
      </x:c>
      <x:c r="K949" s="2" t="n">
        <x:v>2</x:v>
      </x:c>
      <x:c r="L949" s="2" t="n">
        <x:v>0</x:v>
      </x:c>
    </x:row>
    <x:row r="950" ht="20" customHeight="1">
      <x:c r="A950" s="9" t="n">
        <x:v>46316</x:v>
      </x:c>
      <x:c r="B950" s="2" t="str">
        <x:v>MM-1967</x:v>
      </x:c>
      <x:c r="C950" s="2" t="str">
        <x:v>Email</x:v>
      </x:c>
      <x:c r="D950" s="2" t="str">
        <x:v>CUS-057</x:v>
      </x:c>
      <x:c r="E950" s="10" t="n">
        <x:v>69.95</x:v>
      </x:c>
      <x:c r="F950" s="10" t="n">
        <x:v>6.99</x:v>
      </x:c>
      <x:c r="G950" s="10" t="n">
        <x:v>0</x:v>
      </x:c>
      <x:c r="H950" s="10" t="n">
        <x:v>62.96</x:v>
      </x:c>
      <x:c r="I950" s="10" t="n">
        <x:v>28</x:v>
      </x:c>
      <x:c r="J950" s="10" t="n">
        <x:v>34.96</x:v>
      </x:c>
      <x:c r="K950" s="2" t="n">
        <x:v>1</x:v>
      </x:c>
      <x:c r="L950" s="2" t="n">
        <x:v>0</x:v>
      </x:c>
    </x:row>
    <x:row r="951" ht="20" customHeight="1">
      <x:c r="A951" s="9" t="n">
        <x:v>46316</x:v>
      </x:c>
      <x:c r="B951" s="2" t="str">
        <x:v>MM-1980</x:v>
      </x:c>
      <x:c r="C951" s="2" t="str">
        <x:v>Organic Search</x:v>
      </x:c>
      <x:c r="D951" s="2" t="str">
        <x:v>CUS-113</x:v>
      </x:c>
      <x:c r="E951" s="10" t="n">
        <x:v>54.95</x:v>
      </x:c>
      <x:c r="F951" s="10" t="n">
        <x:v>0</x:v>
      </x:c>
      <x:c r="G951" s="10" t="n">
        <x:v>0</x:v>
      </x:c>
      <x:c r="H951" s="10" t="n">
        <x:v>54.95</x:v>
      </x:c>
      <x:c r="I951" s="10" t="n">
        <x:v>22</x:v>
      </x:c>
      <x:c r="J951" s="10" t="n">
        <x:v>32.95</x:v>
      </x:c>
      <x:c r="K951" s="2" t="n">
        <x:v>1</x:v>
      </x:c>
      <x:c r="L951" s="2" t="n">
        <x:v>0</x:v>
      </x:c>
    </x:row>
    <x:row r="952" ht="20" customHeight="1">
      <x:c r="A952" s="9" t="n">
        <x:v>46316</x:v>
      </x:c>
      <x:c r="B952" s="2" t="str">
        <x:v>MM-1974</x:v>
      </x:c>
      <x:c r="C952" s="2" t="str">
        <x:v>Organic Search</x:v>
      </x:c>
      <x:c r="D952" s="2" t="str">
        <x:v>CUS-099</x:v>
      </x:c>
      <x:c r="E952" s="10" t="n">
        <x:v>32.95</x:v>
      </x:c>
      <x:c r="F952" s="10" t="n">
        <x:v>0</x:v>
      </x:c>
      <x:c r="G952" s="10" t="n">
        <x:v>0</x:v>
      </x:c>
      <x:c r="H952" s="10" t="n">
        <x:v>32.95</x:v>
      </x:c>
      <x:c r="I952" s="10" t="n">
        <x:v>12</x:v>
      </x:c>
      <x:c r="J952" s="10" t="n">
        <x:v>20.95</x:v>
      </x:c>
      <x:c r="K952" s="2" t="n">
        <x:v>1</x:v>
      </x:c>
      <x:c r="L952" s="2" t="n">
        <x:v>0</x:v>
      </x:c>
    </x:row>
    <x:row r="953" ht="20" customHeight="1">
      <x:c r="A953" s="9" t="n">
        <x:v>46316</x:v>
      </x:c>
      <x:c r="B953" s="2" t="str">
        <x:v>MM-1976</x:v>
      </x:c>
      <x:c r="C953" s="2" t="str">
        <x:v>Organic Search</x:v>
      </x:c>
      <x:c r="D953" s="2" t="str">
        <x:v>CUS-170</x:v>
      </x:c>
      <x:c r="E953" s="10" t="n">
        <x:v>242.8</x:v>
      </x:c>
      <x:c r="F953" s="10" t="n">
        <x:v>0</x:v>
      </x:c>
      <x:c r="G953" s="10" t="n">
        <x:v>0</x:v>
      </x:c>
      <x:c r="H953" s="10" t="n">
        <x:v>242.8</x:v>
      </x:c>
      <x:c r="I953" s="10" t="n">
        <x:v>96</x:v>
      </x:c>
      <x:c r="J953" s="10" t="n">
        <x:v>146.8</x:v>
      </x:c>
      <x:c r="K953" s="2" t="n">
        <x:v>4</x:v>
      </x:c>
      <x:c r="L953" s="2" t="n">
        <x:v>0</x:v>
      </x:c>
    </x:row>
    <x:row r="954" ht="20" customHeight="1">
      <x:c r="A954" s="9" t="n">
        <x:v>46316</x:v>
      </x:c>
      <x:c r="B954" s="2" t="str">
        <x:v>MM-1973</x:v>
      </x:c>
      <x:c r="C954" s="2" t="str">
        <x:v>Organic Search</x:v>
      </x:c>
      <x:c r="D954" s="2" t="str">
        <x:v>CUS-034</x:v>
      </x:c>
      <x:c r="E954" s="10" t="n">
        <x:v>73.9</x:v>
      </x:c>
      <x:c r="F954" s="10" t="n">
        <x:v>1.89</x:v>
      </x:c>
      <x:c r="G954" s="10" t="n">
        <x:v>0</x:v>
      </x:c>
      <x:c r="H954" s="10" t="n">
        <x:v>72.01</x:v>
      </x:c>
      <x:c r="I954" s="10" t="n">
        <x:v>28.5</x:v>
      </x:c>
      <x:c r="J954" s="10" t="n">
        <x:v>43.51</x:v>
      </x:c>
      <x:c r="K954" s="2" t="n">
        <x:v>2</x:v>
      </x:c>
      <x:c r="L954" s="2" t="n">
        <x:v>0</x:v>
      </x:c>
    </x:row>
    <x:row r="955" ht="20" customHeight="1">
      <x:c r="A955" s="9" t="n">
        <x:v>46316</x:v>
      </x:c>
      <x:c r="B955" s="2" t="str">
        <x:v>MM-1983</x:v>
      </x:c>
      <x:c r="C955" s="2" t="str">
        <x:v>Paid Social</x:v>
      </x:c>
      <x:c r="D955" s="2" t="str">
        <x:v>CUS-045</x:v>
      </x:c>
      <x:c r="E955" s="10" t="n">
        <x:v>49.9</x:v>
      </x:c>
      <x:c r="F955" s="10" t="n">
        <x:v>0</x:v>
      </x:c>
      <x:c r="G955" s="10" t="n">
        <x:v>0</x:v>
      </x:c>
      <x:c r="H955" s="10" t="n">
        <x:v>49.9</x:v>
      </x:c>
      <x:c r="I955" s="10" t="n">
        <x:v>18</x:v>
      </x:c>
      <x:c r="J955" s="10" t="n">
        <x:v>31.9</x:v>
      </x:c>
      <x:c r="K955" s="2" t="n">
        <x:v>2</x:v>
      </x:c>
      <x:c r="L955" s="2" t="n">
        <x:v>0</x:v>
      </x:c>
    </x:row>
    <x:row r="956" ht="20" customHeight="1">
      <x:c r="A956" s="9" t="n">
        <x:v>46316</x:v>
      </x:c>
      <x:c r="B956" s="2" t="str">
        <x:v>MM-1968</x:v>
      </x:c>
      <x:c r="C956" s="2" t="str">
        <x:v>Direct</x:v>
      </x:c>
      <x:c r="D956" s="2" t="str">
        <x:v>CUS-145</x:v>
      </x:c>
      <x:c r="E956" s="10" t="n">
        <x:v>24.95</x:v>
      </x:c>
      <x:c r="F956" s="10" t="n">
        <x:v>0</x:v>
      </x:c>
      <x:c r="G956" s="10" t="n">
        <x:v>0</x:v>
      </x:c>
      <x:c r="H956" s="10" t="n">
        <x:v>24.95</x:v>
      </x:c>
      <x:c r="I956" s="10" t="n">
        <x:v>8.5</x:v>
      </x:c>
      <x:c r="J956" s="10" t="n">
        <x:v>16.45</x:v>
      </x:c>
      <x:c r="K956" s="2" t="n">
        <x:v>1</x:v>
      </x:c>
      <x:c r="L956" s="2" t="n">
        <x:v>0</x:v>
      </x:c>
    </x:row>
    <x:row r="957" ht="20" customHeight="1">
      <x:c r="A957" s="9" t="n">
        <x:v>46316</x:v>
      </x:c>
      <x:c r="B957" s="2" t="str">
        <x:v>MM-1981</x:v>
      </x:c>
      <x:c r="C957" s="2" t="str">
        <x:v>Paid Social</x:v>
      </x:c>
      <x:c r="D957" s="2" t="str">
        <x:v>CUS-139</x:v>
      </x:c>
      <x:c r="E957" s="10" t="n">
        <x:v>24.95</x:v>
      </x:c>
      <x:c r="F957" s="10" t="n">
        <x:v>2.49</x:v>
      </x:c>
      <x:c r="G957" s="10" t="n">
        <x:v>0</x:v>
      </x:c>
      <x:c r="H957" s="10" t="n">
        <x:v>22.46</x:v>
      </x:c>
      <x:c r="I957" s="10" t="n">
        <x:v>8.5</x:v>
      </x:c>
      <x:c r="J957" s="10" t="n">
        <x:v>13.96</x:v>
      </x:c>
      <x:c r="K957" s="2" t="n">
        <x:v>1</x:v>
      </x:c>
      <x:c r="L957" s="2" t="n">
        <x:v>0</x:v>
      </x:c>
    </x:row>
    <x:row r="958" ht="20" customHeight="1">
      <x:c r="A958" s="9" t="n">
        <x:v>46316</x:v>
      </x:c>
      <x:c r="B958" s="2" t="str">
        <x:v>MM-1988</x:v>
      </x:c>
      <x:c r="C958" s="2" t="str">
        <x:v>Paid Social</x:v>
      </x:c>
      <x:c r="D958" s="2" t="str">
        <x:v>CUS-092</x:v>
      </x:c>
      <x:c r="E958" s="10" t="n">
        <x:v>32.95</x:v>
      </x:c>
      <x:c r="F958" s="10" t="n">
        <x:v>0</x:v>
      </x:c>
      <x:c r="G958" s="10" t="n">
        <x:v>0</x:v>
      </x:c>
      <x:c r="H958" s="10" t="n">
        <x:v>32.95</x:v>
      </x:c>
      <x:c r="I958" s="10" t="n">
        <x:v>12</x:v>
      </x:c>
      <x:c r="J958" s="10" t="n">
        <x:v>20.95</x:v>
      </x:c>
      <x:c r="K958" s="2" t="n">
        <x:v>1</x:v>
      </x:c>
      <x:c r="L958" s="2" t="n">
        <x:v>0</x:v>
      </x:c>
    </x:row>
    <x:row r="959" ht="20" customHeight="1">
      <x:c r="A959" s="9" t="n">
        <x:v>46316</x:v>
      </x:c>
      <x:c r="B959" s="2" t="str">
        <x:v>MM-1991</x:v>
      </x:c>
      <x:c r="C959" s="2" t="str">
        <x:v>Paid Social</x:v>
      </x:c>
      <x:c r="D959" s="2" t="str">
        <x:v>CUS-032</x:v>
      </x:c>
      <x:c r="E959" s="10" t="n">
        <x:v>45.9</x:v>
      </x:c>
      <x:c r="F959" s="10" t="n">
        <x:v>0</x:v>
      </x:c>
      <x:c r="G959" s="10" t="n">
        <x:v>0</x:v>
      </x:c>
      <x:c r="H959" s="10" t="n">
        <x:v>45.9</x:v>
      </x:c>
      <x:c r="I959" s="10" t="n">
        <x:v>17</x:v>
      </x:c>
      <x:c r="J959" s="10" t="n">
        <x:v>28.9</x:v>
      </x:c>
      <x:c r="K959" s="2" t="n">
        <x:v>2</x:v>
      </x:c>
      <x:c r="L959" s="2" t="n">
        <x:v>0</x:v>
      </x:c>
    </x:row>
    <x:row r="960" ht="20" customHeight="1">
      <x:c r="A960" s="9" t="n">
        <x:v>46317</x:v>
      </x:c>
      <x:c r="B960" s="2" t="str">
        <x:v>MM-1992</x:v>
      </x:c>
      <x:c r="C960" s="2" t="str">
        <x:v>Email</x:v>
      </x:c>
      <x:c r="D960" s="2" t="str">
        <x:v>CUS-005</x:v>
      </x:c>
      <x:c r="E960" s="10" t="n">
        <x:v>172.8</x:v>
      </x:c>
      <x:c r="F960" s="10" t="n">
        <x:v>17.27</x:v>
      </x:c>
      <x:c r="G960" s="10" t="n">
        <x:v>0</x:v>
      </x:c>
      <x:c r="H960" s="10" t="n">
        <x:v>155.53</x:v>
      </x:c>
      <x:c r="I960" s="10" t="n">
        <x:v>64</x:v>
      </x:c>
      <x:c r="J960" s="10" t="n">
        <x:v>91.53</x:v>
      </x:c>
      <x:c r="K960" s="2" t="n">
        <x:v>4</x:v>
      </x:c>
      <x:c r="L960" s="2" t="n">
        <x:v>0</x:v>
      </x:c>
    </x:row>
    <x:row r="961" ht="20" customHeight="1">
      <x:c r="A961" s="9" t="n">
        <x:v>46317</x:v>
      </x:c>
      <x:c r="B961" s="2" t="str">
        <x:v>MM-1996</x:v>
      </x:c>
      <x:c r="C961" s="2" t="str">
        <x:v>Direct</x:v>
      </x:c>
      <x:c r="D961" s="2" t="str">
        <x:v>CUS-180</x:v>
      </x:c>
      <x:c r="E961" s="10" t="n">
        <x:v>18.95</x:v>
      </x:c>
      <x:c r="F961" s="10" t="n">
        <x:v>0</x:v>
      </x:c>
      <x:c r="G961" s="10" t="n">
        <x:v>0</x:v>
      </x:c>
      <x:c r="H961" s="10" t="n">
        <x:v>18.95</x:v>
      </x:c>
      <x:c r="I961" s="10" t="n">
        <x:v>6.5</x:v>
      </x:c>
      <x:c r="J961" s="10" t="n">
        <x:v>12.45</x:v>
      </x:c>
      <x:c r="K961" s="2" t="n">
        <x:v>1</x:v>
      </x:c>
      <x:c r="L961" s="2" t="n">
        <x:v>0</x:v>
      </x:c>
    </x:row>
    <x:row r="962" ht="20" customHeight="1">
      <x:c r="A962" s="9" t="n">
        <x:v>46317</x:v>
      </x:c>
      <x:c r="B962" s="2" t="str">
        <x:v>MM-2004</x:v>
      </x:c>
      <x:c r="C962" s="2" t="str">
        <x:v>Organic Search</x:v>
      </x:c>
      <x:c r="D962" s="2" t="str">
        <x:v>CUS-171</x:v>
      </x:c>
      <x:c r="E962" s="10" t="n">
        <x:v>73.8</x:v>
      </x:c>
      <x:c r="F962" s="10" t="n">
        <x:v>3.49</x:v>
      </x:c>
      <x:c r="G962" s="10" t="n">
        <x:v>0</x:v>
      </x:c>
      <x:c r="H962" s="10" t="n">
        <x:v>70.31</x:v>
      </x:c>
      <x:c r="I962" s="10" t="n">
        <x:v>25</x:v>
      </x:c>
      <x:c r="J962" s="10" t="n">
        <x:v>45.31</x:v>
      </x:c>
      <x:c r="K962" s="2" t="n">
        <x:v>4</x:v>
      </x:c>
      <x:c r="L962" s="2" t="n">
        <x:v>0</x:v>
      </x:c>
    </x:row>
    <x:row r="963" ht="20" customHeight="1">
      <x:c r="A963" s="9" t="n">
        <x:v>46317</x:v>
      </x:c>
      <x:c r="B963" s="2" t="str">
        <x:v>MM-1997</x:v>
      </x:c>
      <x:c r="C963" s="2" t="str">
        <x:v>Organic Search</x:v>
      </x:c>
      <x:c r="D963" s="2" t="str">
        <x:v>CUS-145</x:v>
      </x:c>
      <x:c r="E963" s="10" t="n">
        <x:v>45.9</x:v>
      </x:c>
      <x:c r="F963" s="10" t="n">
        <x:v>0</x:v>
      </x:c>
      <x:c r="G963" s="10" t="n">
        <x:v>0</x:v>
      </x:c>
      <x:c r="H963" s="10" t="n">
        <x:v>45.9</x:v>
      </x:c>
      <x:c r="I963" s="10" t="n">
        <x:v>15.5</x:v>
      </x:c>
      <x:c r="J963" s="10" t="n">
        <x:v>30.4</x:v>
      </x:c>
      <x:c r="K963" s="2" t="n">
        <x:v>2</x:v>
      </x:c>
      <x:c r="L963" s="2" t="n">
        <x:v>0</x:v>
      </x:c>
    </x:row>
    <x:row r="964" ht="20" customHeight="1">
      <x:c r="A964" s="9" t="n">
        <x:v>46317</x:v>
      </x:c>
      <x:c r="B964" s="2" t="str">
        <x:v>MM-2000</x:v>
      </x:c>
      <x:c r="C964" s="2" t="str">
        <x:v>Email</x:v>
      </x:c>
      <x:c r="D964" s="2" t="str">
        <x:v>CUS-023</x:v>
      </x:c>
      <x:c r="E964" s="10" t="n">
        <x:v>104.85</x:v>
      </x:c>
      <x:c r="F964" s="10" t="n">
        <x:v>10.48</x:v>
      </x:c>
      <x:c r="G964" s="10" t="n">
        <x:v>0</x:v>
      </x:c>
      <x:c r="H964" s="10" t="n">
        <x:v>94.37</x:v>
      </x:c>
      <x:c r="I964" s="10" t="n">
        <x:v>40.5</x:v>
      </x:c>
      <x:c r="J964" s="10" t="n">
        <x:v>53.87</x:v>
      </x:c>
      <x:c r="K964" s="2" t="n">
        <x:v>3</x:v>
      </x:c>
      <x:c r="L964" s="2" t="n">
        <x:v>0</x:v>
      </x:c>
    </x:row>
    <x:row r="965" ht="20" customHeight="1">
      <x:c r="A965" s="9" t="n">
        <x:v>46317</x:v>
      </x:c>
      <x:c r="B965" s="2" t="str">
        <x:v>MM-1993</x:v>
      </x:c>
      <x:c r="C965" s="2" t="str">
        <x:v>Paid Social</x:v>
      </x:c>
      <x:c r="D965" s="2" t="str">
        <x:v>CUS-127</x:v>
      </x:c>
      <x:c r="E965" s="10" t="n">
        <x:v>79.95</x:v>
      </x:c>
      <x:c r="F965" s="10" t="n">
        <x:v>0</x:v>
      </x:c>
      <x:c r="G965" s="10" t="n">
        <x:v>0</x:v>
      </x:c>
      <x:c r="H965" s="10" t="n">
        <x:v>79.95</x:v>
      </x:c>
      <x:c r="I965" s="10" t="n">
        <x:v>32</x:v>
      </x:c>
      <x:c r="J965" s="10" t="n">
        <x:v>47.95</x:v>
      </x:c>
      <x:c r="K965" s="2" t="n">
        <x:v>1</x:v>
      </x:c>
      <x:c r="L965" s="2" t="n">
        <x:v>0</x:v>
      </x:c>
    </x:row>
    <x:row r="966" ht="20" customHeight="1">
      <x:c r="A966" s="9" t="n">
        <x:v>46317</x:v>
      </x:c>
      <x:c r="B966" s="2" t="str">
        <x:v>MM-2013</x:v>
      </x:c>
      <x:c r="C966" s="2" t="str">
        <x:v>Organic Search</x:v>
      </x:c>
      <x:c r="D966" s="2" t="str">
        <x:v>CUS-134</x:v>
      </x:c>
      <x:c r="E966" s="10" t="n">
        <x:v>22.95</x:v>
      </x:c>
      <x:c r="F966" s="10" t="n">
        <x:v>2.29</x:v>
      </x:c>
      <x:c r="G966" s="10" t="n">
        <x:v>0</x:v>
      </x:c>
      <x:c r="H966" s="10" t="n">
        <x:v>20.66</x:v>
      </x:c>
      <x:c r="I966" s="10" t="n">
        <x:v>8.5</x:v>
      </x:c>
      <x:c r="J966" s="10" t="n">
        <x:v>12.16</x:v>
      </x:c>
      <x:c r="K966" s="2" t="n">
        <x:v>1</x:v>
      </x:c>
      <x:c r="L966" s="2" t="n">
        <x:v>0</x:v>
      </x:c>
    </x:row>
    <x:row r="967" ht="20" customHeight="1">
      <x:c r="A967" s="9" t="n">
        <x:v>46317</x:v>
      </x:c>
      <x:c r="B967" s="2" t="str">
        <x:v>MM-1994</x:v>
      </x:c>
      <x:c r="C967" s="2" t="str">
        <x:v>Paid Social</x:v>
      </x:c>
      <x:c r="D967" s="2" t="str">
        <x:v>CUS-144</x:v>
      </x:c>
      <x:c r="E967" s="10" t="n">
        <x:v>32.95</x:v>
      </x:c>
      <x:c r="F967" s="10" t="n">
        <x:v>0</x:v>
      </x:c>
      <x:c r="G967" s="10" t="n">
        <x:v>0</x:v>
      </x:c>
      <x:c r="H967" s="10" t="n">
        <x:v>32.95</x:v>
      </x:c>
      <x:c r="I967" s="10" t="n">
        <x:v>12</x:v>
      </x:c>
      <x:c r="J967" s="10" t="n">
        <x:v>20.95</x:v>
      </x:c>
      <x:c r="K967" s="2" t="n">
        <x:v>1</x:v>
      </x:c>
      <x:c r="L967" s="2" t="n">
        <x:v>0</x:v>
      </x:c>
    </x:row>
    <x:row r="968" ht="20" customHeight="1">
      <x:c r="A968" s="9" t="n">
        <x:v>46317</x:v>
      </x:c>
      <x:c r="B968" s="2" t="str">
        <x:v>MM-2012</x:v>
      </x:c>
      <x:c r="C968" s="2" t="str">
        <x:v>Direct</x:v>
      </x:c>
      <x:c r="D968" s="2" t="str">
        <x:v>CUS-020</x:v>
      </x:c>
      <x:c r="E968" s="10" t="n">
        <x:v>52.9</x:v>
      </x:c>
      <x:c r="F968" s="10" t="n">
        <x:v>0</x:v>
      </x:c>
      <x:c r="G968" s="10" t="n">
        <x:v>0</x:v>
      </x:c>
      <x:c r="H968" s="10" t="n">
        <x:v>52.9</x:v>
      </x:c>
      <x:c r="I968" s="10" t="n">
        <x:v>18.5</x:v>
      </x:c>
      <x:c r="J968" s="10" t="n">
        <x:v>34.4</x:v>
      </x:c>
      <x:c r="K968" s="2" t="n">
        <x:v>2</x:v>
      </x:c>
      <x:c r="L968" s="2" t="n">
        <x:v>0</x:v>
      </x:c>
    </x:row>
    <x:row r="969" ht="20" customHeight="1">
      <x:c r="A969" s="9" t="n">
        <x:v>46317</x:v>
      </x:c>
      <x:c r="B969" s="2" t="str">
        <x:v>MM-2014</x:v>
      </x:c>
      <x:c r="C969" s="2" t="str">
        <x:v>Organic Search</x:v>
      </x:c>
      <x:c r="D969" s="2" t="str">
        <x:v>CUS-033</x:v>
      </x:c>
      <x:c r="E969" s="10" t="n">
        <x:v>32.9</x:v>
      </x:c>
      <x:c r="F969" s="10" t="n">
        <x:v>0</x:v>
      </x:c>
      <x:c r="G969" s="10" t="n">
        <x:v>0</x:v>
      </x:c>
      <x:c r="H969" s="10" t="n">
        <x:v>32.9</x:v>
      </x:c>
      <x:c r="I969" s="10" t="n">
        <x:v>9.5</x:v>
      </x:c>
      <x:c r="J969" s="10" t="n">
        <x:v>23.4</x:v>
      </x:c>
      <x:c r="K969" s="2" t="n">
        <x:v>2</x:v>
      </x:c>
      <x:c r="L969" s="2" t="n">
        <x:v>0</x:v>
      </x:c>
    </x:row>
    <x:row r="970" ht="20" customHeight="1">
      <x:c r="A970" s="9" t="n">
        <x:v>46317</x:v>
      </x:c>
      <x:c r="B970" s="2" t="str">
        <x:v>MM-1998</x:v>
      </x:c>
      <x:c r="C970" s="2" t="str">
        <x:v>Organic Search</x:v>
      </x:c>
      <x:c r="D970" s="2" t="str">
        <x:v>CUS-134</x:v>
      </x:c>
      <x:c r="E970" s="10" t="n">
        <x:v>74.85</x:v>
      </x:c>
      <x:c r="F970" s="10" t="n">
        <x:v>0</x:v>
      </x:c>
      <x:c r="G970" s="10" t="n">
        <x:v>0</x:v>
      </x:c>
      <x:c r="H970" s="10" t="n">
        <x:v>74.85</x:v>
      </x:c>
      <x:c r="I970" s="10" t="n">
        <x:v>27</x:v>
      </x:c>
      <x:c r="J970" s="10" t="n">
        <x:v>47.85</x:v>
      </x:c>
      <x:c r="K970" s="2" t="n">
        <x:v>3</x:v>
      </x:c>
      <x:c r="L970" s="2" t="n">
        <x:v>0</x:v>
      </x:c>
    </x:row>
    <x:row r="971" ht="20" customHeight="1">
      <x:c r="A971" s="9" t="n">
        <x:v>46317</x:v>
      </x:c>
      <x:c r="B971" s="2" t="str">
        <x:v>MM-2009</x:v>
      </x:c>
      <x:c r="C971" s="2" t="str">
        <x:v>Email</x:v>
      </x:c>
      <x:c r="D971" s="2" t="str">
        <x:v>CUS-168</x:v>
      </x:c>
      <x:c r="E971" s="10" t="n">
        <x:v>59.95</x:v>
      </x:c>
      <x:c r="F971" s="10" t="n">
        <x:v>5.99</x:v>
      </x:c>
      <x:c r="G971" s="10" t="n">
        <x:v>0</x:v>
      </x:c>
      <x:c r="H971" s="10" t="n">
        <x:v>53.96</x:v>
      </x:c>
      <x:c r="I971" s="10" t="n">
        <x:v>24</x:v>
      </x:c>
      <x:c r="J971" s="10" t="n">
        <x:v>29.96</x:v>
      </x:c>
      <x:c r="K971" s="2" t="n">
        <x:v>1</x:v>
      </x:c>
      <x:c r="L971" s="2" t="n">
        <x:v>0</x:v>
      </x:c>
    </x:row>
    <x:row r="972" ht="20" customHeight="1">
      <x:c r="A972" s="9" t="n">
        <x:v>46317</x:v>
      </x:c>
      <x:c r="B972" s="2" t="str">
        <x:v>MM-1995</x:v>
      </x:c>
      <x:c r="C972" s="2" t="str">
        <x:v>Organic Search</x:v>
      </x:c>
      <x:c r="D972" s="2" t="str">
        <x:v>CUS-119</x:v>
      </x:c>
      <x:c r="E972" s="10" t="n">
        <x:v>34.95</x:v>
      </x:c>
      <x:c r="F972" s="10" t="n">
        <x:v>0</x:v>
      </x:c>
      <x:c r="G972" s="10" t="n">
        <x:v>0</x:v>
      </x:c>
      <x:c r="H972" s="10" t="n">
        <x:v>34.95</x:v>
      </x:c>
      <x:c r="I972" s="10" t="n">
        <x:v>13.5</x:v>
      </x:c>
      <x:c r="J972" s="10" t="n">
        <x:v>21.45</x:v>
      </x:c>
      <x:c r="K972" s="2" t="n">
        <x:v>1</x:v>
      </x:c>
      <x:c r="L972" s="2" t="n">
        <x:v>0</x:v>
      </x:c>
    </x:row>
    <x:row r="973" ht="20" customHeight="1">
      <x:c r="A973" s="9" t="n">
        <x:v>46317</x:v>
      </x:c>
      <x:c r="B973" s="2" t="str">
        <x:v>MM-1999</x:v>
      </x:c>
      <x:c r="C973" s="2" t="str">
        <x:v>Organic Search</x:v>
      </x:c>
      <x:c r="D973" s="2" t="str">
        <x:v>CUS-013</x:v>
      </x:c>
      <x:c r="E973" s="10" t="n">
        <x:v>24.95</x:v>
      </x:c>
      <x:c r="F973" s="10" t="n">
        <x:v>0</x:v>
      </x:c>
      <x:c r="G973" s="10" t="n">
        <x:v>0</x:v>
      </x:c>
      <x:c r="H973" s="10" t="n">
        <x:v>24.95</x:v>
      </x:c>
      <x:c r="I973" s="10" t="n">
        <x:v>9</x:v>
      </x:c>
      <x:c r="J973" s="10" t="n">
        <x:v>15.95</x:v>
      </x:c>
      <x:c r="K973" s="2" t="n">
        <x:v>1</x:v>
      </x:c>
      <x:c r="L973" s="2" t="n">
        <x:v>0</x:v>
      </x:c>
    </x:row>
    <x:row r="974" ht="20" customHeight="1">
      <x:c r="A974" s="9" t="n">
        <x:v>46317</x:v>
      </x:c>
      <x:c r="B974" s="2" t="str">
        <x:v>MM-2003</x:v>
      </x:c>
      <x:c r="C974" s="2" t="str">
        <x:v>Organic Search</x:v>
      </x:c>
      <x:c r="D974" s="2" t="str">
        <x:v>CUS-071</x:v>
      </x:c>
      <x:c r="E974" s="10" t="n">
        <x:v>49.9</x:v>
      </x:c>
      <x:c r="F974" s="10" t="n">
        <x:v>0</x:v>
      </x:c>
      <x:c r="G974" s="10" t="n">
        <x:v>0</x:v>
      </x:c>
      <x:c r="H974" s="10" t="n">
        <x:v>49.9</x:v>
      </x:c>
      <x:c r="I974" s="10" t="n">
        <x:v>18</x:v>
      </x:c>
      <x:c r="J974" s="10" t="n">
        <x:v>31.9</x:v>
      </x:c>
      <x:c r="K974" s="2" t="n">
        <x:v>2</x:v>
      </x:c>
      <x:c r="L974" s="2" t="n">
        <x:v>0</x:v>
      </x:c>
    </x:row>
    <x:row r="975" ht="20" customHeight="1">
      <x:c r="A975" s="9" t="n">
        <x:v>46317</x:v>
      </x:c>
      <x:c r="B975" s="2" t="str">
        <x:v>MM-2002</x:v>
      </x:c>
      <x:c r="C975" s="2" t="str">
        <x:v>Direct</x:v>
      </x:c>
      <x:c r="D975" s="2" t="str">
        <x:v>CUS-020</x:v>
      </x:c>
      <x:c r="E975" s="10" t="n">
        <x:v>69.95</x:v>
      </x:c>
      <x:c r="F975" s="10" t="n">
        <x:v>0</x:v>
      </x:c>
      <x:c r="G975" s="10" t="n">
        <x:v>0</x:v>
      </x:c>
      <x:c r="H975" s="10" t="n">
        <x:v>69.95</x:v>
      </x:c>
      <x:c r="I975" s="10" t="n">
        <x:v>28</x:v>
      </x:c>
      <x:c r="J975" s="10" t="n">
        <x:v>41.95</x:v>
      </x:c>
      <x:c r="K975" s="2" t="n">
        <x:v>1</x:v>
      </x:c>
      <x:c r="L975" s="2" t="n">
        <x:v>0</x:v>
      </x:c>
    </x:row>
    <x:row r="976" ht="20" customHeight="1">
      <x:c r="A976" s="9" t="n">
        <x:v>46317</x:v>
      </x:c>
      <x:c r="B976" s="2" t="str">
        <x:v>MM-2005</x:v>
      </x:c>
      <x:c r="C976" s="2" t="str">
        <x:v>Direct</x:v>
      </x:c>
      <x:c r="D976" s="2" t="str">
        <x:v>CUS-029</x:v>
      </x:c>
      <x:c r="E976" s="10" t="n">
        <x:v>44.9</x:v>
      </x:c>
      <x:c r="F976" s="10" t="n">
        <x:v>0</x:v>
      </x:c>
      <x:c r="G976" s="10" t="n">
        <x:v>0</x:v>
      </x:c>
      <x:c r="H976" s="10" t="n">
        <x:v>44.9</x:v>
      </x:c>
      <x:c r="I976" s="10" t="n">
        <x:v>14.5</x:v>
      </x:c>
      <x:c r="J976" s="10" t="n">
        <x:v>30.4</x:v>
      </x:c>
      <x:c r="K976" s="2" t="n">
        <x:v>2</x:v>
      </x:c>
      <x:c r="L976" s="2" t="n">
        <x:v>0</x:v>
      </x:c>
    </x:row>
    <x:row r="977" ht="20" customHeight="1">
      <x:c r="A977" s="9" t="n">
        <x:v>46317</x:v>
      </x:c>
      <x:c r="B977" s="2" t="str">
        <x:v>MM-2006</x:v>
      </x:c>
      <x:c r="C977" s="2" t="str">
        <x:v>Organic Search</x:v>
      </x:c>
      <x:c r="D977" s="2" t="str">
        <x:v>CUS-086</x:v>
      </x:c>
      <x:c r="E977" s="10" t="n">
        <x:v>39.9</x:v>
      </x:c>
      <x:c r="F977" s="10" t="n">
        <x:v>0</x:v>
      </x:c>
      <x:c r="G977" s="10" t="n">
        <x:v>0</x:v>
      </x:c>
      <x:c r="H977" s="10" t="n">
        <x:v>39.9</x:v>
      </x:c>
      <x:c r="I977" s="10" t="n">
        <x:v>12</x:v>
      </x:c>
      <x:c r="J977" s="10" t="n">
        <x:v>27.9</x:v>
      </x:c>
      <x:c r="K977" s="2" t="n">
        <x:v>2</x:v>
      </x:c>
      <x:c r="L977" s="2" t="n">
        <x:v>0</x:v>
      </x:c>
    </x:row>
    <x:row r="978" ht="20" customHeight="1">
      <x:c r="A978" s="9" t="n">
        <x:v>46317</x:v>
      </x:c>
      <x:c r="B978" s="2" t="str">
        <x:v>MM-2007</x:v>
      </x:c>
      <x:c r="C978" s="2" t="str">
        <x:v>Organic Search</x:v>
      </x:c>
      <x:c r="D978" s="2" t="str">
        <x:v>CUS-067</x:v>
      </x:c>
      <x:c r="E978" s="10" t="n">
        <x:v>65.9</x:v>
      </x:c>
      <x:c r="F978" s="10" t="n">
        <x:v>0</x:v>
      </x:c>
      <x:c r="G978" s="10" t="n">
        <x:v>0</x:v>
      </x:c>
      <x:c r="H978" s="10" t="n">
        <x:v>65.9</x:v>
      </x:c>
      <x:c r="I978" s="10" t="n">
        <x:v>24</x:v>
      </x:c>
      <x:c r="J978" s="10" t="n">
        <x:v>41.9</x:v>
      </x:c>
      <x:c r="K978" s="2" t="n">
        <x:v>2</x:v>
      </x:c>
      <x:c r="L978" s="2" t="n">
        <x:v>0</x:v>
      </x:c>
    </x:row>
    <x:row r="979" ht="20" customHeight="1">
      <x:c r="A979" s="9" t="n">
        <x:v>46317</x:v>
      </x:c>
      <x:c r="B979" s="2" t="str">
        <x:v>MM-2010</x:v>
      </x:c>
      <x:c r="C979" s="2" t="str">
        <x:v>Paid Social</x:v>
      </x:c>
      <x:c r="D979" s="2" t="str">
        <x:v>CUS-086</x:v>
      </x:c>
      <x:c r="E979" s="10" t="n">
        <x:v>49.9</x:v>
      </x:c>
      <x:c r="F979" s="10" t="n">
        <x:v>2.99</x:v>
      </x:c>
      <x:c r="G979" s="10" t="n">
        <x:v>0</x:v>
      </x:c>
      <x:c r="H979" s="10" t="n">
        <x:v>46.91</x:v>
      </x:c>
      <x:c r="I979" s="10" t="n">
        <x:v>16</x:v>
      </x:c>
      <x:c r="J979" s="10" t="n">
        <x:v>30.91</x:v>
      </x:c>
      <x:c r="K979" s="2" t="n">
        <x:v>2</x:v>
      </x:c>
      <x:c r="L979" s="2" t="n">
        <x:v>0</x:v>
      </x:c>
    </x:row>
    <x:row r="980" ht="20" customHeight="1">
      <x:c r="A980" s="9" t="n">
        <x:v>46317</x:v>
      </x:c>
      <x:c r="B980" s="2" t="str">
        <x:v>MM-2011</x:v>
      </x:c>
      <x:c r="C980" s="2" t="str">
        <x:v>Paid Social</x:v>
      </x:c>
      <x:c r="D980" s="2" t="str">
        <x:v>CUS-174</x:v>
      </x:c>
      <x:c r="E980" s="10" t="n">
        <x:v>159.9</x:v>
      </x:c>
      <x:c r="F980" s="10" t="n">
        <x:v>0</x:v>
      </x:c>
      <x:c r="G980" s="10" t="n">
        <x:v>0</x:v>
      </x:c>
      <x:c r="H980" s="10" t="n">
        <x:v>159.9</x:v>
      </x:c>
      <x:c r="I980" s="10" t="n">
        <x:v>64</x:v>
      </x:c>
      <x:c r="J980" s="10" t="n">
        <x:v>95.9</x:v>
      </x:c>
      <x:c r="K980" s="2" t="n">
        <x:v>2</x:v>
      </x:c>
      <x:c r="L980" s="2" t="n">
        <x:v>0</x:v>
      </x:c>
    </x:row>
    <x:row r="981" ht="20" customHeight="1">
      <x:c r="A981" s="9" t="n">
        <x:v>46317</x:v>
      </x:c>
      <x:c r="B981" s="2" t="str">
        <x:v>MM-2001</x:v>
      </x:c>
      <x:c r="C981" s="2" t="str">
        <x:v>Email</x:v>
      </x:c>
      <x:c r="D981" s="2" t="str">
        <x:v>CUS-004</x:v>
      </x:c>
      <x:c r="E981" s="10" t="n">
        <x:v>69.95</x:v>
      </x:c>
      <x:c r="F981" s="10" t="n">
        <x:v>6.99</x:v>
      </x:c>
      <x:c r="G981" s="10" t="n">
        <x:v>0</x:v>
      </x:c>
      <x:c r="H981" s="10" t="n">
        <x:v>62.96</x:v>
      </x:c>
      <x:c r="I981" s="10" t="n">
        <x:v>28</x:v>
      </x:c>
      <x:c r="J981" s="10" t="n">
        <x:v>34.96</x:v>
      </x:c>
      <x:c r="K981" s="2" t="n">
        <x:v>1</x:v>
      </x:c>
      <x:c r="L981" s="2" t="n">
        <x:v>0</x:v>
      </x:c>
    </x:row>
    <x:row r="982" ht="20" customHeight="1">
      <x:c r="A982" s="9" t="n">
        <x:v>46317</x:v>
      </x:c>
      <x:c r="B982" s="2" t="str">
        <x:v>MM-2008</x:v>
      </x:c>
      <x:c r="C982" s="2" t="str">
        <x:v>Organic Search</x:v>
      </x:c>
      <x:c r="D982" s="2" t="str">
        <x:v>CUS-107</x:v>
      </x:c>
      <x:c r="E982" s="10" t="n">
        <x:v>37.9</x:v>
      </x:c>
      <x:c r="F982" s="10" t="n">
        <x:v>0</x:v>
      </x:c>
      <x:c r="G982" s="10" t="n">
        <x:v>0</x:v>
      </x:c>
      <x:c r="H982" s="10" t="n">
        <x:v>37.9</x:v>
      </x:c>
      <x:c r="I982" s="10" t="n">
        <x:v>12</x:v>
      </x:c>
      <x:c r="J982" s="10" t="n">
        <x:v>25.9</x:v>
      </x:c>
      <x:c r="K982" s="2" t="n">
        <x:v>2</x:v>
      </x:c>
      <x:c r="L982" s="2" t="n">
        <x:v>0</x:v>
      </x:c>
    </x:row>
    <x:row r="983" ht="20" customHeight="1">
      <x:c r="A983" s="9" t="n">
        <x:v>46318</x:v>
      </x:c>
      <x:c r="B983" s="2" t="str">
        <x:v>MM-2016</x:v>
      </x:c>
      <x:c r="C983" s="2" t="str">
        <x:v>Paid Social</x:v>
      </x:c>
      <x:c r="D983" s="2" t="str">
        <x:v>CUS-168</x:v>
      </x:c>
      <x:c r="E983" s="10" t="n">
        <x:v>12.95</x:v>
      </x:c>
      <x:c r="F983" s="10" t="n">
        <x:v>0</x:v>
      </x:c>
      <x:c r="G983" s="10" t="n">
        <x:v>0</x:v>
      </x:c>
      <x:c r="H983" s="10" t="n">
        <x:v>12.95</x:v>
      </x:c>
      <x:c r="I983" s="10" t="n">
        <x:v>3.5</x:v>
      </x:c>
      <x:c r="J983" s="10" t="n">
        <x:v>9.45</x:v>
      </x:c>
      <x:c r="K983" s="2" t="n">
        <x:v>1</x:v>
      </x:c>
      <x:c r="L983" s="2" t="n">
        <x:v>0</x:v>
      </x:c>
    </x:row>
    <x:row r="984" ht="20" customHeight="1">
      <x:c r="A984" s="9" t="n">
        <x:v>46318</x:v>
      </x:c>
      <x:c r="B984" s="2" t="str">
        <x:v>MM-2028</x:v>
      </x:c>
      <x:c r="C984" s="2" t="str">
        <x:v>Email</x:v>
      </x:c>
      <x:c r="D984" s="2" t="str">
        <x:v>CUS-081</x:v>
      </x:c>
      <x:c r="E984" s="10" t="n">
        <x:v>69.95</x:v>
      </x:c>
      <x:c r="F984" s="10" t="n">
        <x:v>6.99</x:v>
      </x:c>
      <x:c r="G984" s="10" t="n">
        <x:v>0</x:v>
      </x:c>
      <x:c r="H984" s="10" t="n">
        <x:v>62.96</x:v>
      </x:c>
      <x:c r="I984" s="10" t="n">
        <x:v>28</x:v>
      </x:c>
      <x:c r="J984" s="10" t="n">
        <x:v>34.96</x:v>
      </x:c>
      <x:c r="K984" s="2" t="n">
        <x:v>1</x:v>
      </x:c>
      <x:c r="L984" s="2" t="n">
        <x:v>0</x:v>
      </x:c>
    </x:row>
    <x:row r="985" ht="20" customHeight="1">
      <x:c r="A985" s="9" t="n">
        <x:v>46318</x:v>
      </x:c>
      <x:c r="B985" s="2" t="str">
        <x:v>MM-2031</x:v>
      </x:c>
      <x:c r="C985" s="2" t="str">
        <x:v>Paid Social</x:v>
      </x:c>
      <x:c r="D985" s="2" t="str">
        <x:v>CUS-085</x:v>
      </x:c>
      <x:c r="E985" s="10" t="n">
        <x:v>44.9</x:v>
      </x:c>
      <x:c r="F985" s="10" t="n">
        <x:v>0</x:v>
      </x:c>
      <x:c r="G985" s="10" t="n">
        <x:v>0</x:v>
      </x:c>
      <x:c r="H985" s="10" t="n">
        <x:v>44.9</x:v>
      </x:c>
      <x:c r="I985" s="10" t="n">
        <x:v>14.5</x:v>
      </x:c>
      <x:c r="J985" s="10" t="n">
        <x:v>30.4</x:v>
      </x:c>
      <x:c r="K985" s="2" t="n">
        <x:v>2</x:v>
      </x:c>
      <x:c r="L985" s="2" t="n">
        <x:v>0</x:v>
      </x:c>
    </x:row>
    <x:row r="986" ht="20" customHeight="1">
      <x:c r="A986" s="9" t="n">
        <x:v>46318</x:v>
      </x:c>
      <x:c r="B986" s="2" t="str">
        <x:v>MM-2025</x:v>
      </x:c>
      <x:c r="C986" s="2" t="str">
        <x:v>Email</x:v>
      </x:c>
      <x:c r="D986" s="2" t="str">
        <x:v>CUS-027</x:v>
      </x:c>
      <x:c r="E986" s="10" t="n">
        <x:v>119.85</x:v>
      </x:c>
      <x:c r="F986" s="10" t="n">
        <x:v>11.98</x:v>
      </x:c>
      <x:c r="G986" s="10" t="n">
        <x:v>0</x:v>
      </x:c>
      <x:c r="H986" s="10" t="n">
        <x:v>107.87</x:v>
      </x:c>
      <x:c r="I986" s="10" t="n">
        <x:v>44</x:v>
      </x:c>
      <x:c r="J986" s="10" t="n">
        <x:v>63.87</x:v>
      </x:c>
      <x:c r="K986" s="2" t="n">
        <x:v>3</x:v>
      </x:c>
      <x:c r="L986" s="2" t="n">
        <x:v>0</x:v>
      </x:c>
    </x:row>
    <x:row r="987" ht="20" customHeight="1">
      <x:c r="A987" s="9" t="n">
        <x:v>46318</x:v>
      </x:c>
      <x:c r="B987" s="2" t="str">
        <x:v>MM-2024</x:v>
      </x:c>
      <x:c r="C987" s="2" t="str">
        <x:v>Email</x:v>
      </x:c>
      <x:c r="D987" s="2" t="str">
        <x:v>CUS-006</x:v>
      </x:c>
      <x:c r="E987" s="10" t="n">
        <x:v>59.95</x:v>
      </x:c>
      <x:c r="F987" s="10" t="n">
        <x:v>5.99</x:v>
      </x:c>
      <x:c r="G987" s="10" t="n">
        <x:v>0</x:v>
      </x:c>
      <x:c r="H987" s="10" t="n">
        <x:v>53.96</x:v>
      </x:c>
      <x:c r="I987" s="10" t="n">
        <x:v>24</x:v>
      </x:c>
      <x:c r="J987" s="10" t="n">
        <x:v>29.96</x:v>
      </x:c>
      <x:c r="K987" s="2" t="n">
        <x:v>1</x:v>
      </x:c>
      <x:c r="L987" s="2" t="n">
        <x:v>0</x:v>
      </x:c>
    </x:row>
    <x:row r="988" ht="20" customHeight="1">
      <x:c r="A988" s="9" t="n">
        <x:v>46318</x:v>
      </x:c>
      <x:c r="B988" s="2" t="str">
        <x:v>MM-2032</x:v>
      </x:c>
      <x:c r="C988" s="2" t="str">
        <x:v>Organic Search</x:v>
      </x:c>
      <x:c r="D988" s="2" t="str">
        <x:v>CUS-102</x:v>
      </x:c>
      <x:c r="E988" s="10" t="n">
        <x:v>92.85</x:v>
      </x:c>
      <x:c r="F988" s="10" t="n">
        <x:v>0</x:v>
      </x:c>
      <x:c r="G988" s="10" t="n">
        <x:v>0</x:v>
      </x:c>
      <x:c r="H988" s="10" t="n">
        <x:v>92.85</x:v>
      </x:c>
      <x:c r="I988" s="10" t="n">
        <x:v>35</x:v>
      </x:c>
      <x:c r="J988" s="10" t="n">
        <x:v>57.85</x:v>
      </x:c>
      <x:c r="K988" s="2" t="n">
        <x:v>3</x:v>
      </x:c>
      <x:c r="L988" s="2" t="n">
        <x:v>0</x:v>
      </x:c>
    </x:row>
    <x:row r="989" ht="20" customHeight="1">
      <x:c r="A989" s="9" t="n">
        <x:v>46318</x:v>
      </x:c>
      <x:c r="B989" s="2" t="str">
        <x:v>MM-2023</x:v>
      </x:c>
      <x:c r="C989" s="2" t="str">
        <x:v>Organic Search</x:v>
      </x:c>
      <x:c r="D989" s="2" t="str">
        <x:v>CUS-063</x:v>
      </x:c>
      <x:c r="E989" s="10" t="n">
        <x:v>37.9</x:v>
      </x:c>
      <x:c r="F989" s="10" t="n">
        <x:v>0</x:v>
      </x:c>
      <x:c r="G989" s="10" t="n">
        <x:v>0</x:v>
      </x:c>
      <x:c r="H989" s="10" t="n">
        <x:v>37.9</x:v>
      </x:c>
      <x:c r="I989" s="10" t="n">
        <x:v>13</x:v>
      </x:c>
      <x:c r="J989" s="10" t="n">
        <x:v>24.9</x:v>
      </x:c>
      <x:c r="K989" s="2" t="n">
        <x:v>2</x:v>
      </x:c>
      <x:c r="L989" s="2" t="n">
        <x:v>0</x:v>
      </x:c>
    </x:row>
    <x:row r="990" ht="20" customHeight="1">
      <x:c r="A990" s="9" t="n">
        <x:v>46318</x:v>
      </x:c>
      <x:c r="B990" s="2" t="str">
        <x:v>MM-2018</x:v>
      </x:c>
      <x:c r="C990" s="2" t="str">
        <x:v>Email</x:v>
      </x:c>
      <x:c r="D990" s="2" t="str">
        <x:v>CUS-029</x:v>
      </x:c>
      <x:c r="E990" s="10" t="n">
        <x:v>45.9</x:v>
      </x:c>
      <x:c r="F990" s="10" t="n">
        <x:v>4.59</x:v>
      </x:c>
      <x:c r="G990" s="10" t="n">
        <x:v>0</x:v>
      </x:c>
      <x:c r="H990" s="10" t="n">
        <x:v>41.31</x:v>
      </x:c>
      <x:c r="I990" s="10" t="n">
        <x:v>17</x:v>
      </x:c>
      <x:c r="J990" s="10" t="n">
        <x:v>24.31</x:v>
      </x:c>
      <x:c r="K990" s="2" t="n">
        <x:v>2</x:v>
      </x:c>
      <x:c r="L990" s="2" t="n">
        <x:v>0</x:v>
      </x:c>
    </x:row>
    <x:row r="991" ht="20" customHeight="1">
      <x:c r="A991" s="9" t="n">
        <x:v>46318</x:v>
      </x:c>
      <x:c r="B991" s="2" t="str">
        <x:v>MM-2022</x:v>
      </x:c>
      <x:c r="C991" s="2" t="str">
        <x:v>Organic Search</x:v>
      </x:c>
      <x:c r="D991" s="2" t="str">
        <x:v>CUS-123</x:v>
      </x:c>
      <x:c r="E991" s="10" t="n">
        <x:v>59.95</x:v>
      </x:c>
      <x:c r="F991" s="10" t="n">
        <x:v>0</x:v>
      </x:c>
      <x:c r="G991" s="10" t="n">
        <x:v>0</x:v>
      </x:c>
      <x:c r="H991" s="10" t="n">
        <x:v>59.95</x:v>
      </x:c>
      <x:c r="I991" s="10" t="n">
        <x:v>24</x:v>
      </x:c>
      <x:c r="J991" s="10" t="n">
        <x:v>35.95</x:v>
      </x:c>
      <x:c r="K991" s="2" t="n">
        <x:v>1</x:v>
      </x:c>
      <x:c r="L991" s="2" t="n">
        <x:v>0</x:v>
      </x:c>
    </x:row>
    <x:row r="992" ht="20" customHeight="1">
      <x:c r="A992" s="9" t="n">
        <x:v>46318</x:v>
      </x:c>
      <x:c r="B992" s="2" t="str">
        <x:v>MM-2015</x:v>
      </x:c>
      <x:c r="C992" s="2" t="str">
        <x:v>Direct</x:v>
      </x:c>
      <x:c r="D992" s="2" t="str">
        <x:v>CUS-095</x:v>
      </x:c>
      <x:c r="E992" s="10" t="n">
        <x:v>178.85</x:v>
      </x:c>
      <x:c r="F992" s="10" t="n">
        <x:v>0</x:v>
      </x:c>
      <x:c r="G992" s="10" t="n">
        <x:v>0</x:v>
      </x:c>
      <x:c r="H992" s="10" t="n">
        <x:v>178.85</x:v>
      </x:c>
      <x:c r="I992" s="10" t="n">
        <x:v>70.5</x:v>
      </x:c>
      <x:c r="J992" s="10" t="n">
        <x:v>108.35</x:v>
      </x:c>
      <x:c r="K992" s="2" t="n">
        <x:v>3</x:v>
      </x:c>
      <x:c r="L992" s="2" t="n">
        <x:v>0</x:v>
      </x:c>
    </x:row>
    <x:row r="993" ht="20" customHeight="1">
      <x:c r="A993" s="9" t="n">
        <x:v>46318</x:v>
      </x:c>
      <x:c r="B993" s="2" t="str">
        <x:v>MM-2017</x:v>
      </x:c>
      <x:c r="C993" s="2" t="str">
        <x:v>Email</x:v>
      </x:c>
      <x:c r="D993" s="2" t="str">
        <x:v>CUS-139</x:v>
      </x:c>
      <x:c r="E993" s="10" t="n">
        <x:v>12.95</x:v>
      </x:c>
      <x:c r="F993" s="10" t="n">
        <x:v>1.29</x:v>
      </x:c>
      <x:c r="G993" s="10" t="n">
        <x:v>0</x:v>
      </x:c>
      <x:c r="H993" s="10" t="n">
        <x:v>11.66</x:v>
      </x:c>
      <x:c r="I993" s="10" t="n">
        <x:v>3.5</x:v>
      </x:c>
      <x:c r="J993" s="10" t="n">
        <x:v>8.16</x:v>
      </x:c>
      <x:c r="K993" s="2" t="n">
        <x:v>1</x:v>
      </x:c>
      <x:c r="L993" s="2" t="n">
        <x:v>0</x:v>
      </x:c>
    </x:row>
    <x:row r="994" ht="20" customHeight="1">
      <x:c r="A994" s="9" t="n">
        <x:v>46318</x:v>
      </x:c>
      <x:c r="B994" s="2" t="str">
        <x:v>MM-2020</x:v>
      </x:c>
      <x:c r="C994" s="2" t="str">
        <x:v>Organic Search</x:v>
      </x:c>
      <x:c r="D994" s="2" t="str">
        <x:v>CUS-117</x:v>
      </x:c>
      <x:c r="E994" s="10" t="n">
        <x:v>79.95</x:v>
      </x:c>
      <x:c r="F994" s="10" t="n">
        <x:v>0</x:v>
      </x:c>
      <x:c r="G994" s="10" t="n">
        <x:v>0</x:v>
      </x:c>
      <x:c r="H994" s="10" t="n">
        <x:v>79.95</x:v>
      </x:c>
      <x:c r="I994" s="10" t="n">
        <x:v>32</x:v>
      </x:c>
      <x:c r="J994" s="10" t="n">
        <x:v>47.95</x:v>
      </x:c>
      <x:c r="K994" s="2" t="n">
        <x:v>1</x:v>
      </x:c>
      <x:c r="L994" s="2" t="n">
        <x:v>0</x:v>
      </x:c>
    </x:row>
    <x:row r="995" ht="20" customHeight="1">
      <x:c r="A995" s="9" t="n">
        <x:v>46318</x:v>
      </x:c>
      <x:c r="B995" s="2" t="str">
        <x:v>MM-2026</x:v>
      </x:c>
      <x:c r="C995" s="2" t="str">
        <x:v>Direct</x:v>
      </x:c>
      <x:c r="D995" s="2" t="str">
        <x:v>CUS-103</x:v>
      </x:c>
      <x:c r="E995" s="10" t="n">
        <x:v>88.85</x:v>
      </x:c>
      <x:c r="F995" s="10" t="n">
        <x:v>0</x:v>
      </x:c>
      <x:c r="G995" s="10" t="n">
        <x:v>0</x:v>
      </x:c>
      <x:c r="H995" s="10" t="n">
        <x:v>88.85</x:v>
      </x:c>
      <x:c r="I995" s="10" t="n">
        <x:v>33.5</x:v>
      </x:c>
      <x:c r="J995" s="10" t="n">
        <x:v>55.35</x:v>
      </x:c>
      <x:c r="K995" s="2" t="n">
        <x:v>3</x:v>
      </x:c>
      <x:c r="L995" s="2" t="n">
        <x:v>0</x:v>
      </x:c>
    </x:row>
    <x:row r="996" ht="20" customHeight="1">
      <x:c r="A996" s="9" t="n">
        <x:v>46318</x:v>
      </x:c>
      <x:c r="B996" s="2" t="str">
        <x:v>MM-2027</x:v>
      </x:c>
      <x:c r="C996" s="2" t="str">
        <x:v>Organic Search</x:v>
      </x:c>
      <x:c r="D996" s="2" t="str">
        <x:v>CUS-044</x:v>
      </x:c>
      <x:c r="E996" s="10" t="n">
        <x:v>29.9</x:v>
      </x:c>
      <x:c r="F996" s="10" t="n">
        <x:v>0</x:v>
      </x:c>
      <x:c r="G996" s="10" t="n">
        <x:v>0</x:v>
      </x:c>
      <x:c r="H996" s="10" t="n">
        <x:v>29.9</x:v>
      </x:c>
      <x:c r="I996" s="10" t="n">
        <x:v>8.5</x:v>
      </x:c>
      <x:c r="J996" s="10" t="n">
        <x:v>21.4</x:v>
      </x:c>
      <x:c r="K996" s="2" t="n">
        <x:v>2</x:v>
      </x:c>
      <x:c r="L996" s="2" t="n">
        <x:v>0</x:v>
      </x:c>
    </x:row>
    <x:row r="997" ht="20" customHeight="1">
      <x:c r="A997" s="9" t="n">
        <x:v>46318</x:v>
      </x:c>
      <x:c r="B997" s="2" t="str">
        <x:v>MM-2030</x:v>
      </x:c>
      <x:c r="C997" s="2" t="str">
        <x:v>Paid Social</x:v>
      </x:c>
      <x:c r="D997" s="2" t="str">
        <x:v>CUS-147</x:v>
      </x:c>
      <x:c r="E997" s="10" t="n">
        <x:v>19.9</x:v>
      </x:c>
      <x:c r="F997" s="10" t="n">
        <x:v>0</x:v>
      </x:c>
      <x:c r="G997" s="10" t="n">
        <x:v>0</x:v>
      </x:c>
      <x:c r="H997" s="10" t="n">
        <x:v>19.9</x:v>
      </x:c>
      <x:c r="I997" s="10" t="n">
        <x:v>5</x:v>
      </x:c>
      <x:c r="J997" s="10" t="n">
        <x:v>14.9</x:v>
      </x:c>
      <x:c r="K997" s="2" t="n">
        <x:v>2</x:v>
      </x:c>
      <x:c r="L997" s="2" t="n">
        <x:v>0</x:v>
      </x:c>
    </x:row>
    <x:row r="998" ht="20" customHeight="1">
      <x:c r="A998" s="9" t="n">
        <x:v>46319</x:v>
      </x:c>
      <x:c r="B998" s="2" t="str">
        <x:v>MM-2045</x:v>
      </x:c>
      <x:c r="C998" s="2" t="str">
        <x:v>Paid Social</x:v>
      </x:c>
      <x:c r="D998" s="2" t="str">
        <x:v>CUS-101</x:v>
      </x:c>
      <x:c r="E998" s="10" t="n">
        <x:v>119.85</x:v>
      </x:c>
      <x:c r="F998" s="10" t="n">
        <x:v>0</x:v>
      </x:c>
      <x:c r="G998" s="10" t="n">
        <x:v>0</x:v>
      </x:c>
      <x:c r="H998" s="10" t="n">
        <x:v>119.85</x:v>
      </x:c>
      <x:c r="I998" s="10" t="n">
        <x:v>45.5</x:v>
      </x:c>
      <x:c r="J998" s="10" t="n">
        <x:v>74.35</x:v>
      </x:c>
      <x:c r="K998" s="2" t="n">
        <x:v>3</x:v>
      </x:c>
      <x:c r="L998" s="2" t="n">
        <x:v>0</x:v>
      </x:c>
    </x:row>
    <x:row r="999" ht="20" customHeight="1">
      <x:c r="A999" s="9" t="n">
        <x:v>46319</x:v>
      </x:c>
      <x:c r="B999" s="2" t="str">
        <x:v>MM-2035</x:v>
      </x:c>
      <x:c r="C999" s="2" t="str">
        <x:v>Organic Search</x:v>
      </x:c>
      <x:c r="D999" s="2" t="str">
        <x:v>CUS-027</x:v>
      </x:c>
      <x:c r="E999" s="10" t="n">
        <x:v>94.85</x:v>
      </x:c>
      <x:c r="F999" s="10" t="n">
        <x:v>0</x:v>
      </x:c>
      <x:c r="G999" s="10" t="n">
        <x:v>0</x:v>
      </x:c>
      <x:c r="H999" s="10" t="n">
        <x:v>94.85</x:v>
      </x:c>
      <x:c r="I999" s="10" t="n">
        <x:v>33.5</x:v>
      </x:c>
      <x:c r="J999" s="10" t="n">
        <x:v>61.35</x:v>
      </x:c>
      <x:c r="K999" s="2" t="n">
        <x:v>3</x:v>
      </x:c>
      <x:c r="L999" s="2" t="n">
        <x:v>0</x:v>
      </x:c>
    </x:row>
    <x:row r="1000" ht="20" customHeight="1">
      <x:c r="A1000" s="9" t="n">
        <x:v>46319</x:v>
      </x:c>
      <x:c r="B1000" s="2" t="str">
        <x:v>MM-2043</x:v>
      </x:c>
      <x:c r="C1000" s="2" t="str">
        <x:v>Organic Search</x:v>
      </x:c>
      <x:c r="D1000" s="2" t="str">
        <x:v>CUS-137</x:v>
      </x:c>
      <x:c r="E1000" s="10" t="n">
        <x:v>45.9</x:v>
      </x:c>
      <x:c r="F1000" s="10" t="n">
        <x:v>0</x:v>
      </x:c>
      <x:c r="G1000" s="10" t="n">
        <x:v>0</x:v>
      </x:c>
      <x:c r="H1000" s="10" t="n">
        <x:v>45.9</x:v>
      </x:c>
      <x:c r="I1000" s="10" t="n">
        <x:v>17</x:v>
      </x:c>
      <x:c r="J1000" s="10" t="n">
        <x:v>28.9</x:v>
      </x:c>
      <x:c r="K1000" s="2" t="n">
        <x:v>2</x:v>
      </x:c>
      <x:c r="L1000" s="2" t="n">
        <x:v>0</x:v>
      </x:c>
    </x:row>
    <x:row r="1001" ht="20" customHeight="1">
      <x:c r="A1001" s="9" t="n">
        <x:v>46319</x:v>
      </x:c>
      <x:c r="B1001" s="2" t="str">
        <x:v>MM-2044</x:v>
      </x:c>
      <x:c r="C1001" s="2" t="str">
        <x:v>Organic Search</x:v>
      </x:c>
      <x:c r="D1001" s="2" t="str">
        <x:v>CUS-126</x:v>
      </x:c>
      <x:c r="E1001" s="10" t="n">
        <x:v>69.95</x:v>
      </x:c>
      <x:c r="F1001" s="10" t="n">
        <x:v>0</x:v>
      </x:c>
      <x:c r="G1001" s="10" t="n">
        <x:v>0</x:v>
      </x:c>
      <x:c r="H1001" s="10" t="n">
        <x:v>69.95</x:v>
      </x:c>
      <x:c r="I1001" s="10" t="n">
        <x:v>28</x:v>
      </x:c>
      <x:c r="J1001" s="10" t="n">
        <x:v>41.95</x:v>
      </x:c>
      <x:c r="K1001" s="2" t="n">
        <x:v>1</x:v>
      </x:c>
      <x:c r="L1001" s="2" t="n">
        <x:v>0</x:v>
      </x:c>
    </x:row>
    <x:row r="1002" ht="20" customHeight="1">
      <x:c r="A1002" s="9" t="n">
        <x:v>46319</x:v>
      </x:c>
      <x:c r="B1002" s="2" t="str">
        <x:v>MM-2034</x:v>
      </x:c>
      <x:c r="C1002" s="2" t="str">
        <x:v>Email</x:v>
      </x:c>
      <x:c r="D1002" s="2" t="str">
        <x:v>CUS-064</x:v>
      </x:c>
      <x:c r="E1002" s="10" t="n">
        <x:v>24.95</x:v>
      </x:c>
      <x:c r="F1002" s="10" t="n">
        <x:v>2.49</x:v>
      </x:c>
      <x:c r="G1002" s="10" t="n">
        <x:v>0</x:v>
      </x:c>
      <x:c r="H1002" s="10" t="n">
        <x:v>22.46</x:v>
      </x:c>
      <x:c r="I1002" s="10" t="n">
        <x:v>9</x:v>
      </x:c>
      <x:c r="J1002" s="10" t="n">
        <x:v>13.46</x:v>
      </x:c>
      <x:c r="K1002" s="2" t="n">
        <x:v>1</x:v>
      </x:c>
      <x:c r="L1002" s="2" t="n">
        <x:v>0</x:v>
      </x:c>
    </x:row>
    <x:row r="1003" ht="20" customHeight="1">
      <x:c r="A1003" s="9" t="n">
        <x:v>46319</x:v>
      </x:c>
      <x:c r="B1003" s="2" t="str">
        <x:v>MM-2038</x:v>
      </x:c>
      <x:c r="C1003" s="2" t="str">
        <x:v>Organic Search</x:v>
      </x:c>
      <x:c r="D1003" s="2" t="str">
        <x:v>CUS-153</x:v>
      </x:c>
      <x:c r="E1003" s="10" t="n">
        <x:v>49.9</x:v>
      </x:c>
      <x:c r="F1003" s="10" t="n">
        <x:v>0</x:v>
      </x:c>
      <x:c r="G1003" s="10" t="n">
        <x:v>0</x:v>
      </x:c>
      <x:c r="H1003" s="10" t="n">
        <x:v>49.9</x:v>
      </x:c>
      <x:c r="I1003" s="10" t="n">
        <x:v>17</x:v>
      </x:c>
      <x:c r="J1003" s="10" t="n">
        <x:v>32.9</x:v>
      </x:c>
      <x:c r="K1003" s="2" t="n">
        <x:v>2</x:v>
      </x:c>
      <x:c r="L1003" s="2" t="n">
        <x:v>0</x:v>
      </x:c>
    </x:row>
    <x:row r="1004" ht="20" customHeight="1">
      <x:c r="A1004" s="9" t="n">
        <x:v>46319</x:v>
      </x:c>
      <x:c r="B1004" s="2" t="str">
        <x:v>MM-2039</x:v>
      </x:c>
      <x:c r="C1004" s="2" t="str">
        <x:v>Organic Search</x:v>
      </x:c>
      <x:c r="D1004" s="2" t="str">
        <x:v>CUS-087</x:v>
      </x:c>
      <x:c r="E1004" s="10" t="n">
        <x:v>119.9</x:v>
      </x:c>
      <x:c r="F1004" s="10" t="n">
        <x:v>0</x:v>
      </x:c>
      <x:c r="G1004" s="10" t="n">
        <x:v>0</x:v>
      </x:c>
      <x:c r="H1004" s="10" t="n">
        <x:v>119.9</x:v>
      </x:c>
      <x:c r="I1004" s="10" t="n">
        <x:v>48</x:v>
      </x:c>
      <x:c r="J1004" s="10" t="n">
        <x:v>71.9</x:v>
      </x:c>
      <x:c r="K1004" s="2" t="n">
        <x:v>2</x:v>
      </x:c>
      <x:c r="L1004" s="2" t="n">
        <x:v>0</x:v>
      </x:c>
    </x:row>
    <x:row r="1005" ht="20" customHeight="1">
      <x:c r="A1005" s="9" t="n">
        <x:v>46319</x:v>
      </x:c>
      <x:c r="B1005" s="2" t="str">
        <x:v>MM-2047</x:v>
      </x:c>
      <x:c r="C1005" s="2" t="str">
        <x:v>Email</x:v>
      </x:c>
      <x:c r="D1005" s="2" t="str">
        <x:v>CUS-056</x:v>
      </x:c>
      <x:c r="E1005" s="10" t="n">
        <x:v>79.95</x:v>
      </x:c>
      <x:c r="F1005" s="10" t="n">
        <x:v>7.99</x:v>
      </x:c>
      <x:c r="G1005" s="10" t="n">
        <x:v>0</x:v>
      </x:c>
      <x:c r="H1005" s="10" t="n">
        <x:v>71.96</x:v>
      </x:c>
      <x:c r="I1005" s="10" t="n">
        <x:v>32</x:v>
      </x:c>
      <x:c r="J1005" s="10" t="n">
        <x:v>39.96</x:v>
      </x:c>
      <x:c r="K1005" s="2" t="n">
        <x:v>1</x:v>
      </x:c>
      <x:c r="L1005" s="2" t="n">
        <x:v>0</x:v>
      </x:c>
    </x:row>
    <x:row r="1006" ht="20" customHeight="1">
      <x:c r="A1006" s="9" t="n">
        <x:v>46319</x:v>
      </x:c>
      <x:c r="B1006" s="2" t="str">
        <x:v>MM-2046</x:v>
      </x:c>
      <x:c r="C1006" s="2" t="str">
        <x:v>Organic Search</x:v>
      </x:c>
      <x:c r="D1006" s="2" t="str">
        <x:v>CUS-119</x:v>
      </x:c>
      <x:c r="E1006" s="10" t="n">
        <x:v>69.95</x:v>
      </x:c>
      <x:c r="F1006" s="10" t="n">
        <x:v>0</x:v>
      </x:c>
      <x:c r="G1006" s="10" t="n">
        <x:v>0</x:v>
      </x:c>
      <x:c r="H1006" s="10" t="n">
        <x:v>69.95</x:v>
      </x:c>
      <x:c r="I1006" s="10" t="n">
        <x:v>28</x:v>
      </x:c>
      <x:c r="J1006" s="10" t="n">
        <x:v>41.95</x:v>
      </x:c>
      <x:c r="K1006" s="2" t="n">
        <x:v>1</x:v>
      </x:c>
      <x:c r="L1006" s="2" t="n">
        <x:v>0</x:v>
      </x:c>
    </x:row>
    <x:row r="1007" ht="20" customHeight="1">
      <x:c r="A1007" s="9" t="n">
        <x:v>46319</x:v>
      </x:c>
      <x:c r="B1007" s="2" t="str">
        <x:v>MM-2033</x:v>
      </x:c>
      <x:c r="C1007" s="2" t="str">
        <x:v>Organic Search</x:v>
      </x:c>
      <x:c r="D1007" s="2" t="str">
        <x:v>CUS-052</x:v>
      </x:c>
      <x:c r="E1007" s="10" t="n">
        <x:v>9.95</x:v>
      </x:c>
      <x:c r="F1007" s="10" t="n">
        <x:v>0</x:v>
      </x:c>
      <x:c r="G1007" s="10" t="n">
        <x:v>0</x:v>
      </x:c>
      <x:c r="H1007" s="10" t="n">
        <x:v>9.95</x:v>
      </x:c>
      <x:c r="I1007" s="10" t="n">
        <x:v>2.5</x:v>
      </x:c>
      <x:c r="J1007" s="10" t="n">
        <x:v>7.45</x:v>
      </x:c>
      <x:c r="K1007" s="2" t="n">
        <x:v>1</x:v>
      </x:c>
      <x:c r="L1007" s="2" t="n">
        <x:v>0</x:v>
      </x:c>
    </x:row>
    <x:row r="1008" ht="20" customHeight="1">
      <x:c r="A1008" s="9" t="n">
        <x:v>46319</x:v>
      </x:c>
      <x:c r="B1008" s="2" t="str">
        <x:v>MM-2037</x:v>
      </x:c>
      <x:c r="C1008" s="2" t="str">
        <x:v>Email</x:v>
      </x:c>
      <x:c r="D1008" s="2" t="str">
        <x:v>CUS-028</x:v>
      </x:c>
      <x:c r="E1008" s="10" t="n">
        <x:v>12.95</x:v>
      </x:c>
      <x:c r="F1008" s="10" t="n">
        <x:v>1.29</x:v>
      </x:c>
      <x:c r="G1008" s="10" t="n">
        <x:v>0</x:v>
      </x:c>
      <x:c r="H1008" s="10" t="n">
        <x:v>11.66</x:v>
      </x:c>
      <x:c r="I1008" s="10" t="n">
        <x:v>3.5</x:v>
      </x:c>
      <x:c r="J1008" s="10" t="n">
        <x:v>8.16</x:v>
      </x:c>
      <x:c r="K1008" s="2" t="n">
        <x:v>1</x:v>
      </x:c>
      <x:c r="L1008" s="2" t="n">
        <x:v>0</x:v>
      </x:c>
    </x:row>
    <x:row r="1009" ht="20" customHeight="1">
      <x:c r="A1009" s="9" t="n">
        <x:v>46319</x:v>
      </x:c>
      <x:c r="B1009" s="2" t="str">
        <x:v>MM-2040</x:v>
      </x:c>
      <x:c r="C1009" s="2" t="str">
        <x:v>Organic Search</x:v>
      </x:c>
      <x:c r="D1009" s="2" t="str">
        <x:v>CUS-074</x:v>
      </x:c>
      <x:c r="E1009" s="10" t="n">
        <x:v>209.8</x:v>
      </x:c>
      <x:c r="F1009" s="10" t="n">
        <x:v>0</x:v>
      </x:c>
      <x:c r="G1009" s="10" t="n">
        <x:v>0</x:v>
      </x:c>
      <x:c r="H1009" s="10" t="n">
        <x:v>209.8</x:v>
      </x:c>
      <x:c r="I1009" s="10" t="n">
        <x:v>82.5</x:v>
      </x:c>
      <x:c r="J1009" s="10" t="n">
        <x:v>127.3</x:v>
      </x:c>
      <x:c r="K1009" s="2" t="n">
        <x:v>4</x:v>
      </x:c>
      <x:c r="L1009" s="2" t="n">
        <x:v>0</x:v>
      </x:c>
    </x:row>
    <x:row r="1010" ht="20" customHeight="1">
      <x:c r="A1010" s="9" t="n">
        <x:v>46319</x:v>
      </x:c>
      <x:c r="B1010" s="2" t="str">
        <x:v>MM-2049</x:v>
      </x:c>
      <x:c r="C1010" s="2" t="str">
        <x:v>Direct</x:v>
      </x:c>
      <x:c r="D1010" s="2" t="str">
        <x:v>CUS-056</x:v>
      </x:c>
      <x:c r="E1010" s="10" t="n">
        <x:v>32.95</x:v>
      </x:c>
      <x:c r="F1010" s="10" t="n">
        <x:v>0</x:v>
      </x:c>
      <x:c r="G1010" s="10" t="n">
        <x:v>0</x:v>
      </x:c>
      <x:c r="H1010" s="10" t="n">
        <x:v>32.95</x:v>
      </x:c>
      <x:c r="I1010" s="10" t="n">
        <x:v>12</x:v>
      </x:c>
      <x:c r="J1010" s="10" t="n">
        <x:v>20.95</x:v>
      </x:c>
      <x:c r="K1010" s="2" t="n">
        <x:v>1</x:v>
      </x:c>
      <x:c r="L1010" s="2" t="n">
        <x:v>0</x:v>
      </x:c>
    </x:row>
    <x:row r="1011" ht="20" customHeight="1">
      <x:c r="A1011" s="9" t="n">
        <x:v>46319</x:v>
      </x:c>
      <x:c r="B1011" s="2" t="str">
        <x:v>MM-2048</x:v>
      </x:c>
      <x:c r="C1011" s="2" t="str">
        <x:v>Email</x:v>
      </x:c>
      <x:c r="D1011" s="2" t="str">
        <x:v>CUS-109</x:v>
      </x:c>
      <x:c r="E1011" s="10" t="n">
        <x:v>74.85</x:v>
      </x:c>
      <x:c r="F1011" s="10" t="n">
        <x:v>7.48</x:v>
      </x:c>
      <x:c r="G1011" s="10" t="n">
        <x:v>0</x:v>
      </x:c>
      <x:c r="H1011" s="10" t="n">
        <x:v>67.37</x:v>
      </x:c>
      <x:c r="I1011" s="10" t="n">
        <x:v>27</x:v>
      </x:c>
      <x:c r="J1011" s="10" t="n">
        <x:v>40.37</x:v>
      </x:c>
      <x:c r="K1011" s="2" t="n">
        <x:v>3</x:v>
      </x:c>
      <x:c r="L1011" s="2" t="n">
        <x:v>0</x:v>
      </x:c>
    </x:row>
    <x:row r="1012" ht="20" customHeight="1">
      <x:c r="A1012" s="9" t="n">
        <x:v>46319</x:v>
      </x:c>
      <x:c r="B1012" s="2" t="str">
        <x:v>MM-2042</x:v>
      </x:c>
      <x:c r="C1012" s="2" t="str">
        <x:v>Organic Search</x:v>
      </x:c>
      <x:c r="D1012" s="2" t="str">
        <x:v>CUS-172</x:v>
      </x:c>
      <x:c r="E1012" s="10" t="n">
        <x:v>224.8</x:v>
      </x:c>
      <x:c r="F1012" s="10" t="n">
        <x:v>0</x:v>
      </x:c>
      <x:c r="G1012" s="10" t="n">
        <x:v>0</x:v>
      </x:c>
      <x:c r="H1012" s="10" t="n">
        <x:v>224.8</x:v>
      </x:c>
      <x:c r="I1012" s="10" t="n">
        <x:v>88.5</x:v>
      </x:c>
      <x:c r="J1012" s="10" t="n">
        <x:v>136.3</x:v>
      </x:c>
      <x:c r="K1012" s="2" t="n">
        <x:v>4</x:v>
      </x:c>
      <x:c r="L1012" s="2" t="n">
        <x:v>0</x:v>
      </x:c>
    </x:row>
    <x:row r="1013" ht="20" customHeight="1">
      <x:c r="A1013" s="9" t="n">
        <x:v>46319</x:v>
      </x:c>
      <x:c r="B1013" s="2" t="str">
        <x:v>MM-2036</x:v>
      </x:c>
      <x:c r="C1013" s="2" t="str">
        <x:v>Email</x:v>
      </x:c>
      <x:c r="D1013" s="2" t="str">
        <x:v>CUS-140</x:v>
      </x:c>
      <x:c r="E1013" s="10" t="n">
        <x:v>51.9</x:v>
      </x:c>
      <x:c r="F1013" s="10" t="n">
        <x:v>5.18</x:v>
      </x:c>
      <x:c r="G1013" s="10" t="n">
        <x:v>0</x:v>
      </x:c>
      <x:c r="H1013" s="10" t="n">
        <x:v>46.72</x:v>
      </x:c>
      <x:c r="I1013" s="10" t="n">
        <x:v>18.5</x:v>
      </x:c>
      <x:c r="J1013" s="10" t="n">
        <x:v>28.22</x:v>
      </x:c>
      <x:c r="K1013" s="2" t="n">
        <x:v>2</x:v>
      </x:c>
      <x:c r="L1013" s="2" t="n">
        <x:v>0</x:v>
      </x:c>
    </x:row>
    <x:row r="1014" ht="20" customHeight="1">
      <x:c r="A1014" s="9" t="n">
        <x:v>46319</x:v>
      </x:c>
      <x:c r="B1014" s="2" t="str">
        <x:v>MM-2041</x:v>
      </x:c>
      <x:c r="C1014" s="2" t="str">
        <x:v>Direct</x:v>
      </x:c>
      <x:c r="D1014" s="2" t="str">
        <x:v>CUS-128</x:v>
      </x:c>
      <x:c r="E1014" s="10" t="n">
        <x:v>124.9</x:v>
      </x:c>
      <x:c r="F1014" s="10" t="n">
        <x:v>0</x:v>
      </x:c>
      <x:c r="G1014" s="10" t="n">
        <x:v>0</x:v>
      </x:c>
      <x:c r="H1014" s="10" t="n">
        <x:v>124.9</x:v>
      </x:c>
      <x:c r="I1014" s="10" t="n">
        <x:v>50</x:v>
      </x:c>
      <x:c r="J1014" s="10" t="n">
        <x:v>74.9</x:v>
      </x:c>
      <x:c r="K1014" s="2" t="n">
        <x:v>2</x:v>
      </x:c>
      <x:c r="L1014" s="2" t="n">
        <x:v>0</x:v>
      </x:c>
    </x:row>
    <x:row r="1015" ht="20" customHeight="1">
      <x:c r="A1015" s="9" t="n">
        <x:v>46320</x:v>
      </x:c>
      <x:c r="B1015" s="2" t="str">
        <x:v>MM-2055</x:v>
      </x:c>
      <x:c r="C1015" s="2" t="str">
        <x:v>Direct</x:v>
      </x:c>
      <x:c r="D1015" s="2" t="str">
        <x:v>CUS-130</x:v>
      </x:c>
      <x:c r="E1015" s="10" t="n">
        <x:v>89.9</x:v>
      </x:c>
      <x:c r="F1015" s="10" t="n">
        <x:v>6.99</x:v>
      </x:c>
      <x:c r="G1015" s="10" t="n">
        <x:v>0</x:v>
      </x:c>
      <x:c r="H1015" s="10" t="n">
        <x:v>82.91</x:v>
      </x:c>
      <x:c r="I1015" s="10" t="n">
        <x:v>34</x:v>
      </x:c>
      <x:c r="J1015" s="10" t="n">
        <x:v>48.91</x:v>
      </x:c>
      <x:c r="K1015" s="2" t="n">
        <x:v>2</x:v>
      </x:c>
      <x:c r="L1015" s="2" t="n">
        <x:v>0</x:v>
      </x:c>
    </x:row>
    <x:row r="1016" ht="20" customHeight="1">
      <x:c r="A1016" s="9" t="n">
        <x:v>46320</x:v>
      </x:c>
      <x:c r="B1016" s="2" t="str">
        <x:v>MM-2062</x:v>
      </x:c>
      <x:c r="C1016" s="2" t="str">
        <x:v>Organic Search</x:v>
      </x:c>
      <x:c r="D1016" s="2" t="str">
        <x:v>CUS-170</x:v>
      </x:c>
      <x:c r="E1016" s="10" t="n">
        <x:v>104.75</x:v>
      </x:c>
      <x:c r="F1016" s="10" t="n">
        <x:v>0</x:v>
      </x:c>
      <x:c r="G1016" s="10" t="n">
        <x:v>0</x:v>
      </x:c>
      <x:c r="H1016" s="10" t="n">
        <x:v>104.75</x:v>
      </x:c>
      <x:c r="I1016" s="10" t="n">
        <x:v>35.5</x:v>
      </x:c>
      <x:c r="J1016" s="10" t="n">
        <x:v>69.25</x:v>
      </x:c>
      <x:c r="K1016" s="2" t="n">
        <x:v>5</x:v>
      </x:c>
      <x:c r="L1016" s="2" t="n">
        <x:v>0</x:v>
      </x:c>
    </x:row>
    <x:row r="1017" ht="20" customHeight="1">
      <x:c r="A1017" s="9" t="n">
        <x:v>46320</x:v>
      </x:c>
      <x:c r="B1017" s="2" t="str">
        <x:v>MM-2052</x:v>
      </x:c>
      <x:c r="C1017" s="2" t="str">
        <x:v>Organic Search</x:v>
      </x:c>
      <x:c r="D1017" s="2" t="str">
        <x:v>CUS-106</x:v>
      </x:c>
      <x:c r="E1017" s="10" t="n">
        <x:v>89.9</x:v>
      </x:c>
      <x:c r="F1017" s="10" t="n">
        <x:v>0</x:v>
      </x:c>
      <x:c r="G1017" s="10" t="n">
        <x:v>0</x:v>
      </x:c>
      <x:c r="H1017" s="10" t="n">
        <x:v>89.9</x:v>
      </x:c>
      <x:c r="I1017" s="10" t="n">
        <x:v>34</x:v>
      </x:c>
      <x:c r="J1017" s="10" t="n">
        <x:v>55.9</x:v>
      </x:c>
      <x:c r="K1017" s="2" t="n">
        <x:v>2</x:v>
      </x:c>
      <x:c r="L1017" s="2" t="n">
        <x:v>0</x:v>
      </x:c>
    </x:row>
    <x:row r="1018" ht="20" customHeight="1">
      <x:c r="A1018" s="9" t="n">
        <x:v>46320</x:v>
      </x:c>
      <x:c r="B1018" s="2" t="str">
        <x:v>MM-2053</x:v>
      </x:c>
      <x:c r="C1018" s="2" t="str">
        <x:v>Organic Search</x:v>
      </x:c>
      <x:c r="D1018" s="2" t="str">
        <x:v>CUS-115</x:v>
      </x:c>
      <x:c r="E1018" s="10" t="n">
        <x:v>9.95</x:v>
      </x:c>
      <x:c r="F1018" s="10" t="n">
        <x:v>0</x:v>
      </x:c>
      <x:c r="G1018" s="10" t="n">
        <x:v>0</x:v>
      </x:c>
      <x:c r="H1018" s="10" t="n">
        <x:v>9.95</x:v>
      </x:c>
      <x:c r="I1018" s="10" t="n">
        <x:v>2.5</x:v>
      </x:c>
      <x:c r="J1018" s="10" t="n">
        <x:v>7.45</x:v>
      </x:c>
      <x:c r="K1018" s="2" t="n">
        <x:v>1</x:v>
      </x:c>
      <x:c r="L1018" s="2" t="n">
        <x:v>0</x:v>
      </x:c>
    </x:row>
    <x:row r="1019" ht="20" customHeight="1">
      <x:c r="A1019" s="9" t="n">
        <x:v>46320</x:v>
      </x:c>
      <x:c r="B1019" s="2" t="str">
        <x:v>MM-2054</x:v>
      </x:c>
      <x:c r="C1019" s="2" t="str">
        <x:v>Organic Search</x:v>
      </x:c>
      <x:c r="D1019" s="2" t="str">
        <x:v>CUS-120</x:v>
      </x:c>
      <x:c r="E1019" s="10" t="n">
        <x:v>104.9</x:v>
      </x:c>
      <x:c r="F1019" s="10" t="n">
        <x:v>3.49</x:v>
      </x:c>
      <x:c r="G1019" s="10" t="n">
        <x:v>0</x:v>
      </x:c>
      <x:c r="H1019" s="10" t="n">
        <x:v>101.41</x:v>
      </x:c>
      <x:c r="I1019" s="10" t="n">
        <x:v>41.5</x:v>
      </x:c>
      <x:c r="J1019" s="10" t="n">
        <x:v>59.91</x:v>
      </x:c>
      <x:c r="K1019" s="2" t="n">
        <x:v>2</x:v>
      </x:c>
      <x:c r="L1019" s="2" t="n">
        <x:v>0</x:v>
      </x:c>
    </x:row>
    <x:row r="1020" ht="20" customHeight="1">
      <x:c r="A1020" s="9" t="n">
        <x:v>46320</x:v>
      </x:c>
      <x:c r="B1020" s="2" t="str">
        <x:v>MM-2064</x:v>
      </x:c>
      <x:c r="C1020" s="2" t="str">
        <x:v>Organic Search</x:v>
      </x:c>
      <x:c r="D1020" s="2" t="str">
        <x:v>CUS-148</x:v>
      </x:c>
      <x:c r="E1020" s="10" t="n">
        <x:v>54.95</x:v>
      </x:c>
      <x:c r="F1020" s="10" t="n">
        <x:v>0</x:v>
      </x:c>
      <x:c r="G1020" s="10" t="n">
        <x:v>0</x:v>
      </x:c>
      <x:c r="H1020" s="10" t="n">
        <x:v>54.95</x:v>
      </x:c>
      <x:c r="I1020" s="10" t="n">
        <x:v>22</x:v>
      </x:c>
      <x:c r="J1020" s="10" t="n">
        <x:v>32.95</x:v>
      </x:c>
      <x:c r="K1020" s="2" t="n">
        <x:v>1</x:v>
      </x:c>
      <x:c r="L1020" s="2" t="n">
        <x:v>0</x:v>
      </x:c>
    </x:row>
    <x:row r="1021" ht="20" customHeight="1">
      <x:c r="A1021" s="9" t="n">
        <x:v>46320</x:v>
      </x:c>
      <x:c r="B1021" s="2" t="str">
        <x:v>MM-2050</x:v>
      </x:c>
      <x:c r="C1021" s="2" t="str">
        <x:v>Email</x:v>
      </x:c>
      <x:c r="D1021" s="2" t="str">
        <x:v>CUS-018</x:v>
      </x:c>
      <x:c r="E1021" s="10" t="n">
        <x:v>119.9</x:v>
      </x:c>
      <x:c r="F1021" s="10" t="n">
        <x:v>11.99</x:v>
      </x:c>
      <x:c r="G1021" s="10" t="n">
        <x:v>0</x:v>
      </x:c>
      <x:c r="H1021" s="10" t="n">
        <x:v>107.91</x:v>
      </x:c>
      <x:c r="I1021" s="10" t="n">
        <x:v>48</x:v>
      </x:c>
      <x:c r="J1021" s="10" t="n">
        <x:v>59.91</x:v>
      </x:c>
      <x:c r="K1021" s="2" t="n">
        <x:v>2</x:v>
      </x:c>
      <x:c r="L1021" s="2" t="n">
        <x:v>0</x:v>
      </x:c>
    </x:row>
    <x:row r="1022" ht="20" customHeight="1">
      <x:c r="A1022" s="9" t="n">
        <x:v>46320</x:v>
      </x:c>
      <x:c r="B1022" s="2" t="str">
        <x:v>MM-2058</x:v>
      </x:c>
      <x:c r="C1022" s="2" t="str">
        <x:v>Email</x:v>
      </x:c>
      <x:c r="D1022" s="2" t="str">
        <x:v>CUS-085</x:v>
      </x:c>
      <x:c r="E1022" s="10" t="n">
        <x:v>59.95</x:v>
      </x:c>
      <x:c r="F1022" s="10" t="n">
        <x:v>5.99</x:v>
      </x:c>
      <x:c r="G1022" s="10" t="n">
        <x:v>0</x:v>
      </x:c>
      <x:c r="H1022" s="10" t="n">
        <x:v>53.96</x:v>
      </x:c>
      <x:c r="I1022" s="10" t="n">
        <x:v>24</x:v>
      </x:c>
      <x:c r="J1022" s="10" t="n">
        <x:v>29.96</x:v>
      </x:c>
      <x:c r="K1022" s="2" t="n">
        <x:v>1</x:v>
      </x:c>
      <x:c r="L1022" s="2" t="n">
        <x:v>0</x:v>
      </x:c>
    </x:row>
    <x:row r="1023" ht="20" customHeight="1">
      <x:c r="A1023" s="9" t="n">
        <x:v>46320</x:v>
      </x:c>
      <x:c r="B1023" s="2" t="str">
        <x:v>MM-2067</x:v>
      </x:c>
      <x:c r="C1023" s="2" t="str">
        <x:v>Organic Search</x:v>
      </x:c>
      <x:c r="D1023" s="2" t="str">
        <x:v>CUS-016</x:v>
      </x:c>
      <x:c r="E1023" s="10" t="n">
        <x:v>44.9</x:v>
      </x:c>
      <x:c r="F1023" s="10" t="n">
        <x:v>0</x:v>
      </x:c>
      <x:c r="G1023" s="10" t="n">
        <x:v>0</x:v>
      </x:c>
      <x:c r="H1023" s="10" t="n">
        <x:v>44.9</x:v>
      </x:c>
      <x:c r="I1023" s="10" t="n">
        <x:v>14.5</x:v>
      </x:c>
      <x:c r="J1023" s="10" t="n">
        <x:v>30.4</x:v>
      </x:c>
      <x:c r="K1023" s="2" t="n">
        <x:v>2</x:v>
      </x:c>
      <x:c r="L1023" s="2" t="n">
        <x:v>0</x:v>
      </x:c>
    </x:row>
    <x:row r="1024" ht="20" customHeight="1">
      <x:c r="A1024" s="9" t="n">
        <x:v>46320</x:v>
      </x:c>
      <x:c r="B1024" s="2" t="str">
        <x:v>MM-2051</x:v>
      </x:c>
      <x:c r="C1024" s="2" t="str">
        <x:v>Paid Social</x:v>
      </x:c>
      <x:c r="D1024" s="2" t="str">
        <x:v>CUS-130</x:v>
      </x:c>
      <x:c r="E1024" s="10" t="n">
        <x:v>102.9</x:v>
      </x:c>
      <x:c r="F1024" s="10" t="n">
        <x:v>0</x:v>
      </x:c>
      <x:c r="G1024" s="10" t="n">
        <x:v>0</x:v>
      </x:c>
      <x:c r="H1024" s="10" t="n">
        <x:v>102.9</x:v>
      </x:c>
      <x:c r="I1024" s="10" t="n">
        <x:v>40.5</x:v>
      </x:c>
      <x:c r="J1024" s="10" t="n">
        <x:v>62.4</x:v>
      </x:c>
      <x:c r="K1024" s="2" t="n">
        <x:v>2</x:v>
      </x:c>
      <x:c r="L1024" s="2" t="n">
        <x:v>0</x:v>
      </x:c>
    </x:row>
    <x:row r="1025" ht="20" customHeight="1">
      <x:c r="A1025" s="9" t="n">
        <x:v>46320</x:v>
      </x:c>
      <x:c r="B1025" s="2" t="str">
        <x:v>MM-2060</x:v>
      </x:c>
      <x:c r="C1025" s="2" t="str">
        <x:v>Paid Social</x:v>
      </x:c>
      <x:c r="D1025" s="2" t="str">
        <x:v>CUS-049</x:v>
      </x:c>
      <x:c r="E1025" s="10" t="n">
        <x:v>79.85</x:v>
      </x:c>
      <x:c r="F1025" s="10" t="n">
        <x:v>0</x:v>
      </x:c>
      <x:c r="G1025" s="10" t="n">
        <x:v>0</x:v>
      </x:c>
      <x:c r="H1025" s="10" t="n">
        <x:v>79.85</x:v>
      </x:c>
      <x:c r="I1025" s="10" t="n">
        <x:v>29</x:v>
      </x:c>
      <x:c r="J1025" s="10" t="n">
        <x:v>50.85</x:v>
      </x:c>
      <x:c r="K1025" s="2" t="n">
        <x:v>3</x:v>
      </x:c>
      <x:c r="L1025" s="2" t="n">
        <x:v>0</x:v>
      </x:c>
    </x:row>
    <x:row r="1026" ht="20" customHeight="1">
      <x:c r="A1026" s="9" t="n">
        <x:v>46320</x:v>
      </x:c>
      <x:c r="B1026" s="2" t="str">
        <x:v>MM-2063</x:v>
      </x:c>
      <x:c r="C1026" s="2" t="str">
        <x:v>Email</x:v>
      </x:c>
      <x:c r="D1026" s="2" t="str">
        <x:v>CUS-037</x:v>
      </x:c>
      <x:c r="E1026" s="10" t="n">
        <x:v>9.95</x:v>
      </x:c>
      <x:c r="F1026" s="10" t="n">
        <x:v>0.99</x:v>
      </x:c>
      <x:c r="G1026" s="10" t="n">
        <x:v>0</x:v>
      </x:c>
      <x:c r="H1026" s="10" t="n">
        <x:v>8.96</x:v>
      </x:c>
      <x:c r="I1026" s="10" t="n">
        <x:v>2.5</x:v>
      </x:c>
      <x:c r="J1026" s="10" t="n">
        <x:v>6.46</x:v>
      </x:c>
      <x:c r="K1026" s="2" t="n">
        <x:v>1</x:v>
      </x:c>
      <x:c r="L1026" s="2" t="n">
        <x:v>0</x:v>
      </x:c>
    </x:row>
    <x:row r="1027" ht="20" customHeight="1">
      <x:c r="A1027" s="9" t="n">
        <x:v>46320</x:v>
      </x:c>
      <x:c r="B1027" s="2" t="str">
        <x:v>MM-2059</x:v>
      </x:c>
      <x:c r="C1027" s="2" t="str">
        <x:v>Email</x:v>
      </x:c>
      <x:c r="D1027" s="2" t="str">
        <x:v>CUS-030</x:v>
      </x:c>
      <x:c r="E1027" s="10" t="n">
        <x:v>205.75</x:v>
      </x:c>
      <x:c r="F1027" s="10" t="n">
        <x:v>20.57</x:v>
      </x:c>
      <x:c r="G1027" s="10" t="n">
        <x:v>0</x:v>
      </x:c>
      <x:c r="H1027" s="10" t="n">
        <x:v>185.18</x:v>
      </x:c>
      <x:c r="I1027" s="10" t="n">
        <x:v>79</x:v>
      </x:c>
      <x:c r="J1027" s="10" t="n">
        <x:v>106.18</x:v>
      </x:c>
      <x:c r="K1027" s="2" t="n">
        <x:v>5</x:v>
      </x:c>
      <x:c r="L1027" s="2" t="n">
        <x:v>0</x:v>
      </x:c>
    </x:row>
    <x:row r="1028" ht="20" customHeight="1">
      <x:c r="A1028" s="9" t="n">
        <x:v>46320</x:v>
      </x:c>
      <x:c r="B1028" s="2" t="str">
        <x:v>MM-2061</x:v>
      </x:c>
      <x:c r="C1028" s="2" t="str">
        <x:v>Paid Social</x:v>
      </x:c>
      <x:c r="D1028" s="2" t="str">
        <x:v>CUS-144</x:v>
      </x:c>
      <x:c r="E1028" s="10" t="n">
        <x:v>54.9</x:v>
      </x:c>
      <x:c r="F1028" s="10" t="n">
        <x:v>0</x:v>
      </x:c>
      <x:c r="G1028" s="10" t="n">
        <x:v>0</x:v>
      </x:c>
      <x:c r="H1028" s="10" t="n">
        <x:v>54.9</x:v>
      </x:c>
      <x:c r="I1028" s="10" t="n">
        <x:v>18.5</x:v>
      </x:c>
      <x:c r="J1028" s="10" t="n">
        <x:v>36.4</x:v>
      </x:c>
      <x:c r="K1028" s="2" t="n">
        <x:v>2</x:v>
      </x:c>
      <x:c r="L1028" s="2" t="n">
        <x:v>0</x:v>
      </x:c>
    </x:row>
    <x:row r="1029" ht="20" customHeight="1">
      <x:c r="A1029" s="9" t="n">
        <x:v>46320</x:v>
      </x:c>
      <x:c r="B1029" s="2" t="str">
        <x:v>MM-2057</x:v>
      </x:c>
      <x:c r="C1029" s="2" t="str">
        <x:v>Paid Social</x:v>
      </x:c>
      <x:c r="D1029" s="2" t="str">
        <x:v>CUS-085</x:v>
      </x:c>
      <x:c r="E1029" s="10" t="n">
        <x:v>45.9</x:v>
      </x:c>
      <x:c r="F1029" s="10" t="n">
        <x:v>0</x:v>
      </x:c>
      <x:c r="G1029" s="10" t="n">
        <x:v>0</x:v>
      </x:c>
      <x:c r="H1029" s="10" t="n">
        <x:v>45.9</x:v>
      </x:c>
      <x:c r="I1029" s="10" t="n">
        <x:v>17</x:v>
      </x:c>
      <x:c r="J1029" s="10" t="n">
        <x:v>28.9</x:v>
      </x:c>
      <x:c r="K1029" s="2" t="n">
        <x:v>2</x:v>
      </x:c>
      <x:c r="L1029" s="2" t="n">
        <x:v>0</x:v>
      </x:c>
    </x:row>
    <x:row r="1030" ht="20" customHeight="1">
      <x:c r="A1030" s="9" t="n">
        <x:v>46320</x:v>
      </x:c>
      <x:c r="B1030" s="2" t="str">
        <x:v>MM-2066</x:v>
      </x:c>
      <x:c r="C1030" s="2" t="str">
        <x:v>Direct</x:v>
      </x:c>
      <x:c r="D1030" s="2" t="str">
        <x:v>CUS-114</x:v>
      </x:c>
      <x:c r="E1030" s="10" t="n">
        <x:v>9.95</x:v>
      </x:c>
      <x:c r="F1030" s="10" t="n">
        <x:v>0</x:v>
      </x:c>
      <x:c r="G1030" s="10" t="n">
        <x:v>0</x:v>
      </x:c>
      <x:c r="H1030" s="10" t="n">
        <x:v>9.95</x:v>
      </x:c>
      <x:c r="I1030" s="10" t="n">
        <x:v>2.5</x:v>
      </x:c>
      <x:c r="J1030" s="10" t="n">
        <x:v>7.45</x:v>
      </x:c>
      <x:c r="K1030" s="2" t="n">
        <x:v>1</x:v>
      </x:c>
      <x:c r="L1030" s="2" t="n">
        <x:v>0</x:v>
      </x:c>
    </x:row>
    <x:row r="1031" ht="20" customHeight="1">
      <x:c r="A1031" s="9" t="n">
        <x:v>46320</x:v>
      </x:c>
      <x:c r="B1031" s="2" t="str">
        <x:v>MM-2056</x:v>
      </x:c>
      <x:c r="C1031" s="2" t="str">
        <x:v>Organic Search</x:v>
      </x:c>
      <x:c r="D1031" s="2" t="str">
        <x:v>CUS-165</x:v>
      </x:c>
      <x:c r="E1031" s="10" t="n">
        <x:v>24.95</x:v>
      </x:c>
      <x:c r="F1031" s="10" t="n">
        <x:v>0</x:v>
      </x:c>
      <x:c r="G1031" s="10" t="n">
        <x:v>0</x:v>
      </x:c>
      <x:c r="H1031" s="10" t="n">
        <x:v>24.95</x:v>
      </x:c>
      <x:c r="I1031" s="10" t="n">
        <x:v>9</x:v>
      </x:c>
      <x:c r="J1031" s="10" t="n">
        <x:v>15.95</x:v>
      </x:c>
      <x:c r="K1031" s="2" t="n">
        <x:v>1</x:v>
      </x:c>
      <x:c r="L1031" s="2" t="n">
        <x:v>0</x:v>
      </x:c>
    </x:row>
    <x:row r="1032" ht="20" customHeight="1">
      <x:c r="A1032" s="9" t="n">
        <x:v>46320</x:v>
      </x:c>
      <x:c r="B1032" s="2" t="str">
        <x:v>MM-2065</x:v>
      </x:c>
      <x:c r="C1032" s="2" t="str">
        <x:v>Paid Social</x:v>
      </x:c>
      <x:c r="D1032" s="2" t="str">
        <x:v>CUS-034</x:v>
      </x:c>
      <x:c r="E1032" s="10" t="n">
        <x:v>34.9</x:v>
      </x:c>
      <x:c r="F1032" s="10" t="n">
        <x:v>0</x:v>
      </x:c>
      <x:c r="G1032" s="10" t="n">
        <x:v>0</x:v>
      </x:c>
      <x:c r="H1032" s="10" t="n">
        <x:v>34.9</x:v>
      </x:c>
      <x:c r="I1032" s="10" t="n">
        <x:v>11.5</x:v>
      </x:c>
      <x:c r="J1032" s="10" t="n">
        <x:v>23.4</x:v>
      </x:c>
      <x:c r="K1032" s="2" t="n">
        <x:v>2</x:v>
      </x:c>
      <x:c r="L1032" s="2" t="n">
        <x:v>0</x:v>
      </x:c>
    </x:row>
    <x:row r="1033" ht="20" customHeight="1">
      <x:c r="A1033" s="9" t="n">
        <x:v>46321</x:v>
      </x:c>
      <x:c r="B1033" s="2" t="str">
        <x:v>MM-2076</x:v>
      </x:c>
      <x:c r="C1033" s="2" t="str">
        <x:v>Organic Search</x:v>
      </x:c>
      <x:c r="D1033" s="2" t="str">
        <x:v>CUS-179</x:v>
      </x:c>
      <x:c r="E1033" s="10" t="n">
        <x:v>219.8</x:v>
      </x:c>
      <x:c r="F1033" s="10" t="n">
        <x:v>0</x:v>
      </x:c>
      <x:c r="G1033" s="10" t="n">
        <x:v>0</x:v>
      </x:c>
      <x:c r="H1033" s="10" t="n">
        <x:v>219.8</x:v>
      </x:c>
      <x:c r="I1033" s="10" t="n">
        <x:v>84</x:v>
      </x:c>
      <x:c r="J1033" s="10" t="n">
        <x:v>135.8</x:v>
      </x:c>
      <x:c r="K1033" s="2" t="n">
        <x:v>4</x:v>
      </x:c>
      <x:c r="L1033" s="2" t="n">
        <x:v>0</x:v>
      </x:c>
    </x:row>
    <x:row r="1034" ht="20" customHeight="1">
      <x:c r="A1034" s="9" t="n">
        <x:v>46321</x:v>
      </x:c>
      <x:c r="B1034" s="2" t="str">
        <x:v>MM-2071</x:v>
      </x:c>
      <x:c r="C1034" s="2" t="str">
        <x:v>Email</x:v>
      </x:c>
      <x:c r="D1034" s="2" t="str">
        <x:v>CUS-159</x:v>
      </x:c>
      <x:c r="E1034" s="10" t="n">
        <x:v>24.95</x:v>
      </x:c>
      <x:c r="F1034" s="10" t="n">
        <x:v>2.49</x:v>
      </x:c>
      <x:c r="G1034" s="10" t="n">
        <x:v>0</x:v>
      </x:c>
      <x:c r="H1034" s="10" t="n">
        <x:v>22.46</x:v>
      </x:c>
      <x:c r="I1034" s="10" t="n">
        <x:v>8.5</x:v>
      </x:c>
      <x:c r="J1034" s="10" t="n">
        <x:v>13.96</x:v>
      </x:c>
      <x:c r="K1034" s="2" t="n">
        <x:v>1</x:v>
      </x:c>
      <x:c r="L1034" s="2" t="n">
        <x:v>0</x:v>
      </x:c>
    </x:row>
    <x:row r="1035" ht="20" customHeight="1">
      <x:c r="A1035" s="9" t="n">
        <x:v>46321</x:v>
      </x:c>
      <x:c r="B1035" s="2" t="str">
        <x:v>MM-2078</x:v>
      </x:c>
      <x:c r="C1035" s="2" t="str">
        <x:v>Organic Search</x:v>
      </x:c>
      <x:c r="D1035" s="2" t="str">
        <x:v>CUS-037</x:v>
      </x:c>
      <x:c r="E1035" s="10" t="n">
        <x:v>105.85</x:v>
      </x:c>
      <x:c r="F1035" s="10" t="n">
        <x:v>1.29</x:v>
      </x:c>
      <x:c r="G1035" s="10" t="n">
        <x:v>0</x:v>
      </x:c>
      <x:c r="H1035" s="10" t="n">
        <x:v>104.56</x:v>
      </x:c>
      <x:c r="I1035" s="10" t="n">
        <x:v>39.5</x:v>
      </x:c>
      <x:c r="J1035" s="10" t="n">
        <x:v>65.06</x:v>
      </x:c>
      <x:c r="K1035" s="2" t="n">
        <x:v>3</x:v>
      </x:c>
      <x:c r="L1035" s="2" t="n">
        <x:v>0</x:v>
      </x:c>
    </x:row>
    <x:row r="1036" ht="20" customHeight="1">
      <x:c r="A1036" s="9" t="n">
        <x:v>46321</x:v>
      </x:c>
      <x:c r="B1036" s="2" t="str">
        <x:v>MM-2080</x:v>
      </x:c>
      <x:c r="C1036" s="2" t="str">
        <x:v>Organic Search</x:v>
      </x:c>
      <x:c r="D1036" s="2" t="str">
        <x:v>CUS-065</x:v>
      </x:c>
      <x:c r="E1036" s="10" t="n">
        <x:v>65.9</x:v>
      </x:c>
      <x:c r="F1036" s="10" t="n">
        <x:v>0</x:v>
      </x:c>
      <x:c r="G1036" s="10" t="n">
        <x:v>0</x:v>
      </x:c>
      <x:c r="H1036" s="10" t="n">
        <x:v>65.9</x:v>
      </x:c>
      <x:c r="I1036" s="10" t="n">
        <x:v>24</x:v>
      </x:c>
      <x:c r="J1036" s="10" t="n">
        <x:v>41.9</x:v>
      </x:c>
      <x:c r="K1036" s="2" t="n">
        <x:v>2</x:v>
      </x:c>
      <x:c r="L1036" s="2" t="n">
        <x:v>0</x:v>
      </x:c>
    </x:row>
    <x:row r="1037" ht="20" customHeight="1">
      <x:c r="A1037" s="9" t="n">
        <x:v>46321</x:v>
      </x:c>
      <x:c r="B1037" s="2" t="str">
        <x:v>MM-2081</x:v>
      </x:c>
      <x:c r="C1037" s="2" t="str">
        <x:v>Organic Search</x:v>
      </x:c>
      <x:c r="D1037" s="2" t="str">
        <x:v>CUS-130</x:v>
      </x:c>
      <x:c r="E1037" s="10" t="n">
        <x:v>34.95</x:v>
      </x:c>
      <x:c r="F1037" s="10" t="n">
        <x:v>3.49</x:v>
      </x:c>
      <x:c r="G1037" s="10" t="n">
        <x:v>0</x:v>
      </x:c>
      <x:c r="H1037" s="10" t="n">
        <x:v>31.46</x:v>
      </x:c>
      <x:c r="I1037" s="10" t="n">
        <x:v>13.5</x:v>
      </x:c>
      <x:c r="J1037" s="10" t="n">
        <x:v>17.96</x:v>
      </x:c>
      <x:c r="K1037" s="2" t="n">
        <x:v>1</x:v>
      </x:c>
      <x:c r="L1037" s="2" t="n">
        <x:v>0</x:v>
      </x:c>
    </x:row>
    <x:row r="1038" ht="20" customHeight="1">
      <x:c r="A1038" s="9" t="n">
        <x:v>46321</x:v>
      </x:c>
      <x:c r="B1038" s="2" t="str">
        <x:v>MM-2077</x:v>
      </x:c>
      <x:c r="C1038" s="2" t="str">
        <x:v>Organic Search</x:v>
      </x:c>
      <x:c r="D1038" s="2" t="str">
        <x:v>CUS-033</x:v>
      </x:c>
      <x:c r="E1038" s="10" t="n">
        <x:v>54.95</x:v>
      </x:c>
      <x:c r="F1038" s="10" t="n">
        <x:v>0</x:v>
      </x:c>
      <x:c r="G1038" s="10" t="n">
        <x:v>0</x:v>
      </x:c>
      <x:c r="H1038" s="10" t="n">
        <x:v>54.95</x:v>
      </x:c>
      <x:c r="I1038" s="10" t="n">
        <x:v>22</x:v>
      </x:c>
      <x:c r="J1038" s="10" t="n">
        <x:v>32.95</x:v>
      </x:c>
      <x:c r="K1038" s="2" t="n">
        <x:v>1</x:v>
      </x:c>
      <x:c r="L1038" s="2" t="n">
        <x:v>0</x:v>
      </x:c>
    </x:row>
    <x:row r="1039" ht="20" customHeight="1">
      <x:c r="A1039" s="9" t="n">
        <x:v>46321</x:v>
      </x:c>
      <x:c r="B1039" s="2" t="str">
        <x:v>MM-2083</x:v>
      </x:c>
      <x:c r="C1039" s="2" t="str">
        <x:v>Paid Social</x:v>
      </x:c>
      <x:c r="D1039" s="2" t="str">
        <x:v>CUS-025</x:v>
      </x:c>
      <x:c r="E1039" s="10" t="n">
        <x:v>18.95</x:v>
      </x:c>
      <x:c r="F1039" s="10" t="n">
        <x:v>0</x:v>
      </x:c>
      <x:c r="G1039" s="10" t="n">
        <x:v>0</x:v>
      </x:c>
      <x:c r="H1039" s="10" t="n">
        <x:v>18.95</x:v>
      </x:c>
      <x:c r="I1039" s="10" t="n">
        <x:v>6.5</x:v>
      </x:c>
      <x:c r="J1039" s="10" t="n">
        <x:v>12.45</x:v>
      </x:c>
      <x:c r="K1039" s="2" t="n">
        <x:v>1</x:v>
      </x:c>
      <x:c r="L1039" s="2" t="n">
        <x:v>0</x:v>
      </x:c>
    </x:row>
    <x:row r="1040" ht="20" customHeight="1">
      <x:c r="A1040" s="9" t="n">
        <x:v>46321</x:v>
      </x:c>
      <x:c r="B1040" s="2" t="str">
        <x:v>MM-2082</x:v>
      </x:c>
      <x:c r="C1040" s="2" t="str">
        <x:v>Paid Social</x:v>
      </x:c>
      <x:c r="D1040" s="2" t="str">
        <x:v>CUS-101</x:v>
      </x:c>
      <x:c r="E1040" s="10" t="n">
        <x:v>29.95</x:v>
      </x:c>
      <x:c r="F1040" s="10" t="n">
        <x:v>2.99</x:v>
      </x:c>
      <x:c r="G1040" s="10" t="n">
        <x:v>0</x:v>
      </x:c>
      <x:c r="H1040" s="10" t="n">
        <x:v>26.96</x:v>
      </x:c>
      <x:c r="I1040" s="10" t="n">
        <x:v>10</x:v>
      </x:c>
      <x:c r="J1040" s="10" t="n">
        <x:v>16.96</x:v>
      </x:c>
      <x:c r="K1040" s="2" t="n">
        <x:v>1</x:v>
      </x:c>
      <x:c r="L1040" s="2" t="n">
        <x:v>0</x:v>
      </x:c>
    </x:row>
    <x:row r="1041" ht="20" customHeight="1">
      <x:c r="A1041" s="9" t="n">
        <x:v>46321</x:v>
      </x:c>
      <x:c r="B1041" s="2" t="str">
        <x:v>MM-2084</x:v>
      </x:c>
      <x:c r="C1041" s="2" t="str">
        <x:v>Paid Social</x:v>
      </x:c>
      <x:c r="D1041" s="2" t="str">
        <x:v>CUS-006</x:v>
      </x:c>
      <x:c r="E1041" s="10" t="n">
        <x:v>159.8</x:v>
      </x:c>
      <x:c r="F1041" s="10" t="n">
        <x:v>4.99</x:v>
      </x:c>
      <x:c r="G1041" s="10" t="n">
        <x:v>0</x:v>
      </x:c>
      <x:c r="H1041" s="10" t="n">
        <x:v>154.81</x:v>
      </x:c>
      <x:c r="I1041" s="10" t="n">
        <x:v>62</x:v>
      </x:c>
      <x:c r="J1041" s="10" t="n">
        <x:v>92.81</x:v>
      </x:c>
      <x:c r="K1041" s="2" t="n">
        <x:v>4</x:v>
      </x:c>
      <x:c r="L1041" s="2" t="n">
        <x:v>0</x:v>
      </x:c>
    </x:row>
    <x:row r="1042" ht="20" customHeight="1">
      <x:c r="A1042" s="9" t="n">
        <x:v>46321</x:v>
      </x:c>
      <x:c r="B1042" s="2" t="str">
        <x:v>MM-2068</x:v>
      </x:c>
      <x:c r="C1042" s="2" t="str">
        <x:v>Direct</x:v>
      </x:c>
      <x:c r="D1042" s="2" t="str">
        <x:v>CUS-025</x:v>
      </x:c>
      <x:c r="E1042" s="10" t="n">
        <x:v>19.95</x:v>
      </x:c>
      <x:c r="F1042" s="10" t="n">
        <x:v>0</x:v>
      </x:c>
      <x:c r="G1042" s="10" t="n">
        <x:v>0</x:v>
      </x:c>
      <x:c r="H1042" s="10" t="n">
        <x:v>19.95</x:v>
      </x:c>
      <x:c r="I1042" s="10" t="n">
        <x:v>6</x:v>
      </x:c>
      <x:c r="J1042" s="10" t="n">
        <x:v>13.95</x:v>
      </x:c>
      <x:c r="K1042" s="2" t="n">
        <x:v>1</x:v>
      </x:c>
      <x:c r="L1042" s="2" t="n">
        <x:v>0</x:v>
      </x:c>
    </x:row>
    <x:row r="1043" ht="20" customHeight="1">
      <x:c r="A1043" s="9" t="n">
        <x:v>46321</x:v>
      </x:c>
      <x:c r="B1043" s="2" t="str">
        <x:v>MM-2072</x:v>
      </x:c>
      <x:c r="C1043" s="2" t="str">
        <x:v>Email</x:v>
      </x:c>
      <x:c r="D1043" s="2" t="str">
        <x:v>CUS-015</x:v>
      </x:c>
      <x:c r="E1043" s="10" t="n">
        <x:v>102.9</x:v>
      </x:c>
      <x:c r="F1043" s="10" t="n">
        <x:v>10.28</x:v>
      </x:c>
      <x:c r="G1043" s="10" t="n">
        <x:v>0</x:v>
      </x:c>
      <x:c r="H1043" s="10" t="n">
        <x:v>92.62</x:v>
      </x:c>
      <x:c r="I1043" s="10" t="n">
        <x:v>40</x:v>
      </x:c>
      <x:c r="J1043" s="10" t="n">
        <x:v>52.62</x:v>
      </x:c>
      <x:c r="K1043" s="2" t="n">
        <x:v>2</x:v>
      </x:c>
      <x:c r="L1043" s="2" t="n">
        <x:v>0</x:v>
      </x:c>
    </x:row>
    <x:row r="1044" ht="20" customHeight="1">
      <x:c r="A1044" s="9" t="n">
        <x:v>46321</x:v>
      </x:c>
      <x:c r="B1044" s="2" t="str">
        <x:v>MM-2085</x:v>
      </x:c>
      <x:c r="C1044" s="2" t="str">
        <x:v>Organic Search</x:v>
      </x:c>
      <x:c r="D1044" s="2" t="str">
        <x:v>CUS-145</x:v>
      </x:c>
      <x:c r="E1044" s="10" t="n">
        <x:v>112.85</x:v>
      </x:c>
      <x:c r="F1044" s="10" t="n">
        <x:v>0</x:v>
      </x:c>
      <x:c r="G1044" s="10" t="n">
        <x:v>0</x:v>
      </x:c>
      <x:c r="H1044" s="10" t="n">
        <x:v>112.85</x:v>
      </x:c>
      <x:c r="I1044" s="10" t="n">
        <x:v>42.5</x:v>
      </x:c>
      <x:c r="J1044" s="10" t="n">
        <x:v>70.35</x:v>
      </x:c>
      <x:c r="K1044" s="2" t="n">
        <x:v>3</x:v>
      </x:c>
      <x:c r="L1044" s="2" t="n">
        <x:v>0</x:v>
      </x:c>
    </x:row>
    <x:row r="1045" ht="20" customHeight="1">
      <x:c r="A1045" s="9" t="n">
        <x:v>46321</x:v>
      </x:c>
      <x:c r="B1045" s="2" t="str">
        <x:v>MM-2075</x:v>
      </x:c>
      <x:c r="C1045" s="2" t="str">
        <x:v>Email</x:v>
      </x:c>
      <x:c r="D1045" s="2" t="str">
        <x:v>CUS-083</x:v>
      </x:c>
      <x:c r="E1045" s="10" t="n">
        <x:v>56.85</x:v>
      </x:c>
      <x:c r="F1045" s="10" t="n">
        <x:v>5.68</x:v>
      </x:c>
      <x:c r="G1045" s="10" t="n">
        <x:v>0</x:v>
      </x:c>
      <x:c r="H1045" s="10" t="n">
        <x:v>51.17</x:v>
      </x:c>
      <x:c r="I1045" s="10" t="n">
        <x:v>19.5</x:v>
      </x:c>
      <x:c r="J1045" s="10" t="n">
        <x:v>31.67</x:v>
      </x:c>
      <x:c r="K1045" s="2" t="n">
        <x:v>3</x:v>
      </x:c>
      <x:c r="L1045" s="2" t="n">
        <x:v>0</x:v>
      </x:c>
    </x:row>
    <x:row r="1046" ht="20" customHeight="1">
      <x:c r="A1046" s="9" t="n">
        <x:v>46321</x:v>
      </x:c>
      <x:c r="B1046" s="2" t="str">
        <x:v>MM-2069</x:v>
      </x:c>
      <x:c r="C1046" s="2" t="str">
        <x:v>Direct</x:v>
      </x:c>
      <x:c r="D1046" s="2" t="str">
        <x:v>CUS-129</x:v>
      </x:c>
      <x:c r="E1046" s="10" t="n">
        <x:v>12.95</x:v>
      </x:c>
      <x:c r="F1046" s="10" t="n">
        <x:v>0</x:v>
      </x:c>
      <x:c r="G1046" s="10" t="n">
        <x:v>0</x:v>
      </x:c>
      <x:c r="H1046" s="10" t="n">
        <x:v>12.95</x:v>
      </x:c>
      <x:c r="I1046" s="10" t="n">
        <x:v>3.5</x:v>
      </x:c>
      <x:c r="J1046" s="10" t="n">
        <x:v>9.45</x:v>
      </x:c>
      <x:c r="K1046" s="2" t="n">
        <x:v>1</x:v>
      </x:c>
      <x:c r="L1046" s="2" t="n">
        <x:v>0</x:v>
      </x:c>
    </x:row>
    <x:row r="1047" ht="20" customHeight="1">
      <x:c r="A1047" s="9" t="n">
        <x:v>46321</x:v>
      </x:c>
      <x:c r="B1047" s="2" t="str">
        <x:v>MM-2070</x:v>
      </x:c>
      <x:c r="C1047" s="2" t="str">
        <x:v>Paid Social</x:v>
      </x:c>
      <x:c r="D1047" s="2" t="str">
        <x:v>CUS-070</x:v>
      </x:c>
      <x:c r="E1047" s="10" t="n">
        <x:v>68.8</x:v>
      </x:c>
      <x:c r="F1047" s="10" t="n">
        <x:v>0</x:v>
      </x:c>
      <x:c r="G1047" s="10" t="n">
        <x:v>0</x:v>
      </x:c>
      <x:c r="H1047" s="10" t="n">
        <x:v>68.8</x:v>
      </x:c>
      <x:c r="I1047" s="10" t="n">
        <x:v>20.5</x:v>
      </x:c>
      <x:c r="J1047" s="10" t="n">
        <x:v>48.3</x:v>
      </x:c>
      <x:c r="K1047" s="2" t="n">
        <x:v>4</x:v>
      </x:c>
      <x:c r="L1047" s="2" t="n">
        <x:v>0</x:v>
      </x:c>
    </x:row>
    <x:row r="1048" ht="20" customHeight="1">
      <x:c r="A1048" s="9" t="n">
        <x:v>46321</x:v>
      </x:c>
      <x:c r="B1048" s="2" t="str">
        <x:v>MM-2079</x:v>
      </x:c>
      <x:c r="C1048" s="2" t="str">
        <x:v>Email</x:v>
      </x:c>
      <x:c r="D1048" s="2" t="str">
        <x:v>CUS-076</x:v>
      </x:c>
      <x:c r="E1048" s="10" t="n">
        <x:v>82.85</x:v>
      </x:c>
      <x:c r="F1048" s="10" t="n">
        <x:v>8.28</x:v>
      </x:c>
      <x:c r="G1048" s="10" t="n">
        <x:v>0</x:v>
      </x:c>
      <x:c r="H1048" s="10" t="n">
        <x:v>74.57</x:v>
      </x:c>
      <x:c r="I1048" s="10" t="n">
        <x:v>30</x:v>
      </x:c>
      <x:c r="J1048" s="10" t="n">
        <x:v>44.57</x:v>
      </x:c>
      <x:c r="K1048" s="2" t="n">
        <x:v>3</x:v>
      </x:c>
      <x:c r="L1048" s="2" t="n">
        <x:v>0</x:v>
      </x:c>
    </x:row>
    <x:row r="1049" ht="20" customHeight="1">
      <x:c r="A1049" s="9" t="n">
        <x:v>46321</x:v>
      </x:c>
      <x:c r="B1049" s="2" t="str">
        <x:v>MM-2086</x:v>
      </x:c>
      <x:c r="C1049" s="2" t="str">
        <x:v>Email</x:v>
      </x:c>
      <x:c r="D1049" s="2" t="str">
        <x:v>CUS-069</x:v>
      </x:c>
      <x:c r="E1049" s="10" t="n">
        <x:v>54.95</x:v>
      </x:c>
      <x:c r="F1049" s="10" t="n">
        <x:v>5.49</x:v>
      </x:c>
      <x:c r="G1049" s="10" t="n">
        <x:v>0</x:v>
      </x:c>
      <x:c r="H1049" s="10" t="n">
        <x:v>49.46</x:v>
      </x:c>
      <x:c r="I1049" s="10" t="n">
        <x:v>22</x:v>
      </x:c>
      <x:c r="J1049" s="10" t="n">
        <x:v>27.46</x:v>
      </x:c>
      <x:c r="K1049" s="2" t="n">
        <x:v>1</x:v>
      </x:c>
      <x:c r="L1049" s="2" t="n">
        <x:v>0</x:v>
      </x:c>
    </x:row>
    <x:row r="1050" ht="20" customHeight="1">
      <x:c r="A1050" s="9" t="n">
        <x:v>46321</x:v>
      </x:c>
      <x:c r="B1050" s="2" t="str">
        <x:v>MM-2073</x:v>
      </x:c>
      <x:c r="C1050" s="2" t="str">
        <x:v>Direct</x:v>
      </x:c>
      <x:c r="D1050" s="2" t="str">
        <x:v>CUS-031</x:v>
      </x:c>
      <x:c r="E1050" s="10" t="n">
        <x:v>74.85</x:v>
      </x:c>
      <x:c r="F1050" s="10" t="n">
        <x:v>0</x:v>
      </x:c>
      <x:c r="G1050" s="10" t="n">
        <x:v>0</x:v>
      </x:c>
      <x:c r="H1050" s="10" t="n">
        <x:v>74.85</x:v>
      </x:c>
      <x:c r="I1050" s="10" t="n">
        <x:v>27</x:v>
      </x:c>
      <x:c r="J1050" s="10" t="n">
        <x:v>47.85</x:v>
      </x:c>
      <x:c r="K1050" s="2" t="n">
        <x:v>3</x:v>
      </x:c>
      <x:c r="L1050" s="2" t="n">
        <x:v>0</x:v>
      </x:c>
    </x:row>
    <x:row r="1051" ht="20" customHeight="1">
      <x:c r="A1051" s="9" t="n">
        <x:v>46321</x:v>
      </x:c>
      <x:c r="B1051" s="2" t="str">
        <x:v>MM-2074</x:v>
      </x:c>
      <x:c r="C1051" s="2" t="str">
        <x:v>Direct</x:v>
      </x:c>
      <x:c r="D1051" s="2" t="str">
        <x:v>CUS-083</x:v>
      </x:c>
      <x:c r="E1051" s="10" t="n">
        <x:v>24.95</x:v>
      </x:c>
      <x:c r="F1051" s="10" t="n">
        <x:v>0</x:v>
      </x:c>
      <x:c r="G1051" s="10" t="n">
        <x:v>0</x:v>
      </x:c>
      <x:c r="H1051" s="10" t="n">
        <x:v>24.95</x:v>
      </x:c>
      <x:c r="I1051" s="10" t="n">
        <x:v>8.5</x:v>
      </x:c>
      <x:c r="J1051" s="10" t="n">
        <x:v>16.45</x:v>
      </x:c>
      <x:c r="K1051" s="2" t="n">
        <x:v>1</x:v>
      </x:c>
      <x:c r="L1051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27ce12306443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0" customHeight="1">
      <x:c r="A1" s="2"/>
      <x:c r="B1" s="2"/>
      <x:c r="C1" s="2"/>
      <x:c r="D1" s="2"/>
      <x:c r="E1" s="2"/>
      <x:c r="F1" s="2"/>
    </x:row>
    <x:row r="2" ht="20" customHeight="1">
      <x:c r="A2" s="3" t="str">
        <x:v>Session funnel source</x:v>
      </x:c>
      <x:c r="B2" s="2"/>
      <x:c r="C2" s="2"/>
      <x:c r="D2" s="2"/>
      <x:c r="E2" s="2"/>
      <x:c r="F2" s="2"/>
    </x:row>
    <x:row r="3" ht="20" customHeight="1">
      <x:c r="A3" s="4" t="str">
        <x:v>Synthetic session-start cohorts by date and acquisition channel. Each step counts distinct sessions.</x:v>
      </x:c>
      <x:c r="B3" s="4"/>
      <x:c r="C3" s="4"/>
      <x:c r="D3" s="4"/>
      <x:c r="E3" s="4"/>
      <x:c r="F3" s="4"/>
    </x:row>
    <x:row r="4" ht="20" customHeight="1">
      <x:c r="A4" s="2"/>
      <x:c r="B4" s="2"/>
      <x:c r="C4" s="2"/>
      <x:c r="D4" s="2"/>
      <x:c r="E4" s="2"/>
      <x:c r="F4" s="2"/>
    </x:row>
    <x:row r="5" ht="20" customHeight="1">
      <x:c r="A5" s="2"/>
      <x:c r="B5" s="2"/>
      <x:c r="C5" s="2"/>
      <x:c r="D5" s="2"/>
      <x:c r="E5" s="2"/>
      <x:c r="F5" s="2"/>
    </x:row>
    <x:row r="6" ht="30" customHeight="1">
      <x:c r="A6" s="8" t="str">
        <x:v>Date</x:v>
      </x:c>
      <x:c r="B6" s="8" t="str">
        <x:v>Channel</x:v>
      </x:c>
      <x:c r="C6" s="8" t="str">
        <x:v>Sessions</x:v>
      </x:c>
      <x:c r="D6" s="8" t="str">
        <x:v>Cart sessions</x:v>
      </x:c>
      <x:c r="E6" s="8" t="str">
        <x:v>Checkout sessions</x:v>
      </x:c>
      <x:c r="F6" s="8" t="str">
        <x:v>Purchasing sessions</x:v>
      </x:c>
    </x:row>
    <x:row r="7" ht="20" customHeight="1">
      <x:c r="A7" s="9" t="n">
        <x:v>46262</x:v>
      </x:c>
      <x:c r="B7" s="2" t="str">
        <x:v>Direct</x:v>
      </x:c>
      <x:c r="C7" s="2" t="n">
        <x:v>168</x:v>
      </x:c>
      <x:c r="D7" s="2" t="n">
        <x:v>28</x:v>
      </x:c>
      <x:c r="E7" s="2" t="n">
        <x:v>15</x:v>
      </x:c>
      <x:c r="F7" s="2" t="n">
        <x:v>3</x:v>
      </x:c>
    </x:row>
    <x:row r="8" ht="20" customHeight="1">
      <x:c r="A8" s="9" t="n">
        <x:v>46262</x:v>
      </x:c>
      <x:c r="B8" s="2" t="str">
        <x:v>Email</x:v>
      </x:c>
      <x:c r="C8" s="2" t="n">
        <x:v>83</x:v>
      </x:c>
      <x:c r="D8" s="2" t="n">
        <x:v>14</x:v>
      </x:c>
      <x:c r="E8" s="2" t="n">
        <x:v>7</x:v>
      </x:c>
      <x:c r="F8" s="2" t="n">
        <x:v>3</x:v>
      </x:c>
    </x:row>
    <x:row r="9" ht="20" customHeight="1">
      <x:c r="A9" s="9" t="n">
        <x:v>46262</x:v>
      </x:c>
      <x:c r="B9" s="2" t="str">
        <x:v>Organic Search</x:v>
      </x:c>
      <x:c r="C9" s="2" t="n">
        <x:v>176</x:v>
      </x:c>
      <x:c r="D9" s="2" t="n">
        <x:v>29</x:v>
      </x:c>
      <x:c r="E9" s="2" t="n">
        <x:v>16</x:v>
      </x:c>
      <x:c r="F9" s="2" t="n">
        <x:v>4</x:v>
      </x:c>
    </x:row>
    <x:row r="10" ht="20" customHeight="1">
      <x:c r="A10" s="9" t="n">
        <x:v>46262</x:v>
      </x:c>
      <x:c r="B10" s="2" t="str">
        <x:v>Paid Social</x:v>
      </x:c>
      <x:c r="C10" s="2" t="n">
        <x:v>408</x:v>
      </x:c>
      <x:c r="D10" s="2" t="n">
        <x:v>69</x:v>
      </x:c>
      <x:c r="E10" s="2" t="n">
        <x:v>38</x:v>
      </x:c>
      <x:c r="F10" s="2" t="n">
        <x:v>7</x:v>
      </x:c>
    </x:row>
    <x:row r="11" ht="20" customHeight="1">
      <x:c r="A11" s="9" t="n">
        <x:v>46263</x:v>
      </x:c>
      <x:c r="B11" s="2" t="str">
        <x:v>Direct</x:v>
      </x:c>
      <x:c r="C11" s="2" t="n">
        <x:v>142</x:v>
      </x:c>
      <x:c r="D11" s="2" t="n">
        <x:v>24</x:v>
      </x:c>
      <x:c r="E11" s="2" t="n">
        <x:v>13</x:v>
      </x:c>
      <x:c r="F11" s="2" t="n">
        <x:v>3</x:v>
      </x:c>
    </x:row>
    <x:row r="12" ht="20" customHeight="1">
      <x:c r="A12" s="9" t="n">
        <x:v>46263</x:v>
      </x:c>
      <x:c r="B12" s="2" t="str">
        <x:v>Email</x:v>
      </x:c>
      <x:c r="C12" s="2" t="n">
        <x:v>98</x:v>
      </x:c>
      <x:c r="D12" s="2" t="n">
        <x:v>16</x:v>
      </x:c>
      <x:c r="E12" s="2" t="n">
        <x:v>9</x:v>
      </x:c>
      <x:c r="F12" s="2" t="n">
        <x:v>4</x:v>
      </x:c>
    </x:row>
    <x:row r="13" ht="20" customHeight="1">
      <x:c r="A13" s="9" t="n">
        <x:v>46263</x:v>
      </x:c>
      <x:c r="B13" s="2" t="str">
        <x:v>Organic Search</x:v>
      </x:c>
      <x:c r="C13" s="2" t="n">
        <x:v>354</x:v>
      </x:c>
      <x:c r="D13" s="2" t="n">
        <x:v>60</x:v>
      </x:c>
      <x:c r="E13" s="2" t="n">
        <x:v>33</x:v>
      </x:c>
      <x:c r="F13" s="2" t="n">
        <x:v>10</x:v>
      </x:c>
    </x:row>
    <x:row r="14" ht="20" customHeight="1">
      <x:c r="A14" s="9" t="n">
        <x:v>46263</x:v>
      </x:c>
      <x:c r="B14" s="2" t="str">
        <x:v>Paid Social</x:v>
      </x:c>
      <x:c r="C14" s="2" t="n">
        <x:v>192</x:v>
      </x:c>
      <x:c r="D14" s="2" t="n">
        <x:v>32</x:v>
      </x:c>
      <x:c r="E14" s="2" t="n">
        <x:v>18</x:v>
      </x:c>
      <x:c r="F14" s="2" t="n">
        <x:v>3</x:v>
      </x:c>
    </x:row>
    <x:row r="15" ht="20" customHeight="1">
      <x:c r="A15" s="9" t="n">
        <x:v>46264</x:v>
      </x:c>
      <x:c r="B15" s="2" t="str">
        <x:v>Direct</x:v>
      </x:c>
      <x:c r="C15" s="2" t="n">
        <x:v>146</x:v>
      </x:c>
      <x:c r="D15" s="2" t="n">
        <x:v>24</x:v>
      </x:c>
      <x:c r="E15" s="2" t="n">
        <x:v>13</x:v>
      </x:c>
      <x:c r="F15" s="2" t="n">
        <x:v>3</x:v>
      </x:c>
    </x:row>
    <x:row r="16" ht="20" customHeight="1">
      <x:c r="A16" s="9" t="n">
        <x:v>46264</x:v>
      </x:c>
      <x:c r="B16" s="2" t="str">
        <x:v>Email</x:v>
      </x:c>
      <x:c r="C16" s="2" t="n">
        <x:v>111</x:v>
      </x:c>
      <x:c r="D16" s="2" t="n">
        <x:v>18</x:v>
      </x:c>
      <x:c r="E16" s="2" t="n">
        <x:v>10</x:v>
      </x:c>
      <x:c r="F16" s="2" t="n">
        <x:v>4</x:v>
      </x:c>
    </x:row>
    <x:row r="17" ht="20" customHeight="1">
      <x:c r="A17" s="9" t="n">
        <x:v>46264</x:v>
      </x:c>
      <x:c r="B17" s="2" t="str">
        <x:v>Organic Search</x:v>
      </x:c>
      <x:c r="C17" s="2" t="n">
        <x:v>206</x:v>
      </x:c>
      <x:c r="D17" s="2" t="n">
        <x:v>35</x:v>
      </x:c>
      <x:c r="E17" s="2" t="n">
        <x:v>19</x:v>
      </x:c>
      <x:c r="F17" s="2" t="n">
        <x:v>7</x:v>
      </x:c>
    </x:row>
    <x:row r="18" ht="20" customHeight="1">
      <x:c r="A18" s="9" t="n">
        <x:v>46264</x:v>
      </x:c>
      <x:c r="B18" s="2" t="str">
        <x:v>Paid Social</x:v>
      </x:c>
      <x:c r="C18" s="2" t="n">
        <x:v>191</x:v>
      </x:c>
      <x:c r="D18" s="2" t="n">
        <x:v>32</x:v>
      </x:c>
      <x:c r="E18" s="2" t="n">
        <x:v>18</x:v>
      </x:c>
      <x:c r="F18" s="2" t="n">
        <x:v>3</x:v>
      </x:c>
    </x:row>
    <x:row r="19" ht="20" customHeight="1">
      <x:c r="A19" s="9" t="n">
        <x:v>46265</x:v>
      </x:c>
      <x:c r="B19" s="2" t="str">
        <x:v>Direct</x:v>
      </x:c>
      <x:c r="C19" s="2" t="n">
        <x:v>221</x:v>
      </x:c>
      <x:c r="D19" s="2" t="n">
        <x:v>37</x:v>
      </x:c>
      <x:c r="E19" s="2" t="n">
        <x:v>20</x:v>
      </x:c>
      <x:c r="F19" s="2" t="n">
        <x:v>6</x:v>
      </x:c>
    </x:row>
    <x:row r="20" ht="20" customHeight="1">
      <x:c r="A20" s="9" t="n">
        <x:v>46265</x:v>
      </x:c>
      <x:c r="B20" s="2" t="str">
        <x:v>Email</x:v>
      </x:c>
      <x:c r="C20" s="2" t="n">
        <x:v>122</x:v>
      </x:c>
      <x:c r="D20" s="2" t="n">
        <x:v>20</x:v>
      </x:c>
      <x:c r="E20" s="2" t="n">
        <x:v>11</x:v>
      </x:c>
      <x:c r="F20" s="2" t="n">
        <x:v>4</x:v>
      </x:c>
    </x:row>
    <x:row r="21" ht="20" customHeight="1">
      <x:c r="A21" s="9" t="n">
        <x:v>46265</x:v>
      </x:c>
      <x:c r="B21" s="2" t="str">
        <x:v>Organic Search</x:v>
      </x:c>
      <x:c r="C21" s="2" t="n">
        <x:v>238</x:v>
      </x:c>
      <x:c r="D21" s="2" t="n">
        <x:v>40</x:v>
      </x:c>
      <x:c r="E21" s="2" t="n">
        <x:v>22</x:v>
      </x:c>
      <x:c r="F21" s="2" t="n">
        <x:v>8</x:v>
      </x:c>
    </x:row>
    <x:row r="22" ht="20" customHeight="1">
      <x:c r="A22" s="9" t="n">
        <x:v>46265</x:v>
      </x:c>
      <x:c r="B22" s="2" t="str">
        <x:v>Paid Social</x:v>
      </x:c>
      <x:c r="C22" s="2" t="n">
        <x:v>271</x:v>
      </x:c>
      <x:c r="D22" s="2" t="n">
        <x:v>46</x:v>
      </x:c>
      <x:c r="E22" s="2" t="n">
        <x:v>25</x:v>
      </x:c>
      <x:c r="F22" s="2" t="n">
        <x:v>4</x:v>
      </x:c>
    </x:row>
    <x:row r="23" ht="20" customHeight="1">
      <x:c r="A23" s="9" t="n">
        <x:v>46266</x:v>
      </x:c>
      <x:c r="B23" s="2" t="str">
        <x:v>Direct</x:v>
      </x:c>
      <x:c r="C23" s="2" t="n">
        <x:v>128</x:v>
      </x:c>
      <x:c r="D23" s="2" t="n">
        <x:v>21</x:v>
      </x:c>
      <x:c r="E23" s="2" t="n">
        <x:v>12</x:v>
      </x:c>
      <x:c r="F23" s="2" t="n">
        <x:v>3</x:v>
      </x:c>
    </x:row>
    <x:row r="24" ht="20" customHeight="1">
      <x:c r="A24" s="9" t="n">
        <x:v>46266</x:v>
      </x:c>
      <x:c r="B24" s="2" t="str">
        <x:v>Email</x:v>
      </x:c>
      <x:c r="C24" s="2" t="n">
        <x:v>158</x:v>
      </x:c>
      <x:c r="D24" s="2" t="n">
        <x:v>26</x:v>
      </x:c>
      <x:c r="E24" s="2" t="n">
        <x:v>15</x:v>
      </x:c>
      <x:c r="F24" s="2" t="n">
        <x:v>6</x:v>
      </x:c>
    </x:row>
    <x:row r="25" ht="20" customHeight="1">
      <x:c r="A25" s="9" t="n">
        <x:v>46266</x:v>
      </x:c>
      <x:c r="B25" s="2" t="str">
        <x:v>Organic Search</x:v>
      </x:c>
      <x:c r="C25" s="2" t="n">
        <x:v>177</x:v>
      </x:c>
      <x:c r="D25" s="2" t="n">
        <x:v>30</x:v>
      </x:c>
      <x:c r="E25" s="2" t="n">
        <x:v>16</x:v>
      </x:c>
      <x:c r="F25" s="2" t="n">
        <x:v>5</x:v>
      </x:c>
    </x:row>
    <x:row r="26" ht="20" customHeight="1">
      <x:c r="A26" s="9" t="n">
        <x:v>46266</x:v>
      </x:c>
      <x:c r="B26" s="2" t="str">
        <x:v>Paid Social</x:v>
      </x:c>
      <x:c r="C26" s="2" t="n">
        <x:v>199</x:v>
      </x:c>
      <x:c r="D26" s="2" t="n">
        <x:v>33</x:v>
      </x:c>
      <x:c r="E26" s="2" t="n">
        <x:v>18</x:v>
      </x:c>
      <x:c r="F26" s="2" t="n">
        <x:v>3</x:v>
      </x:c>
    </x:row>
    <x:row r="27" ht="20" customHeight="1">
      <x:c r="A27" s="9" t="n">
        <x:v>46267</x:v>
      </x:c>
      <x:c r="B27" s="2" t="str">
        <x:v>Direct</x:v>
      </x:c>
      <x:c r="C27" s="2" t="n">
        <x:v>182</x:v>
      </x:c>
      <x:c r="D27" s="2" t="n">
        <x:v>30</x:v>
      </x:c>
      <x:c r="E27" s="2" t="n">
        <x:v>17</x:v>
      </x:c>
      <x:c r="F27" s="2" t="n">
        <x:v>4</x:v>
      </x:c>
    </x:row>
    <x:row r="28" ht="20" customHeight="1">
      <x:c r="A28" s="9" t="n">
        <x:v>46267</x:v>
      </x:c>
      <x:c r="B28" s="2" t="str">
        <x:v>Email</x:v>
      </x:c>
      <x:c r="C28" s="2" t="n">
        <x:v>119</x:v>
      </x:c>
      <x:c r="D28" s="2" t="n">
        <x:v>20</x:v>
      </x:c>
      <x:c r="E28" s="2" t="n">
        <x:v>11</x:v>
      </x:c>
      <x:c r="F28" s="2" t="n">
        <x:v>4</x:v>
      </x:c>
    </x:row>
    <x:row r="29" ht="20" customHeight="1">
      <x:c r="A29" s="9" t="n">
        <x:v>46267</x:v>
      </x:c>
      <x:c r="B29" s="2" t="str">
        <x:v>Organic Search</x:v>
      </x:c>
      <x:c r="C29" s="2" t="n">
        <x:v>261</x:v>
      </x:c>
      <x:c r="D29" s="2" t="n">
        <x:v>44</x:v>
      </x:c>
      <x:c r="E29" s="2" t="n">
        <x:v>24</x:v>
      </x:c>
      <x:c r="F29" s="2" t="n">
        <x:v>8</x:v>
      </x:c>
    </x:row>
    <x:row r="30" ht="20" customHeight="1">
      <x:c r="A30" s="9" t="n">
        <x:v>46267</x:v>
      </x:c>
      <x:c r="B30" s="2" t="str">
        <x:v>Paid Social</x:v>
      </x:c>
      <x:c r="C30" s="2" t="n">
        <x:v>286</x:v>
      </x:c>
      <x:c r="D30" s="2" t="n">
        <x:v>48</x:v>
      </x:c>
      <x:c r="E30" s="2" t="n">
        <x:v>27</x:v>
      </x:c>
      <x:c r="F30" s="2" t="n">
        <x:v>4</x:v>
      </x:c>
    </x:row>
    <x:row r="31" ht="20" customHeight="1">
      <x:c r="A31" s="9" t="n">
        <x:v>46268</x:v>
      </x:c>
      <x:c r="B31" s="2" t="str">
        <x:v>Direct</x:v>
      </x:c>
      <x:c r="C31" s="2" t="n">
        <x:v>190</x:v>
      </x:c>
      <x:c r="D31" s="2" t="n">
        <x:v>32</x:v>
      </x:c>
      <x:c r="E31" s="2" t="n">
        <x:v>18</x:v>
      </x:c>
      <x:c r="F31" s="2" t="n">
        <x:v>5</x:v>
      </x:c>
    </x:row>
    <x:row r="32" ht="20" customHeight="1">
      <x:c r="A32" s="9" t="n">
        <x:v>46268</x:v>
      </x:c>
      <x:c r="B32" s="2" t="str">
        <x:v>Email</x:v>
      </x:c>
      <x:c r="C32" s="2" t="n">
        <x:v>94</x:v>
      </x:c>
      <x:c r="D32" s="2" t="n">
        <x:v>15</x:v>
      </x:c>
      <x:c r="E32" s="2" t="n">
        <x:v>8</x:v>
      </x:c>
      <x:c r="F32" s="2" t="n">
        <x:v>3</x:v>
      </x:c>
    </x:row>
    <x:row r="33" ht="20" customHeight="1">
      <x:c r="A33" s="9" t="n">
        <x:v>46268</x:v>
      </x:c>
      <x:c r="B33" s="2" t="str">
        <x:v>Organic Search</x:v>
      </x:c>
      <x:c r="C33" s="2" t="n">
        <x:v>252</x:v>
      </x:c>
      <x:c r="D33" s="2" t="n">
        <x:v>42</x:v>
      </x:c>
      <x:c r="E33" s="2" t="n">
        <x:v>23</x:v>
      </x:c>
      <x:c r="F33" s="2" t="n">
        <x:v>9</x:v>
      </x:c>
    </x:row>
    <x:row r="34" ht="20" customHeight="1">
      <x:c r="A34" s="9" t="n">
        <x:v>46268</x:v>
      </x:c>
      <x:c r="B34" s="2" t="str">
        <x:v>Paid Social</x:v>
      </x:c>
      <x:c r="C34" s="2" t="n">
        <x:v>271</x:v>
      </x:c>
      <x:c r="D34" s="2" t="n">
        <x:v>46</x:v>
      </x:c>
      <x:c r="E34" s="2" t="n">
        <x:v>25</x:v>
      </x:c>
      <x:c r="F34" s="2" t="n">
        <x:v>4</x:v>
      </x:c>
    </x:row>
    <x:row r="35" ht="20" customHeight="1">
      <x:c r="A35" s="9" t="n">
        <x:v>46269</x:v>
      </x:c>
      <x:c r="B35" s="2" t="str">
        <x:v>Direct</x:v>
      </x:c>
      <x:c r="C35" s="2" t="n">
        <x:v>155</x:v>
      </x:c>
      <x:c r="D35" s="2" t="n">
        <x:v>26</x:v>
      </x:c>
      <x:c r="E35" s="2" t="n">
        <x:v>14</x:v>
      </x:c>
      <x:c r="F35" s="2" t="n">
        <x:v>4</x:v>
      </x:c>
    </x:row>
    <x:row r="36" ht="20" customHeight="1">
      <x:c r="A36" s="9" t="n">
        <x:v>46269</x:v>
      </x:c>
      <x:c r="B36" s="2" t="str">
        <x:v>Email</x:v>
      </x:c>
      <x:c r="C36" s="2" t="n">
        <x:v>99</x:v>
      </x:c>
      <x:c r="D36" s="2" t="n">
        <x:v>16</x:v>
      </x:c>
      <x:c r="E36" s="2" t="n">
        <x:v>9</x:v>
      </x:c>
      <x:c r="F36" s="2" t="n">
        <x:v>4</x:v>
      </x:c>
    </x:row>
    <x:row r="37" ht="20" customHeight="1">
      <x:c r="A37" s="9" t="n">
        <x:v>46269</x:v>
      </x:c>
      <x:c r="B37" s="2" t="str">
        <x:v>Organic Search</x:v>
      </x:c>
      <x:c r="C37" s="2" t="n">
        <x:v>231</x:v>
      </x:c>
      <x:c r="D37" s="2" t="n">
        <x:v>39</x:v>
      </x:c>
      <x:c r="E37" s="2" t="n">
        <x:v>21</x:v>
      </x:c>
      <x:c r="F37" s="2" t="n">
        <x:v>8</x:v>
      </x:c>
    </x:row>
    <x:row r="38" ht="20" customHeight="1">
      <x:c r="A38" s="9" t="n">
        <x:v>46269</x:v>
      </x:c>
      <x:c r="B38" s="2" t="str">
        <x:v>Paid Social</x:v>
      </x:c>
      <x:c r="C38" s="2" t="n">
        <x:v>303</x:v>
      </x:c>
      <x:c r="D38" s="2" t="n">
        <x:v>51</x:v>
      </x:c>
      <x:c r="E38" s="2" t="n">
        <x:v>28</x:v>
      </x:c>
      <x:c r="F38" s="2" t="n">
        <x:v>5</x:v>
      </x:c>
    </x:row>
    <x:row r="39" ht="20" customHeight="1">
      <x:c r="A39" s="9" t="n">
        <x:v>46270</x:v>
      </x:c>
      <x:c r="B39" s="2" t="str">
        <x:v>Direct</x:v>
      </x:c>
      <x:c r="C39" s="2" t="n">
        <x:v>76</x:v>
      </x:c>
      <x:c r="D39" s="2" t="n">
        <x:v>12</x:v>
      </x:c>
      <x:c r="E39" s="2" t="n">
        <x:v>7</x:v>
      </x:c>
      <x:c r="F39" s="2" t="n">
        <x:v>1</x:v>
      </x:c>
    </x:row>
    <x:row r="40" ht="20" customHeight="1">
      <x:c r="A40" s="9" t="n">
        <x:v>46270</x:v>
      </x:c>
      <x:c r="B40" s="2" t="str">
        <x:v>Email</x:v>
      </x:c>
      <x:c r="C40" s="2" t="n">
        <x:v>201</x:v>
      </x:c>
      <x:c r="D40" s="2" t="n">
        <x:v>34</x:v>
      </x:c>
      <x:c r="E40" s="2" t="n">
        <x:v>19</x:v>
      </x:c>
      <x:c r="F40" s="2" t="n">
        <x:v>8</x:v>
      </x:c>
    </x:row>
    <x:row r="41" ht="20" customHeight="1">
      <x:c r="A41" s="9" t="n">
        <x:v>46270</x:v>
      </x:c>
      <x:c r="B41" s="2" t="str">
        <x:v>Organic Search</x:v>
      </x:c>
      <x:c r="C41" s="2" t="n">
        <x:v>209</x:v>
      </x:c>
      <x:c r="D41" s="2" t="n">
        <x:v>35</x:v>
      </x:c>
      <x:c r="E41" s="2" t="n">
        <x:v>19</x:v>
      </x:c>
      <x:c r="F41" s="2" t="n">
        <x:v>6</x:v>
      </x:c>
    </x:row>
    <x:row r="42" ht="20" customHeight="1">
      <x:c r="A42" s="9" t="n">
        <x:v>46270</x:v>
      </x:c>
      <x:c r="B42" s="2" t="str">
        <x:v>Paid Social</x:v>
      </x:c>
      <x:c r="C42" s="2" t="n">
        <x:v>377</x:v>
      </x:c>
      <x:c r="D42" s="2" t="n">
        <x:v>64</x:v>
      </x:c>
      <x:c r="E42" s="2" t="n">
        <x:v>35</x:v>
      </x:c>
      <x:c r="F42" s="2" t="n">
        <x:v>6</x:v>
      </x:c>
    </x:row>
    <x:row r="43" ht="20" customHeight="1">
      <x:c r="A43" s="9" t="n">
        <x:v>46271</x:v>
      </x:c>
      <x:c r="B43" s="2" t="str">
        <x:v>Direct</x:v>
      </x:c>
      <x:c r="C43" s="2" t="n">
        <x:v>168</x:v>
      </x:c>
      <x:c r="D43" s="2" t="n">
        <x:v>28</x:v>
      </x:c>
      <x:c r="E43" s="2" t="n">
        <x:v>15</x:v>
      </x:c>
      <x:c r="F43" s="2" t="n">
        <x:v>4</x:v>
      </x:c>
    </x:row>
    <x:row r="44" ht="20" customHeight="1">
      <x:c r="A44" s="9" t="n">
        <x:v>46271</x:v>
      </x:c>
      <x:c r="B44" s="2" t="str">
        <x:v>Email</x:v>
      </x:c>
      <x:c r="C44" s="2" t="n">
        <x:v>201</x:v>
      </x:c>
      <x:c r="D44" s="2" t="n">
        <x:v>34</x:v>
      </x:c>
      <x:c r="E44" s="2" t="n">
        <x:v>19</x:v>
      </x:c>
      <x:c r="F44" s="2" t="n">
        <x:v>8</x:v>
      </x:c>
    </x:row>
    <x:row r="45" ht="20" customHeight="1">
      <x:c r="A45" s="9" t="n">
        <x:v>46271</x:v>
      </x:c>
      <x:c r="B45" s="2" t="str">
        <x:v>Organic Search</x:v>
      </x:c>
      <x:c r="C45" s="2" t="n">
        <x:v>217</x:v>
      </x:c>
      <x:c r="D45" s="2" t="n">
        <x:v>36</x:v>
      </x:c>
      <x:c r="E45" s="2" t="n">
        <x:v>20</x:v>
      </x:c>
      <x:c r="F45" s="2" t="n">
        <x:v>7</x:v>
      </x:c>
    </x:row>
    <x:row r="46" ht="20" customHeight="1">
      <x:c r="A46" s="9" t="n">
        <x:v>46271</x:v>
      </x:c>
      <x:c r="B46" s="2" t="str">
        <x:v>Paid Social</x:v>
      </x:c>
      <x:c r="C46" s="2" t="n">
        <x:v>240</x:v>
      </x:c>
      <x:c r="D46" s="2" t="n">
        <x:v>40</x:v>
      </x:c>
      <x:c r="E46" s="2" t="n">
        <x:v>22</x:v>
      </x:c>
      <x:c r="F46" s="2" t="n">
        <x:v>3</x:v>
      </x:c>
    </x:row>
    <x:row r="47" ht="20" customHeight="1">
      <x:c r="A47" s="9" t="n">
        <x:v>46272</x:v>
      </x:c>
      <x:c r="B47" s="2" t="str">
        <x:v>Direct</x:v>
      </x:c>
      <x:c r="C47" s="2" t="n">
        <x:v>179</x:v>
      </x:c>
      <x:c r="D47" s="2" t="n">
        <x:v>30</x:v>
      </x:c>
      <x:c r="E47" s="2" t="n">
        <x:v>17</x:v>
      </x:c>
      <x:c r="F47" s="2" t="n">
        <x:v>4</x:v>
      </x:c>
    </x:row>
    <x:row r="48" ht="20" customHeight="1">
      <x:c r="A48" s="9" t="n">
        <x:v>46272</x:v>
      </x:c>
      <x:c r="B48" s="2" t="str">
        <x:v>Email</x:v>
      </x:c>
      <x:c r="C48" s="2" t="n">
        <x:v>56</x:v>
      </x:c>
      <x:c r="D48" s="2" t="n">
        <x:v>9</x:v>
      </x:c>
      <x:c r="E48" s="2" t="n">
        <x:v>5</x:v>
      </x:c>
      <x:c r="F48" s="2" t="n">
        <x:v>1</x:v>
      </x:c>
    </x:row>
    <x:row r="49" ht="20" customHeight="1">
      <x:c r="A49" s="9" t="n">
        <x:v>46272</x:v>
      </x:c>
      <x:c r="B49" s="2" t="str">
        <x:v>Organic Search</x:v>
      </x:c>
      <x:c r="C49" s="2" t="n">
        <x:v>118</x:v>
      </x:c>
      <x:c r="D49" s="2" t="n">
        <x:v>20</x:v>
      </x:c>
      <x:c r="E49" s="2" t="n">
        <x:v>11</x:v>
      </x:c>
      <x:c r="F49" s="2" t="n">
        <x:v>3</x:v>
      </x:c>
    </x:row>
    <x:row r="50" ht="20" customHeight="1">
      <x:c r="A50" s="9" t="n">
        <x:v>46272</x:v>
      </x:c>
      <x:c r="B50" s="2" t="str">
        <x:v>Paid Social</x:v>
      </x:c>
      <x:c r="C50" s="2" t="n">
        <x:v>246</x:v>
      </x:c>
      <x:c r="D50" s="2" t="n">
        <x:v>41</x:v>
      </x:c>
      <x:c r="E50" s="2" t="n">
        <x:v>23</x:v>
      </x:c>
      <x:c r="F50" s="2" t="n">
        <x:v>3</x:v>
      </x:c>
    </x:row>
    <x:row r="51" ht="20" customHeight="1">
      <x:c r="A51" s="9" t="n">
        <x:v>46273</x:v>
      </x:c>
      <x:c r="B51" s="2" t="str">
        <x:v>Direct</x:v>
      </x:c>
      <x:c r="C51" s="2" t="n">
        <x:v>87</x:v>
      </x:c>
      <x:c r="D51" s="2" t="n">
        <x:v>14</x:v>
      </x:c>
      <x:c r="E51" s="2" t="n">
        <x:v>8</x:v>
      </x:c>
      <x:c r="F51" s="2" t="n">
        <x:v>1</x:v>
      </x:c>
    </x:row>
    <x:row r="52" ht="20" customHeight="1">
      <x:c r="A52" s="9" t="n">
        <x:v>46273</x:v>
      </x:c>
      <x:c r="B52" s="2" t="str">
        <x:v>Email</x:v>
      </x:c>
      <x:c r="C52" s="2" t="n">
        <x:v>99</x:v>
      </x:c>
      <x:c r="D52" s="2" t="n">
        <x:v>16</x:v>
      </x:c>
      <x:c r="E52" s="2" t="n">
        <x:v>9</x:v>
      </x:c>
      <x:c r="F52" s="2" t="n">
        <x:v>3</x:v>
      </x:c>
    </x:row>
    <x:row r="53" ht="20" customHeight="1">
      <x:c r="A53" s="9" t="n">
        <x:v>46273</x:v>
      </x:c>
      <x:c r="B53" s="2" t="str">
        <x:v>Organic Search</x:v>
      </x:c>
      <x:c r="C53" s="2" t="n">
        <x:v>91</x:v>
      </x:c>
      <x:c r="D53" s="2" t="n">
        <x:v>15</x:v>
      </x:c>
      <x:c r="E53" s="2" t="n">
        <x:v>8</x:v>
      </x:c>
      <x:c r="F53" s="2" t="n">
        <x:v>2</x:v>
      </x:c>
    </x:row>
    <x:row r="54" ht="20" customHeight="1">
      <x:c r="A54" s="9" t="n">
        <x:v>46273</x:v>
      </x:c>
      <x:c r="B54" s="2" t="str">
        <x:v>Paid Social</x:v>
      </x:c>
      <x:c r="C54" s="2" t="n">
        <x:v>229</x:v>
      </x:c>
      <x:c r="D54" s="2" t="n">
        <x:v>38</x:v>
      </x:c>
      <x:c r="E54" s="2" t="n">
        <x:v>21</x:v>
      </x:c>
      <x:c r="F54" s="2" t="n">
        <x:v>3</x:v>
      </x:c>
    </x:row>
    <x:row r="55" ht="20" customHeight="1">
      <x:c r="A55" s="9" t="n">
        <x:v>46274</x:v>
      </x:c>
      <x:c r="B55" s="2" t="str">
        <x:v>Direct</x:v>
      </x:c>
      <x:c r="C55" s="2" t="n">
        <x:v>109</x:v>
      </x:c>
      <x:c r="D55" s="2" t="n">
        <x:v>18</x:v>
      </x:c>
      <x:c r="E55" s="2" t="n">
        <x:v>10</x:v>
      </x:c>
      <x:c r="F55" s="2" t="n">
        <x:v>2</x:v>
      </x:c>
    </x:row>
    <x:row r="56" ht="20" customHeight="1">
      <x:c r="A56" s="9" t="n">
        <x:v>46274</x:v>
      </x:c>
      <x:c r="B56" s="2" t="str">
        <x:v>Email</x:v>
      </x:c>
      <x:c r="C56" s="2" t="n">
        <x:v>78</x:v>
      </x:c>
      <x:c r="D56" s="2" t="n">
        <x:v>13</x:v>
      </x:c>
      <x:c r="E56" s="2" t="n">
        <x:v>7</x:v>
      </x:c>
      <x:c r="F56" s="2" t="n">
        <x:v>2</x:v>
      </x:c>
    </x:row>
    <x:row r="57" ht="20" customHeight="1">
      <x:c r="A57" s="9" t="n">
        <x:v>46274</x:v>
      </x:c>
      <x:c r="B57" s="2" t="str">
        <x:v>Organic Search</x:v>
      </x:c>
      <x:c r="C57" s="2" t="n">
        <x:v>299</x:v>
      </x:c>
      <x:c r="D57" s="2" t="n">
        <x:v>50</x:v>
      </x:c>
      <x:c r="E57" s="2" t="n">
        <x:v>28</x:v>
      </x:c>
      <x:c r="F57" s="2" t="n">
        <x:v>9</x:v>
      </x:c>
    </x:row>
    <x:row r="58" ht="20" customHeight="1">
      <x:c r="A58" s="9" t="n">
        <x:v>46274</x:v>
      </x:c>
      <x:c r="B58" s="2" t="str">
        <x:v>Paid Social</x:v>
      </x:c>
      <x:c r="C58" s="2" t="n">
        <x:v>353</x:v>
      </x:c>
      <x:c r="D58" s="2" t="n">
        <x:v>60</x:v>
      </x:c>
      <x:c r="E58" s="2" t="n">
        <x:v>33</x:v>
      </x:c>
      <x:c r="F58" s="2" t="n">
        <x:v>6</x:v>
      </x:c>
    </x:row>
    <x:row r="59" ht="20" customHeight="1">
      <x:c r="A59" s="9" t="n">
        <x:v>46275</x:v>
      </x:c>
      <x:c r="B59" s="2" t="str">
        <x:v>Direct</x:v>
      </x:c>
      <x:c r="C59" s="2" t="n">
        <x:v>158</x:v>
      </x:c>
      <x:c r="D59" s="2" t="n">
        <x:v>26</x:v>
      </x:c>
      <x:c r="E59" s="2" t="n">
        <x:v>15</x:v>
      </x:c>
      <x:c r="F59" s="2" t="n">
        <x:v>4</x:v>
      </x:c>
    </x:row>
    <x:row r="60" ht="20" customHeight="1">
      <x:c r="A60" s="9" t="n">
        <x:v>46275</x:v>
      </x:c>
      <x:c r="B60" s="2" t="str">
        <x:v>Email</x:v>
      </x:c>
      <x:c r="C60" s="2" t="n">
        <x:v>87</x:v>
      </x:c>
      <x:c r="D60" s="2" t="n">
        <x:v>14</x:v>
      </x:c>
      <x:c r="E60" s="2" t="n">
        <x:v>8</x:v>
      </x:c>
      <x:c r="F60" s="2" t="n">
        <x:v>3</x:v>
      </x:c>
    </x:row>
    <x:row r="61" ht="20" customHeight="1">
      <x:c r="A61" s="9" t="n">
        <x:v>46275</x:v>
      </x:c>
      <x:c r="B61" s="2" t="str">
        <x:v>Organic Search</x:v>
      </x:c>
      <x:c r="C61" s="2" t="n">
        <x:v>152</x:v>
      </x:c>
      <x:c r="D61" s="2" t="n">
        <x:v>25</x:v>
      </x:c>
      <x:c r="E61" s="2" t="n">
        <x:v>14</x:v>
      </x:c>
      <x:c r="F61" s="2" t="n">
        <x:v>4</x:v>
      </x:c>
    </x:row>
    <x:row r="62" ht="20" customHeight="1">
      <x:c r="A62" s="9" t="n">
        <x:v>46275</x:v>
      </x:c>
      <x:c r="B62" s="2" t="str">
        <x:v>Paid Social</x:v>
      </x:c>
      <x:c r="C62" s="2" t="n">
        <x:v>322</x:v>
      </x:c>
      <x:c r="D62" s="2" t="n">
        <x:v>54</x:v>
      </x:c>
      <x:c r="E62" s="2" t="n">
        <x:v>30</x:v>
      </x:c>
      <x:c r="F62" s="2" t="n">
        <x:v>5</x:v>
      </x:c>
    </x:row>
    <x:row r="63" ht="20" customHeight="1">
      <x:c r="A63" s="9" t="n">
        <x:v>46276</x:v>
      </x:c>
      <x:c r="B63" s="2" t="str">
        <x:v>Direct</x:v>
      </x:c>
      <x:c r="C63" s="2" t="n">
        <x:v>106</x:v>
      </x:c>
      <x:c r="D63" s="2" t="n">
        <x:v>18</x:v>
      </x:c>
      <x:c r="E63" s="2" t="n">
        <x:v>10</x:v>
      </x:c>
      <x:c r="F63" s="2" t="n">
        <x:v>2</x:v>
      </x:c>
    </x:row>
    <x:row r="64" ht="20" customHeight="1">
      <x:c r="A64" s="9" t="n">
        <x:v>46276</x:v>
      </x:c>
      <x:c r="B64" s="2" t="str">
        <x:v>Email</x:v>
      </x:c>
      <x:c r="C64" s="2" t="n">
        <x:v>60</x:v>
      </x:c>
      <x:c r="D64" s="2" t="n">
        <x:v>10</x:v>
      </x:c>
      <x:c r="E64" s="2" t="n">
        <x:v>5</x:v>
      </x:c>
      <x:c r="F64" s="2" t="n">
        <x:v>1</x:v>
      </x:c>
    </x:row>
    <x:row r="65" ht="20" customHeight="1">
      <x:c r="A65" s="9" t="n">
        <x:v>46276</x:v>
      </x:c>
      <x:c r="B65" s="2" t="str">
        <x:v>Organic Search</x:v>
      </x:c>
      <x:c r="C65" s="2" t="n">
        <x:v>148</x:v>
      </x:c>
      <x:c r="D65" s="2" t="n">
        <x:v>25</x:v>
      </x:c>
      <x:c r="E65" s="2" t="n">
        <x:v>14</x:v>
      </x:c>
      <x:c r="F65" s="2" t="n">
        <x:v>4</x:v>
      </x:c>
    </x:row>
    <x:row r="66" ht="20" customHeight="1">
      <x:c r="A66" s="9" t="n">
        <x:v>46276</x:v>
      </x:c>
      <x:c r="B66" s="2" t="str">
        <x:v>Paid Social</x:v>
      </x:c>
      <x:c r="C66" s="2" t="n">
        <x:v>205</x:v>
      </x:c>
      <x:c r="D66" s="2" t="n">
        <x:v>34</x:v>
      </x:c>
      <x:c r="E66" s="2" t="n">
        <x:v>19</x:v>
      </x:c>
      <x:c r="F66" s="2" t="n">
        <x:v>3</x:v>
      </x:c>
    </x:row>
    <x:row r="67" ht="20" customHeight="1">
      <x:c r="A67" s="9" t="n">
        <x:v>46277</x:v>
      </x:c>
      <x:c r="B67" s="2" t="str">
        <x:v>Direct</x:v>
      </x:c>
      <x:c r="C67" s="2" t="n">
        <x:v>63</x:v>
      </x:c>
      <x:c r="D67" s="2" t="n">
        <x:v>10</x:v>
      </x:c>
      <x:c r="E67" s="2" t="n">
        <x:v>5</x:v>
      </x:c>
      <x:c r="F67" s="2" t="n">
        <x:v>0</x:v>
      </x:c>
    </x:row>
    <x:row r="68" ht="20" customHeight="1">
      <x:c r="A68" s="9" t="n">
        <x:v>46277</x:v>
      </x:c>
      <x:c r="B68" s="2" t="str">
        <x:v>Email</x:v>
      </x:c>
      <x:c r="C68" s="2" t="n">
        <x:v>108</x:v>
      </x:c>
      <x:c r="D68" s="2" t="n">
        <x:v>18</x:v>
      </x:c>
      <x:c r="E68" s="2" t="n">
        <x:v>10</x:v>
      </x:c>
      <x:c r="F68" s="2" t="n">
        <x:v>4</x:v>
      </x:c>
    </x:row>
    <x:row r="69" ht="20" customHeight="1">
      <x:c r="A69" s="9" t="n">
        <x:v>46277</x:v>
      </x:c>
      <x:c r="B69" s="2" t="str">
        <x:v>Organic Search</x:v>
      </x:c>
      <x:c r="C69" s="2" t="n">
        <x:v>208</x:v>
      </x:c>
      <x:c r="D69" s="2" t="n">
        <x:v>35</x:v>
      </x:c>
      <x:c r="E69" s="2" t="n">
        <x:v>19</x:v>
      </x:c>
      <x:c r="F69" s="2" t="n">
        <x:v>5</x:v>
      </x:c>
    </x:row>
    <x:row r="70" ht="20" customHeight="1">
      <x:c r="A70" s="9" t="n">
        <x:v>46277</x:v>
      </x:c>
      <x:c r="B70" s="2" t="str">
        <x:v>Paid Social</x:v>
      </x:c>
      <x:c r="C70" s="2" t="n">
        <x:v>120</x:v>
      </x:c>
      <x:c r="D70" s="2" t="n">
        <x:v>20</x:v>
      </x:c>
      <x:c r="E70" s="2" t="n">
        <x:v>11</x:v>
      </x:c>
      <x:c r="F70" s="2" t="n">
        <x:v>1</x:v>
      </x:c>
    </x:row>
    <x:row r="71" ht="20" customHeight="1">
      <x:c r="A71" s="9" t="n">
        <x:v>46278</x:v>
      </x:c>
      <x:c r="B71" s="2" t="str">
        <x:v>Direct</x:v>
      </x:c>
      <x:c r="C71" s="2" t="n">
        <x:v>80</x:v>
      </x:c>
      <x:c r="D71" s="2" t="n">
        <x:v>13</x:v>
      </x:c>
      <x:c r="E71" s="2" t="n">
        <x:v>7</x:v>
      </x:c>
      <x:c r="F71" s="2" t="n">
        <x:v>1</x:v>
      </x:c>
    </x:row>
    <x:row r="72" ht="20" customHeight="1">
      <x:c r="A72" s="9" t="n">
        <x:v>46278</x:v>
      </x:c>
      <x:c r="B72" s="2" t="str">
        <x:v>Email</x:v>
      </x:c>
      <x:c r="C72" s="2" t="n">
        <x:v>80</x:v>
      </x:c>
      <x:c r="D72" s="2" t="n">
        <x:v>13</x:v>
      </x:c>
      <x:c r="E72" s="2" t="n">
        <x:v>7</x:v>
      </x:c>
      <x:c r="F72" s="2" t="n">
        <x:v>3</x:v>
      </x:c>
    </x:row>
    <x:row r="73" ht="20" customHeight="1">
      <x:c r="A73" s="9" t="n">
        <x:v>46278</x:v>
      </x:c>
      <x:c r="B73" s="2" t="str">
        <x:v>Organic Search</x:v>
      </x:c>
      <x:c r="C73" s="2" t="n">
        <x:v>285</x:v>
      </x:c>
      <x:c r="D73" s="2" t="n">
        <x:v>48</x:v>
      </x:c>
      <x:c r="E73" s="2" t="n">
        <x:v>27</x:v>
      </x:c>
      <x:c r="F73" s="2" t="n">
        <x:v>9</x:v>
      </x:c>
    </x:row>
    <x:row r="74" ht="20" customHeight="1">
      <x:c r="A74" s="9" t="n">
        <x:v>46278</x:v>
      </x:c>
      <x:c r="B74" s="2" t="str">
        <x:v>Paid Social</x:v>
      </x:c>
      <x:c r="C74" s="2" t="n">
        <x:v>180</x:v>
      </x:c>
      <x:c r="D74" s="2" t="n">
        <x:v>30</x:v>
      </x:c>
      <x:c r="E74" s="2" t="n">
        <x:v>17</x:v>
      </x:c>
      <x:c r="F74" s="2" t="n">
        <x:v>2</x:v>
      </x:c>
    </x:row>
    <x:row r="75" ht="20" customHeight="1">
      <x:c r="A75" s="9" t="n">
        <x:v>46279</x:v>
      </x:c>
      <x:c r="B75" s="2" t="str">
        <x:v>Direct</x:v>
      </x:c>
      <x:c r="C75" s="2" t="n">
        <x:v>83</x:v>
      </x:c>
      <x:c r="D75" s="2" t="n">
        <x:v>14</x:v>
      </x:c>
      <x:c r="E75" s="2" t="n">
        <x:v>7</x:v>
      </x:c>
      <x:c r="F75" s="2" t="n">
        <x:v>1</x:v>
      </x:c>
    </x:row>
    <x:row r="76" ht="20" customHeight="1">
      <x:c r="A76" s="9" t="n">
        <x:v>46279</x:v>
      </x:c>
      <x:c r="B76" s="2" t="str">
        <x:v>Email</x:v>
      </x:c>
      <x:c r="C76" s="2" t="n">
        <x:v>124</x:v>
      </x:c>
      <x:c r="D76" s="2" t="n">
        <x:v>21</x:v>
      </x:c>
      <x:c r="E76" s="2" t="n">
        <x:v>11</x:v>
      </x:c>
      <x:c r="F76" s="2" t="n">
        <x:v>5</x:v>
      </x:c>
    </x:row>
    <x:row r="77" ht="20" customHeight="1">
      <x:c r="A77" s="9" t="n">
        <x:v>46279</x:v>
      </x:c>
      <x:c r="B77" s="2" t="str">
        <x:v>Organic Search</x:v>
      </x:c>
      <x:c r="C77" s="2" t="n">
        <x:v>201</x:v>
      </x:c>
      <x:c r="D77" s="2" t="n">
        <x:v>34</x:v>
      </x:c>
      <x:c r="E77" s="2" t="n">
        <x:v>19</x:v>
      </x:c>
      <x:c r="F77" s="2" t="n">
        <x:v>6</x:v>
      </x:c>
    </x:row>
    <x:row r="78" ht="20" customHeight="1">
      <x:c r="A78" s="9" t="n">
        <x:v>46279</x:v>
      </x:c>
      <x:c r="B78" s="2" t="str">
        <x:v>Paid Social</x:v>
      </x:c>
      <x:c r="C78" s="2" t="n">
        <x:v>238</x:v>
      </x:c>
      <x:c r="D78" s="2" t="n">
        <x:v>40</x:v>
      </x:c>
      <x:c r="E78" s="2" t="n">
        <x:v>22</x:v>
      </x:c>
      <x:c r="F78" s="2" t="n">
        <x:v>4</x:v>
      </x:c>
    </x:row>
    <x:row r="79" ht="20" customHeight="1">
      <x:c r="A79" s="9" t="n">
        <x:v>46280</x:v>
      </x:c>
      <x:c r="B79" s="2" t="str">
        <x:v>Direct</x:v>
      </x:c>
      <x:c r="C79" s="2" t="n">
        <x:v>88</x:v>
      </x:c>
      <x:c r="D79" s="2" t="n">
        <x:v>14</x:v>
      </x:c>
      <x:c r="E79" s="2" t="n">
        <x:v>8</x:v>
      </x:c>
      <x:c r="F79" s="2" t="n">
        <x:v>1</x:v>
      </x:c>
    </x:row>
    <x:row r="80" ht="20" customHeight="1">
      <x:c r="A80" s="9" t="n">
        <x:v>46280</x:v>
      </x:c>
      <x:c r="B80" s="2" t="str">
        <x:v>Email</x:v>
      </x:c>
      <x:c r="C80" s="2" t="n">
        <x:v>146</x:v>
      </x:c>
      <x:c r="D80" s="2" t="n">
        <x:v>24</x:v>
      </x:c>
      <x:c r="E80" s="2" t="n">
        <x:v>13</x:v>
      </x:c>
      <x:c r="F80" s="2" t="n">
        <x:v>7</x:v>
      </x:c>
    </x:row>
    <x:row r="81" ht="20" customHeight="1">
      <x:c r="A81" s="9" t="n">
        <x:v>46280</x:v>
      </x:c>
      <x:c r="B81" s="2" t="str">
        <x:v>Organic Search</x:v>
      </x:c>
      <x:c r="C81" s="2" t="n">
        <x:v>283</x:v>
      </x:c>
      <x:c r="D81" s="2" t="n">
        <x:v>48</x:v>
      </x:c>
      <x:c r="E81" s="2" t="n">
        <x:v>26</x:v>
      </x:c>
      <x:c r="F81" s="2" t="n">
        <x:v>8</x:v>
      </x:c>
    </x:row>
    <x:row r="82" ht="20" customHeight="1">
      <x:c r="A82" s="9" t="n">
        <x:v>46280</x:v>
      </x:c>
      <x:c r="B82" s="2" t="str">
        <x:v>Paid Social</x:v>
      </x:c>
      <x:c r="C82" s="2" t="n">
        <x:v>319</x:v>
      </x:c>
      <x:c r="D82" s="2" t="n">
        <x:v>54</x:v>
      </x:c>
      <x:c r="E82" s="2" t="n">
        <x:v>30</x:v>
      </x:c>
      <x:c r="F82" s="2" t="n">
        <x:v>5</x:v>
      </x:c>
    </x:row>
    <x:row r="83" ht="20" customHeight="1">
      <x:c r="A83" s="9" t="n">
        <x:v>46281</x:v>
      </x:c>
      <x:c r="B83" s="2" t="str">
        <x:v>Direct</x:v>
      </x:c>
      <x:c r="C83" s="2" t="n">
        <x:v>84</x:v>
      </x:c>
      <x:c r="D83" s="2" t="n">
        <x:v>14</x:v>
      </x:c>
      <x:c r="E83" s="2" t="n">
        <x:v>7</x:v>
      </x:c>
      <x:c r="F83" s="2" t="n">
        <x:v>1</x:v>
      </x:c>
    </x:row>
    <x:row r="84" ht="20" customHeight="1">
      <x:c r="A84" s="9" t="n">
        <x:v>46281</x:v>
      </x:c>
      <x:c r="B84" s="2" t="str">
        <x:v>Email</x:v>
      </x:c>
      <x:c r="C84" s="2" t="n">
        <x:v>82</x:v>
      </x:c>
      <x:c r="D84" s="2" t="n">
        <x:v>13</x:v>
      </x:c>
      <x:c r="E84" s="2" t="n">
        <x:v>7</x:v>
      </x:c>
      <x:c r="F84" s="2" t="n">
        <x:v>3</x:v>
      </x:c>
    </x:row>
    <x:row r="85" ht="20" customHeight="1">
      <x:c r="A85" s="9" t="n">
        <x:v>46281</x:v>
      </x:c>
      <x:c r="B85" s="2" t="str">
        <x:v>Organic Search</x:v>
      </x:c>
      <x:c r="C85" s="2" t="n">
        <x:v>227</x:v>
      </x:c>
      <x:c r="D85" s="2" t="n">
        <x:v>38</x:v>
      </x:c>
      <x:c r="E85" s="2" t="n">
        <x:v>21</x:v>
      </x:c>
      <x:c r="F85" s="2" t="n">
        <x:v>8</x:v>
      </x:c>
    </x:row>
    <x:row r="86" ht="20" customHeight="1">
      <x:c r="A86" s="9" t="n">
        <x:v>46281</x:v>
      </x:c>
      <x:c r="B86" s="2" t="str">
        <x:v>Paid Social</x:v>
      </x:c>
      <x:c r="C86" s="2" t="n">
        <x:v>198</x:v>
      </x:c>
      <x:c r="D86" s="2" t="n">
        <x:v>33</x:v>
      </x:c>
      <x:c r="E86" s="2" t="n">
        <x:v>18</x:v>
      </x:c>
      <x:c r="F86" s="2" t="n">
        <x:v>2</x:v>
      </x:c>
    </x:row>
    <x:row r="87" ht="20" customHeight="1">
      <x:c r="A87" s="9" t="n">
        <x:v>46282</x:v>
      </x:c>
      <x:c r="B87" s="2" t="str">
        <x:v>Direct</x:v>
      </x:c>
      <x:c r="C87" s="2" t="n">
        <x:v>141</x:v>
      </x:c>
      <x:c r="D87" s="2" t="n">
        <x:v>23</x:v>
      </x:c>
      <x:c r="E87" s="2" t="n">
        <x:v>13</x:v>
      </x:c>
      <x:c r="F87" s="2" t="n">
        <x:v>3</x:v>
      </x:c>
    </x:row>
    <x:row r="88" ht="20" customHeight="1">
      <x:c r="A88" s="9" t="n">
        <x:v>46282</x:v>
      </x:c>
      <x:c r="B88" s="2" t="str">
        <x:v>Email</x:v>
      </x:c>
      <x:c r="C88" s="2" t="n">
        <x:v>141</x:v>
      </x:c>
      <x:c r="D88" s="2" t="n">
        <x:v>23</x:v>
      </x:c>
      <x:c r="E88" s="2" t="n">
        <x:v>13</x:v>
      </x:c>
      <x:c r="F88" s="2" t="n">
        <x:v>5</x:v>
      </x:c>
    </x:row>
    <x:row r="89" ht="20" customHeight="1">
      <x:c r="A89" s="9" t="n">
        <x:v>46282</x:v>
      </x:c>
      <x:c r="B89" s="2" t="str">
        <x:v>Organic Search</x:v>
      </x:c>
      <x:c r="C89" s="2" t="n">
        <x:v>267</x:v>
      </x:c>
      <x:c r="D89" s="2" t="n">
        <x:v>45</x:v>
      </x:c>
      <x:c r="E89" s="2" t="n">
        <x:v>25</x:v>
      </x:c>
      <x:c r="F89" s="2" t="n">
        <x:v>9</x:v>
      </x:c>
    </x:row>
    <x:row r="90" ht="20" customHeight="1">
      <x:c r="A90" s="9" t="n">
        <x:v>46282</x:v>
      </x:c>
      <x:c r="B90" s="2" t="str">
        <x:v>Paid Social</x:v>
      </x:c>
      <x:c r="C90" s="2" t="n">
        <x:v>224</x:v>
      </x:c>
      <x:c r="D90" s="2" t="n">
        <x:v>38</x:v>
      </x:c>
      <x:c r="E90" s="2" t="n">
        <x:v>21</x:v>
      </x:c>
      <x:c r="F90" s="2" t="n">
        <x:v>4</x:v>
      </x:c>
    </x:row>
    <x:row r="91" ht="20" customHeight="1">
      <x:c r="A91" s="9" t="n">
        <x:v>46283</x:v>
      </x:c>
      <x:c r="B91" s="2" t="str">
        <x:v>Direct</x:v>
      </x:c>
      <x:c r="C91" s="2" t="n">
        <x:v>125</x:v>
      </x:c>
      <x:c r="D91" s="2" t="n">
        <x:v>21</x:v>
      </x:c>
      <x:c r="E91" s="2" t="n">
        <x:v>11</x:v>
      </x:c>
      <x:c r="F91" s="2" t="n">
        <x:v>3</x:v>
      </x:c>
    </x:row>
    <x:row r="92" ht="20" customHeight="1">
      <x:c r="A92" s="9" t="n">
        <x:v>46283</x:v>
      </x:c>
      <x:c r="B92" s="2" t="str">
        <x:v>Email</x:v>
      </x:c>
      <x:c r="C92" s="2" t="n">
        <x:v>109</x:v>
      </x:c>
      <x:c r="D92" s="2" t="n">
        <x:v>18</x:v>
      </x:c>
      <x:c r="E92" s="2" t="n">
        <x:v>10</x:v>
      </x:c>
      <x:c r="F92" s="2" t="n">
        <x:v>4</x:v>
      </x:c>
    </x:row>
    <x:row r="93" ht="20" customHeight="1">
      <x:c r="A93" s="9" t="n">
        <x:v>46283</x:v>
      </x:c>
      <x:c r="B93" s="2" t="str">
        <x:v>Organic Search</x:v>
      </x:c>
      <x:c r="C93" s="2" t="n">
        <x:v>161</x:v>
      </x:c>
      <x:c r="D93" s="2" t="n">
        <x:v>27</x:v>
      </x:c>
      <x:c r="E93" s="2" t="n">
        <x:v>15</x:v>
      </x:c>
      <x:c r="F93" s="2" t="n">
        <x:v>4</x:v>
      </x:c>
    </x:row>
    <x:row r="94" ht="20" customHeight="1">
      <x:c r="A94" s="9" t="n">
        <x:v>46283</x:v>
      </x:c>
      <x:c r="B94" s="2" t="str">
        <x:v>Paid Social</x:v>
      </x:c>
      <x:c r="C94" s="2" t="n">
        <x:v>302</x:v>
      </x:c>
      <x:c r="D94" s="2" t="n">
        <x:v>51</x:v>
      </x:c>
      <x:c r="E94" s="2" t="n">
        <x:v>28</x:v>
      </x:c>
      <x:c r="F94" s="2" t="n">
        <x:v>6</x:v>
      </x:c>
    </x:row>
    <x:row r="95" ht="20" customHeight="1">
      <x:c r="A95" s="9" t="n">
        <x:v>46284</x:v>
      </x:c>
      <x:c r="B95" s="2" t="str">
        <x:v>Direct</x:v>
      </x:c>
      <x:c r="C95" s="2" t="n">
        <x:v>258</x:v>
      </x:c>
      <x:c r="D95" s="2" t="n">
        <x:v>43</x:v>
      </x:c>
      <x:c r="E95" s="2" t="n">
        <x:v>24</x:v>
      </x:c>
      <x:c r="F95" s="2" t="n">
        <x:v>7</x:v>
      </x:c>
    </x:row>
    <x:row r="96" ht="20" customHeight="1">
      <x:c r="A96" s="9" t="n">
        <x:v>46284</x:v>
      </x:c>
      <x:c r="B96" s="2" t="str">
        <x:v>Email</x:v>
      </x:c>
      <x:c r="C96" s="2" t="n">
        <x:v>186</x:v>
      </x:c>
      <x:c r="D96" s="2" t="n">
        <x:v>31</x:v>
      </x:c>
      <x:c r="E96" s="2" t="n">
        <x:v>17</x:v>
      </x:c>
      <x:c r="F96" s="2" t="n">
        <x:v>8</x:v>
      </x:c>
    </x:row>
    <x:row r="97" ht="20" customHeight="1">
      <x:c r="A97" s="9" t="n">
        <x:v>46284</x:v>
      </x:c>
      <x:c r="B97" s="2" t="str">
        <x:v>Organic Search</x:v>
      </x:c>
      <x:c r="C97" s="2" t="n">
        <x:v>143</x:v>
      </x:c>
      <x:c r="D97" s="2" t="n">
        <x:v>24</x:v>
      </x:c>
      <x:c r="E97" s="2" t="n">
        <x:v>13</x:v>
      </x:c>
      <x:c r="F97" s="2" t="n">
        <x:v>3</x:v>
      </x:c>
    </x:row>
    <x:row r="98" ht="20" customHeight="1">
      <x:c r="A98" s="9" t="n">
        <x:v>46284</x:v>
      </x:c>
      <x:c r="B98" s="2" t="str">
        <x:v>Paid Social</x:v>
      </x:c>
      <x:c r="C98" s="2" t="n">
        <x:v>173</x:v>
      </x:c>
      <x:c r="D98" s="2" t="n">
        <x:v>29</x:v>
      </x:c>
      <x:c r="E98" s="2" t="n">
        <x:v>16</x:v>
      </x:c>
      <x:c r="F98" s="2" t="n">
        <x:v>2</x:v>
      </x:c>
    </x:row>
    <x:row r="99" ht="20" customHeight="1">
      <x:c r="A99" s="9" t="n">
        <x:v>46285</x:v>
      </x:c>
      <x:c r="B99" s="2" t="str">
        <x:v>Direct</x:v>
      </x:c>
      <x:c r="C99" s="2" t="n">
        <x:v>115</x:v>
      </x:c>
      <x:c r="D99" s="2" t="n">
        <x:v>19</x:v>
      </x:c>
      <x:c r="E99" s="2" t="n">
        <x:v>10</x:v>
      </x:c>
      <x:c r="F99" s="2" t="n">
        <x:v>2</x:v>
      </x:c>
    </x:row>
    <x:row r="100" ht="20" customHeight="1">
      <x:c r="A100" s="9" t="n">
        <x:v>46285</x:v>
      </x:c>
      <x:c r="B100" s="2" t="str">
        <x:v>Email</x:v>
      </x:c>
      <x:c r="C100" s="2" t="n">
        <x:v>120</x:v>
      </x:c>
      <x:c r="D100" s="2" t="n">
        <x:v>20</x:v>
      </x:c>
      <x:c r="E100" s="2" t="n">
        <x:v>11</x:v>
      </x:c>
      <x:c r="F100" s="2" t="n">
        <x:v>4</x:v>
      </x:c>
    </x:row>
    <x:row r="101" ht="20" customHeight="1">
      <x:c r="A101" s="9" t="n">
        <x:v>46285</x:v>
      </x:c>
      <x:c r="B101" s="2" t="str">
        <x:v>Organic Search</x:v>
      </x:c>
      <x:c r="C101" s="2" t="n">
        <x:v>189</x:v>
      </x:c>
      <x:c r="D101" s="2" t="n">
        <x:v>32</x:v>
      </x:c>
      <x:c r="E101" s="2" t="n">
        <x:v>17</x:v>
      </x:c>
      <x:c r="F101" s="2" t="n">
        <x:v>5</x:v>
      </x:c>
    </x:row>
    <x:row r="102" ht="20" customHeight="1">
      <x:c r="A102" s="9" t="n">
        <x:v>46285</x:v>
      </x:c>
      <x:c r="B102" s="2" t="str">
        <x:v>Paid Social</x:v>
      </x:c>
      <x:c r="C102" s="2" t="n">
        <x:v>407</x:v>
      </x:c>
      <x:c r="D102" s="2" t="n">
        <x:v>69</x:v>
      </x:c>
      <x:c r="E102" s="2" t="n">
        <x:v>38</x:v>
      </x:c>
      <x:c r="F102" s="2" t="n">
        <x:v>7</x:v>
      </x:c>
    </x:row>
    <x:row r="103" ht="20" customHeight="1">
      <x:c r="A103" s="9" t="n">
        <x:v>46286</x:v>
      </x:c>
      <x:c r="B103" s="2" t="str">
        <x:v>Direct</x:v>
      </x:c>
      <x:c r="C103" s="2" t="n">
        <x:v>112</x:v>
      </x:c>
      <x:c r="D103" s="2" t="n">
        <x:v>19</x:v>
      </x:c>
      <x:c r="E103" s="2" t="n">
        <x:v>10</x:v>
      </x:c>
      <x:c r="F103" s="2" t="n">
        <x:v>2</x:v>
      </x:c>
    </x:row>
    <x:row r="104" ht="20" customHeight="1">
      <x:c r="A104" s="9" t="n">
        <x:v>46286</x:v>
      </x:c>
      <x:c r="B104" s="2" t="str">
        <x:v>Email</x:v>
      </x:c>
      <x:c r="C104" s="2" t="n">
        <x:v>126</x:v>
      </x:c>
      <x:c r="D104" s="2" t="n">
        <x:v>21</x:v>
      </x:c>
      <x:c r="E104" s="2" t="n">
        <x:v>11</x:v>
      </x:c>
      <x:c r="F104" s="2" t="n">
        <x:v>6</x:v>
      </x:c>
    </x:row>
    <x:row r="105" ht="20" customHeight="1">
      <x:c r="A105" s="9" t="n">
        <x:v>46286</x:v>
      </x:c>
      <x:c r="B105" s="2" t="str">
        <x:v>Organic Search</x:v>
      </x:c>
      <x:c r="C105" s="2" t="n">
        <x:v>271</x:v>
      </x:c>
      <x:c r="D105" s="2" t="n">
        <x:v>46</x:v>
      </x:c>
      <x:c r="E105" s="2" t="n">
        <x:v>25</x:v>
      </x:c>
      <x:c r="F105" s="2" t="n">
        <x:v>10</x:v>
      </x:c>
    </x:row>
    <x:row r="106" ht="20" customHeight="1">
      <x:c r="A106" s="9" t="n">
        <x:v>46286</x:v>
      </x:c>
      <x:c r="B106" s="2" t="str">
        <x:v>Paid Social</x:v>
      </x:c>
      <x:c r="C106" s="2" t="n">
        <x:v>255</x:v>
      </x:c>
      <x:c r="D106" s="2" t="n">
        <x:v>43</x:v>
      </x:c>
      <x:c r="E106" s="2" t="n">
        <x:v>24</x:v>
      </x:c>
      <x:c r="F106" s="2" t="n">
        <x:v>4</x:v>
      </x:c>
    </x:row>
    <x:row r="107" ht="20" customHeight="1">
      <x:c r="A107" s="9" t="n">
        <x:v>46287</x:v>
      </x:c>
      <x:c r="B107" s="2" t="str">
        <x:v>Direct</x:v>
      </x:c>
      <x:c r="C107" s="2" t="n">
        <x:v>127</x:v>
      </x:c>
      <x:c r="D107" s="2" t="n">
        <x:v>21</x:v>
      </x:c>
      <x:c r="E107" s="2" t="n">
        <x:v>12</x:v>
      </x:c>
      <x:c r="F107" s="2" t="n">
        <x:v>2</x:v>
      </x:c>
    </x:row>
    <x:row r="108" ht="20" customHeight="1">
      <x:c r="A108" s="9" t="n">
        <x:v>46287</x:v>
      </x:c>
      <x:c r="B108" s="2" t="str">
        <x:v>Email</x:v>
      </x:c>
      <x:c r="C108" s="2" t="n">
        <x:v>78</x:v>
      </x:c>
      <x:c r="D108" s="2" t="n">
        <x:v>13</x:v>
      </x:c>
      <x:c r="E108" s="2" t="n">
        <x:v>7</x:v>
      </x:c>
      <x:c r="F108" s="2" t="n">
        <x:v>2</x:v>
      </x:c>
    </x:row>
    <x:row r="109" ht="20" customHeight="1">
      <x:c r="A109" s="9" t="n">
        <x:v>46287</x:v>
      </x:c>
      <x:c r="B109" s="2" t="str">
        <x:v>Organic Search</x:v>
      </x:c>
      <x:c r="C109" s="2" t="n">
        <x:v>229</x:v>
      </x:c>
      <x:c r="D109" s="2" t="n">
        <x:v>38</x:v>
      </x:c>
      <x:c r="E109" s="2" t="n">
        <x:v>21</x:v>
      </x:c>
      <x:c r="F109" s="2" t="n">
        <x:v>7</x:v>
      </x:c>
    </x:row>
    <x:row r="110" ht="20" customHeight="1">
      <x:c r="A110" s="9" t="n">
        <x:v>46287</x:v>
      </x:c>
      <x:c r="B110" s="2" t="str">
        <x:v>Paid Social</x:v>
      </x:c>
      <x:c r="C110" s="2" t="n">
        <x:v>202</x:v>
      </x:c>
      <x:c r="D110" s="2" t="n">
        <x:v>34</x:v>
      </x:c>
      <x:c r="E110" s="2" t="n">
        <x:v>19</x:v>
      </x:c>
      <x:c r="F110" s="2" t="n">
        <x:v>3</x:v>
      </x:c>
    </x:row>
    <x:row r="111" ht="20" customHeight="1">
      <x:c r="A111" s="9" t="n">
        <x:v>46288</x:v>
      </x:c>
      <x:c r="B111" s="2" t="str">
        <x:v>Direct</x:v>
      </x:c>
      <x:c r="C111" s="2" t="n">
        <x:v>118</x:v>
      </x:c>
      <x:c r="D111" s="2" t="n">
        <x:v>20</x:v>
      </x:c>
      <x:c r="E111" s="2" t="n">
        <x:v>11</x:v>
      </x:c>
      <x:c r="F111" s="2" t="n">
        <x:v>2</x:v>
      </x:c>
    </x:row>
    <x:row r="112" ht="20" customHeight="1">
      <x:c r="A112" s="9" t="n">
        <x:v>46288</x:v>
      </x:c>
      <x:c r="B112" s="2" t="str">
        <x:v>Email</x:v>
      </x:c>
      <x:c r="C112" s="2" t="n">
        <x:v>78</x:v>
      </x:c>
      <x:c r="D112" s="2" t="n">
        <x:v>13</x:v>
      </x:c>
      <x:c r="E112" s="2" t="n">
        <x:v>7</x:v>
      </x:c>
      <x:c r="F112" s="2" t="n">
        <x:v>2</x:v>
      </x:c>
    </x:row>
    <x:row r="113" ht="20" customHeight="1">
      <x:c r="A113" s="9" t="n">
        <x:v>46288</x:v>
      </x:c>
      <x:c r="B113" s="2" t="str">
        <x:v>Organic Search</x:v>
      </x:c>
      <x:c r="C113" s="2" t="n">
        <x:v>207</x:v>
      </x:c>
      <x:c r="D113" s="2" t="n">
        <x:v>35</x:v>
      </x:c>
      <x:c r="E113" s="2" t="n">
        <x:v>19</x:v>
      </x:c>
      <x:c r="F113" s="2" t="n">
        <x:v>5</x:v>
      </x:c>
    </x:row>
    <x:row r="114" ht="20" customHeight="1">
      <x:c r="A114" s="9" t="n">
        <x:v>46288</x:v>
      </x:c>
      <x:c r="B114" s="2" t="str">
        <x:v>Paid Social</x:v>
      </x:c>
      <x:c r="C114" s="2" t="n">
        <x:v>296</x:v>
      </x:c>
      <x:c r="D114" s="2" t="n">
        <x:v>50</x:v>
      </x:c>
      <x:c r="E114" s="2" t="n">
        <x:v>28</x:v>
      </x:c>
      <x:c r="F114" s="2" t="n">
        <x:v>4</x:v>
      </x:c>
    </x:row>
    <x:row r="115" ht="20" customHeight="1">
      <x:c r="A115" s="9" t="n">
        <x:v>46289</x:v>
      </x:c>
      <x:c r="B115" s="2" t="str">
        <x:v>Direct</x:v>
      </x:c>
      <x:c r="C115" s="2" t="n">
        <x:v>145</x:v>
      </x:c>
      <x:c r="D115" s="2" t="n">
        <x:v>24</x:v>
      </x:c>
      <x:c r="E115" s="2" t="n">
        <x:v>13</x:v>
      </x:c>
      <x:c r="F115" s="2" t="n">
        <x:v>3</x:v>
      </x:c>
    </x:row>
    <x:row r="116" ht="20" customHeight="1">
      <x:c r="A116" s="9" t="n">
        <x:v>46289</x:v>
      </x:c>
      <x:c r="B116" s="2" t="str">
        <x:v>Email</x:v>
      </x:c>
      <x:c r="C116" s="2" t="n">
        <x:v>31</x:v>
      </x:c>
      <x:c r="D116" s="2" t="n">
        <x:v>5</x:v>
      </x:c>
      <x:c r="E116" s="2" t="n">
        <x:v>2</x:v>
      </x:c>
      <x:c r="F116" s="2" t="n">
        <x:v>0</x:v>
      </x:c>
    </x:row>
    <x:row r="117" ht="20" customHeight="1">
      <x:c r="A117" s="9" t="n">
        <x:v>46289</x:v>
      </x:c>
      <x:c r="B117" s="2" t="str">
        <x:v>Organic Search</x:v>
      </x:c>
      <x:c r="C117" s="2" t="n">
        <x:v>195</x:v>
      </x:c>
      <x:c r="D117" s="2" t="n">
        <x:v>33</x:v>
      </x:c>
      <x:c r="E117" s="2" t="n">
        <x:v>18</x:v>
      </x:c>
      <x:c r="F117" s="2" t="n">
        <x:v>5</x:v>
      </x:c>
    </x:row>
    <x:row r="118" ht="20" customHeight="1">
      <x:c r="A118" s="9" t="n">
        <x:v>46289</x:v>
      </x:c>
      <x:c r="B118" s="2" t="str">
        <x:v>Paid Social</x:v>
      </x:c>
      <x:c r="C118" s="2" t="n">
        <x:v>335</x:v>
      </x:c>
      <x:c r="D118" s="2" t="n">
        <x:v>56</x:v>
      </x:c>
      <x:c r="E118" s="2" t="n">
        <x:v>31</x:v>
      </x:c>
      <x:c r="F118" s="2" t="n">
        <x:v>5</x:v>
      </x:c>
    </x:row>
    <x:row r="119" ht="20" customHeight="1">
      <x:c r="A119" s="9" t="n">
        <x:v>46290</x:v>
      </x:c>
      <x:c r="B119" s="2" t="str">
        <x:v>Direct</x:v>
      </x:c>
      <x:c r="C119" s="2" t="n">
        <x:v>88</x:v>
      </x:c>
      <x:c r="D119" s="2" t="n">
        <x:v>14</x:v>
      </x:c>
      <x:c r="E119" s="2" t="n">
        <x:v>8</x:v>
      </x:c>
      <x:c r="F119" s="2" t="n">
        <x:v>1</x:v>
      </x:c>
    </x:row>
    <x:row r="120" ht="20" customHeight="1">
      <x:c r="A120" s="9" t="n">
        <x:v>46290</x:v>
      </x:c>
      <x:c r="B120" s="2" t="str">
        <x:v>Email</x:v>
      </x:c>
      <x:c r="C120" s="2" t="n">
        <x:v>95</x:v>
      </x:c>
      <x:c r="D120" s="2" t="n">
        <x:v>16</x:v>
      </x:c>
      <x:c r="E120" s="2" t="n">
        <x:v>9</x:v>
      </x:c>
      <x:c r="F120" s="2" t="n">
        <x:v>3</x:v>
      </x:c>
    </x:row>
    <x:row r="121" ht="20" customHeight="1">
      <x:c r="A121" s="9" t="n">
        <x:v>46290</x:v>
      </x:c>
      <x:c r="B121" s="2" t="str">
        <x:v>Organic Search</x:v>
      </x:c>
      <x:c r="C121" s="2" t="n">
        <x:v>235</x:v>
      </x:c>
      <x:c r="D121" s="2" t="n">
        <x:v>39</x:v>
      </x:c>
      <x:c r="E121" s="2" t="n">
        <x:v>22</x:v>
      </x:c>
      <x:c r="F121" s="2" t="n">
        <x:v>6</x:v>
      </x:c>
    </x:row>
    <x:row r="122" ht="20" customHeight="1">
      <x:c r="A122" s="9" t="n">
        <x:v>46290</x:v>
      </x:c>
      <x:c r="B122" s="2" t="str">
        <x:v>Paid Social</x:v>
      </x:c>
      <x:c r="C122" s="2" t="n">
        <x:v>196</x:v>
      </x:c>
      <x:c r="D122" s="2" t="n">
        <x:v>33</x:v>
      </x:c>
      <x:c r="E122" s="2" t="n">
        <x:v>18</x:v>
      </x:c>
      <x:c r="F122" s="2" t="n">
        <x:v>3</x:v>
      </x:c>
    </x:row>
    <x:row r="123" ht="20" customHeight="1">
      <x:c r="A123" s="9" t="n">
        <x:v>46291</x:v>
      </x:c>
      <x:c r="B123" s="2" t="str">
        <x:v>Direct</x:v>
      </x:c>
      <x:c r="C123" s="2" t="n">
        <x:v>100</x:v>
      </x:c>
      <x:c r="D123" s="2" t="n">
        <x:v>17</x:v>
      </x:c>
      <x:c r="E123" s="2" t="n">
        <x:v>9</x:v>
      </x:c>
      <x:c r="F123" s="2" t="n">
        <x:v>1</x:v>
      </x:c>
    </x:row>
    <x:row r="124" ht="20" customHeight="1">
      <x:c r="A124" s="9" t="n">
        <x:v>46291</x:v>
      </x:c>
      <x:c r="B124" s="2" t="str">
        <x:v>Email</x:v>
      </x:c>
      <x:c r="C124" s="2" t="n">
        <x:v>127</x:v>
      </x:c>
      <x:c r="D124" s="2" t="n">
        <x:v>21</x:v>
      </x:c>
      <x:c r="E124" s="2" t="n">
        <x:v>12</x:v>
      </x:c>
      <x:c r="F124" s="2" t="n">
        <x:v>6</x:v>
      </x:c>
    </x:row>
    <x:row r="125" ht="20" customHeight="1">
      <x:c r="A125" s="9" t="n">
        <x:v>46291</x:v>
      </x:c>
      <x:c r="B125" s="2" t="str">
        <x:v>Organic Search</x:v>
      </x:c>
      <x:c r="C125" s="2" t="n">
        <x:v>208</x:v>
      </x:c>
      <x:c r="D125" s="2" t="n">
        <x:v>35</x:v>
      </x:c>
      <x:c r="E125" s="2" t="n">
        <x:v>19</x:v>
      </x:c>
      <x:c r="F125" s="2" t="n">
        <x:v>6</x:v>
      </x:c>
    </x:row>
    <x:row r="126" ht="20" customHeight="1">
      <x:c r="A126" s="9" t="n">
        <x:v>46291</x:v>
      </x:c>
      <x:c r="B126" s="2" t="str">
        <x:v>Paid Social</x:v>
      </x:c>
      <x:c r="C126" s="2" t="n">
        <x:v>286</x:v>
      </x:c>
      <x:c r="D126" s="2" t="n">
        <x:v>48</x:v>
      </x:c>
      <x:c r="E126" s="2" t="n">
        <x:v>27</x:v>
      </x:c>
      <x:c r="F126" s="2" t="n">
        <x:v>4</x:v>
      </x:c>
    </x:row>
    <x:row r="127" ht="20" customHeight="1">
      <x:c r="A127" s="9" t="n">
        <x:v>46292</x:v>
      </x:c>
      <x:c r="B127" s="2" t="str">
        <x:v>Direct</x:v>
      </x:c>
      <x:c r="C127" s="2" t="n">
        <x:v>233</x:v>
      </x:c>
      <x:c r="D127" s="2" t="n">
        <x:v>39</x:v>
      </x:c>
      <x:c r="E127" s="2" t="n">
        <x:v>22</x:v>
      </x:c>
      <x:c r="F127" s="2" t="n">
        <x:v>6</x:v>
      </x:c>
    </x:row>
    <x:row r="128" ht="20" customHeight="1">
      <x:c r="A128" s="9" t="n">
        <x:v>46292</x:v>
      </x:c>
      <x:c r="B128" s="2" t="str">
        <x:v>Email</x:v>
      </x:c>
      <x:c r="C128" s="2" t="n">
        <x:v>121</x:v>
      </x:c>
      <x:c r="D128" s="2" t="n">
        <x:v>20</x:v>
      </x:c>
      <x:c r="E128" s="2" t="n">
        <x:v>11</x:v>
      </x:c>
      <x:c r="F128" s="2" t="n">
        <x:v>4</x:v>
      </x:c>
    </x:row>
    <x:row r="129" ht="20" customHeight="1">
      <x:c r="A129" s="9" t="n">
        <x:v>46292</x:v>
      </x:c>
      <x:c r="B129" s="2" t="str">
        <x:v>Organic Search</x:v>
      </x:c>
      <x:c r="C129" s="2" t="n">
        <x:v>265</x:v>
      </x:c>
      <x:c r="D129" s="2" t="n">
        <x:v>45</x:v>
      </x:c>
      <x:c r="E129" s="2" t="n">
        <x:v>25</x:v>
      </x:c>
      <x:c r="F129" s="2" t="n">
        <x:v>8</x:v>
      </x:c>
    </x:row>
    <x:row r="130" ht="20" customHeight="1">
      <x:c r="A130" s="9" t="n">
        <x:v>46292</x:v>
      </x:c>
      <x:c r="B130" s="2" t="str">
        <x:v>Paid Social</x:v>
      </x:c>
      <x:c r="C130" s="2" t="n">
        <x:v>171</x:v>
      </x:c>
      <x:c r="D130" s="2" t="n">
        <x:v>29</x:v>
      </x:c>
      <x:c r="E130" s="2" t="n">
        <x:v>16</x:v>
      </x:c>
      <x:c r="F130" s="2" t="n">
        <x:v>2</x:v>
      </x:c>
    </x:row>
    <x:row r="131" ht="20" customHeight="1">
      <x:c r="A131" s="9" t="n">
        <x:v>46293</x:v>
      </x:c>
      <x:c r="B131" s="2" t="str">
        <x:v>Direct</x:v>
      </x:c>
      <x:c r="C131" s="2" t="n">
        <x:v>140</x:v>
      </x:c>
      <x:c r="D131" s="2" t="n">
        <x:v>23</x:v>
      </x:c>
      <x:c r="E131" s="2" t="n">
        <x:v>13</x:v>
      </x:c>
      <x:c r="F131" s="2" t="n">
        <x:v>3</x:v>
      </x:c>
    </x:row>
    <x:row r="132" ht="20" customHeight="1">
      <x:c r="A132" s="9" t="n">
        <x:v>46293</x:v>
      </x:c>
      <x:c r="B132" s="2" t="str">
        <x:v>Email</x:v>
      </x:c>
      <x:c r="C132" s="2" t="n">
        <x:v>107</x:v>
      </x:c>
      <x:c r="D132" s="2" t="n">
        <x:v>18</x:v>
      </x:c>
      <x:c r="E132" s="2" t="n">
        <x:v>10</x:v>
      </x:c>
      <x:c r="F132" s="2" t="n">
        <x:v>4</x:v>
      </x:c>
    </x:row>
    <x:row r="133" ht="20" customHeight="1">
      <x:c r="A133" s="9" t="n">
        <x:v>46293</x:v>
      </x:c>
      <x:c r="B133" s="2" t="str">
        <x:v>Organic Search</x:v>
      </x:c>
      <x:c r="C133" s="2" t="n">
        <x:v>128</x:v>
      </x:c>
      <x:c r="D133" s="2" t="n">
        <x:v>21</x:v>
      </x:c>
      <x:c r="E133" s="2" t="n">
        <x:v>12</x:v>
      </x:c>
      <x:c r="F133" s="2" t="n">
        <x:v>3</x:v>
      </x:c>
    </x:row>
    <x:row r="134" ht="20" customHeight="1">
      <x:c r="A134" s="9" t="n">
        <x:v>46293</x:v>
      </x:c>
      <x:c r="B134" s="2" t="str">
        <x:v>Paid Social</x:v>
      </x:c>
      <x:c r="C134" s="2" t="n">
        <x:v>292</x:v>
      </x:c>
      <x:c r="D134" s="2" t="n">
        <x:v>49</x:v>
      </x:c>
      <x:c r="E134" s="2" t="n">
        <x:v>27</x:v>
      </x:c>
      <x:c r="F134" s="2" t="n">
        <x:v>4</x:v>
      </x:c>
    </x:row>
    <x:row r="135" ht="20" customHeight="1">
      <x:c r="A135" s="9" t="n">
        <x:v>46294</x:v>
      </x:c>
      <x:c r="B135" s="2" t="str">
        <x:v>Direct</x:v>
      </x:c>
      <x:c r="C135" s="2" t="n">
        <x:v>131</x:v>
      </x:c>
      <x:c r="D135" s="2" t="n">
        <x:v>22</x:v>
      </x:c>
      <x:c r="E135" s="2" t="n">
        <x:v>12</x:v>
      </x:c>
      <x:c r="F135" s="2" t="n">
        <x:v>2</x:v>
      </x:c>
    </x:row>
    <x:row r="136" ht="20" customHeight="1">
      <x:c r="A136" s="9" t="n">
        <x:v>46294</x:v>
      </x:c>
      <x:c r="B136" s="2" t="str">
        <x:v>Email</x:v>
      </x:c>
      <x:c r="C136" s="2" t="n">
        <x:v>142</x:v>
      </x:c>
      <x:c r="D136" s="2" t="n">
        <x:v>24</x:v>
      </x:c>
      <x:c r="E136" s="2" t="n">
        <x:v>13</x:v>
      </x:c>
      <x:c r="F136" s="2" t="n">
        <x:v>6</x:v>
      </x:c>
    </x:row>
    <x:row r="137" ht="20" customHeight="1">
      <x:c r="A137" s="9" t="n">
        <x:v>46294</x:v>
      </x:c>
      <x:c r="B137" s="2" t="str">
        <x:v>Organic Search</x:v>
      </x:c>
      <x:c r="C137" s="2" t="n">
        <x:v>188</x:v>
      </x:c>
      <x:c r="D137" s="2" t="n">
        <x:v>31</x:v>
      </x:c>
      <x:c r="E137" s="2" t="n">
        <x:v>17</x:v>
      </x:c>
      <x:c r="F137" s="2" t="n">
        <x:v>6</x:v>
      </x:c>
    </x:row>
    <x:row r="138" ht="20" customHeight="1">
      <x:c r="A138" s="9" t="n">
        <x:v>46294</x:v>
      </x:c>
      <x:c r="B138" s="2" t="str">
        <x:v>Paid Social</x:v>
      </x:c>
      <x:c r="C138" s="2" t="n">
        <x:v>236</x:v>
      </x:c>
      <x:c r="D138" s="2" t="n">
        <x:v>40</x:v>
      </x:c>
      <x:c r="E138" s="2" t="n">
        <x:v>22</x:v>
      </x:c>
      <x:c r="F138" s="2" t="n">
        <x:v>4</x:v>
      </x:c>
    </x:row>
    <x:row r="139" ht="20" customHeight="1">
      <x:c r="A139" s="9" t="n">
        <x:v>46295</x:v>
      </x:c>
      <x:c r="B139" s="2" t="str">
        <x:v>Direct</x:v>
      </x:c>
      <x:c r="C139" s="2" t="n">
        <x:v>157</x:v>
      </x:c>
      <x:c r="D139" s="2" t="n">
        <x:v>26</x:v>
      </x:c>
      <x:c r="E139" s="2" t="n">
        <x:v>14</x:v>
      </x:c>
      <x:c r="F139" s="2" t="n">
        <x:v>4</x:v>
      </x:c>
    </x:row>
    <x:row r="140" ht="20" customHeight="1">
      <x:c r="A140" s="9" t="n">
        <x:v>46295</x:v>
      </x:c>
      <x:c r="B140" s="2" t="str">
        <x:v>Email</x:v>
      </x:c>
      <x:c r="C140" s="2" t="n">
        <x:v>172</x:v>
      </x:c>
      <x:c r="D140" s="2" t="n">
        <x:v>29</x:v>
      </x:c>
      <x:c r="E140" s="2" t="n">
        <x:v>16</x:v>
      </x:c>
      <x:c r="F140" s="2" t="n">
        <x:v>7</x:v>
      </x:c>
    </x:row>
    <x:row r="141" ht="20" customHeight="1">
      <x:c r="A141" s="9" t="n">
        <x:v>46295</x:v>
      </x:c>
      <x:c r="B141" s="2" t="str">
        <x:v>Organic Search</x:v>
      </x:c>
      <x:c r="C141" s="2" t="n">
        <x:v>222</x:v>
      </x:c>
      <x:c r="D141" s="2" t="n">
        <x:v>37</x:v>
      </x:c>
      <x:c r="E141" s="2" t="n">
        <x:v>21</x:v>
      </x:c>
      <x:c r="F141" s="2" t="n">
        <x:v>6</x:v>
      </x:c>
    </x:row>
    <x:row r="142" ht="20" customHeight="1">
      <x:c r="A142" s="9" t="n">
        <x:v>46295</x:v>
      </x:c>
      <x:c r="B142" s="2" t="str">
        <x:v>Paid Social</x:v>
      </x:c>
      <x:c r="C142" s="2" t="n">
        <x:v>241</x:v>
      </x:c>
      <x:c r="D142" s="2" t="n">
        <x:v>40</x:v>
      </x:c>
      <x:c r="E142" s="2" t="n">
        <x:v>22</x:v>
      </x:c>
      <x:c r="F142" s="2" t="n">
        <x:v>3</x:v>
      </x:c>
    </x:row>
    <x:row r="143" ht="20" customHeight="1">
      <x:c r="A143" s="9" t="n">
        <x:v>46296</x:v>
      </x:c>
      <x:c r="B143" s="2" t="str">
        <x:v>Direct</x:v>
      </x:c>
      <x:c r="C143" s="2" t="n">
        <x:v>122</x:v>
      </x:c>
      <x:c r="D143" s="2" t="n">
        <x:v>20</x:v>
      </x:c>
      <x:c r="E143" s="2" t="n">
        <x:v>11</x:v>
      </x:c>
      <x:c r="F143" s="2" t="n">
        <x:v>2</x:v>
      </x:c>
    </x:row>
    <x:row r="144" ht="20" customHeight="1">
      <x:c r="A144" s="9" t="n">
        <x:v>46296</x:v>
      </x:c>
      <x:c r="B144" s="2" t="str">
        <x:v>Email</x:v>
      </x:c>
      <x:c r="C144" s="2" t="n">
        <x:v>99</x:v>
      </x:c>
      <x:c r="D144" s="2" t="n">
        <x:v>16</x:v>
      </x:c>
      <x:c r="E144" s="2" t="n">
        <x:v>9</x:v>
      </x:c>
      <x:c r="F144" s="2" t="n">
        <x:v>3</x:v>
      </x:c>
    </x:row>
    <x:row r="145" ht="20" customHeight="1">
      <x:c r="A145" s="9" t="n">
        <x:v>46296</x:v>
      </x:c>
      <x:c r="B145" s="2" t="str">
        <x:v>Organic Search</x:v>
      </x:c>
      <x:c r="C145" s="2" t="n">
        <x:v>223</x:v>
      </x:c>
      <x:c r="D145" s="2" t="n">
        <x:v>37</x:v>
      </x:c>
      <x:c r="E145" s="2" t="n">
        <x:v>21</x:v>
      </x:c>
      <x:c r="F145" s="2" t="n">
        <x:v>6</x:v>
      </x:c>
    </x:row>
    <x:row r="146" ht="20" customHeight="1">
      <x:c r="A146" s="9" t="n">
        <x:v>46296</x:v>
      </x:c>
      <x:c r="B146" s="2" t="str">
        <x:v>Paid Social</x:v>
      </x:c>
      <x:c r="C146" s="2" t="n">
        <x:v>286</x:v>
      </x:c>
      <x:c r="D146" s="2" t="n">
        <x:v>48</x:v>
      </x:c>
      <x:c r="E146" s="2" t="n">
        <x:v>27</x:v>
      </x:c>
      <x:c r="F146" s="2" t="n">
        <x:v>5</x:v>
      </x:c>
    </x:row>
    <x:row r="147" ht="20" customHeight="1">
      <x:c r="A147" s="9" t="n">
        <x:v>46297</x:v>
      </x:c>
      <x:c r="B147" s="2" t="str">
        <x:v>Direct</x:v>
      </x:c>
      <x:c r="C147" s="2" t="n">
        <x:v>77</x:v>
      </x:c>
      <x:c r="D147" s="2" t="n">
        <x:v>13</x:v>
      </x:c>
      <x:c r="E147" s="2" t="n">
        <x:v>7</x:v>
      </x:c>
      <x:c r="F147" s="2" t="n">
        <x:v>1</x:v>
      </x:c>
    </x:row>
    <x:row r="148" ht="20" customHeight="1">
      <x:c r="A148" s="9" t="n">
        <x:v>46297</x:v>
      </x:c>
      <x:c r="B148" s="2" t="str">
        <x:v>Email</x:v>
      </x:c>
      <x:c r="C148" s="2" t="n">
        <x:v>234</x:v>
      </x:c>
      <x:c r="D148" s="2" t="n">
        <x:v>39</x:v>
      </x:c>
      <x:c r="E148" s="2" t="n">
        <x:v>22</x:v>
      </x:c>
      <x:c r="F148" s="2" t="n">
        <x:v>10</x:v>
      </x:c>
    </x:row>
    <x:row r="149" ht="20" customHeight="1">
      <x:c r="A149" s="9" t="n">
        <x:v>46297</x:v>
      </x:c>
      <x:c r="B149" s="2" t="str">
        <x:v>Organic Search</x:v>
      </x:c>
      <x:c r="C149" s="2" t="n">
        <x:v>150</x:v>
      </x:c>
      <x:c r="D149" s="2" t="n">
        <x:v>25</x:v>
      </x:c>
      <x:c r="E149" s="2" t="n">
        <x:v>14</x:v>
      </x:c>
      <x:c r="F149" s="2" t="n">
        <x:v>3</x:v>
      </x:c>
    </x:row>
    <x:row r="150" ht="20" customHeight="1">
      <x:c r="A150" s="9" t="n">
        <x:v>46297</x:v>
      </x:c>
      <x:c r="B150" s="2" t="str">
        <x:v>Paid Social</x:v>
      </x:c>
      <x:c r="C150" s="2" t="n">
        <x:v>170</x:v>
      </x:c>
      <x:c r="D150" s="2" t="n">
        <x:v>28</x:v>
      </x:c>
      <x:c r="E150" s="2" t="n">
        <x:v>16</x:v>
      </x:c>
      <x:c r="F150" s="2" t="n">
        <x:v>2</x:v>
      </x:c>
    </x:row>
    <x:row r="151" ht="20" customHeight="1">
      <x:c r="A151" s="9" t="n">
        <x:v>46298</x:v>
      </x:c>
      <x:c r="B151" s="2" t="str">
        <x:v>Direct</x:v>
      </x:c>
      <x:c r="C151" s="2" t="n">
        <x:v>183</x:v>
      </x:c>
      <x:c r="D151" s="2" t="n">
        <x:v>31</x:v>
      </x:c>
      <x:c r="E151" s="2" t="n">
        <x:v>17</x:v>
      </x:c>
      <x:c r="F151" s="2" t="n">
        <x:v>5</x:v>
      </x:c>
    </x:row>
    <x:row r="152" ht="20" customHeight="1">
      <x:c r="A152" s="9" t="n">
        <x:v>46298</x:v>
      </x:c>
      <x:c r="B152" s="2" t="str">
        <x:v>Email</x:v>
      </x:c>
      <x:c r="C152" s="2" t="n">
        <x:v>198</x:v>
      </x:c>
      <x:c r="D152" s="2" t="n">
        <x:v>33</x:v>
      </x:c>
      <x:c r="E152" s="2" t="n">
        <x:v>18</x:v>
      </x:c>
      <x:c r="F152" s="2" t="n">
        <x:v>8</x:v>
      </x:c>
    </x:row>
    <x:row r="153" ht="20" customHeight="1">
      <x:c r="A153" s="9" t="n">
        <x:v>46298</x:v>
      </x:c>
      <x:c r="B153" s="2" t="str">
        <x:v>Organic Search</x:v>
      </x:c>
      <x:c r="C153" s="2" t="n">
        <x:v>195</x:v>
      </x:c>
      <x:c r="D153" s="2" t="n">
        <x:v>33</x:v>
      </x:c>
      <x:c r="E153" s="2" t="n">
        <x:v>18</x:v>
      </x:c>
      <x:c r="F153" s="2" t="n">
        <x:v>5</x:v>
      </x:c>
    </x:row>
    <x:row r="154" ht="20" customHeight="1">
      <x:c r="A154" s="9" t="n">
        <x:v>46298</x:v>
      </x:c>
      <x:c r="B154" s="2" t="str">
        <x:v>Paid Social</x:v>
      </x:c>
      <x:c r="C154" s="2" t="n">
        <x:v>188</x:v>
      </x:c>
      <x:c r="D154" s="2" t="n">
        <x:v>31</x:v>
      </x:c>
      <x:c r="E154" s="2" t="n">
        <x:v>17</x:v>
      </x:c>
      <x:c r="F154" s="2" t="n">
        <x:v>3</x:v>
      </x:c>
    </x:row>
    <x:row r="155" ht="20" customHeight="1">
      <x:c r="A155" s="9" t="n">
        <x:v>46299</x:v>
      </x:c>
      <x:c r="B155" s="2" t="str">
        <x:v>Direct</x:v>
      </x:c>
      <x:c r="C155" s="2" t="n">
        <x:v>61</x:v>
      </x:c>
      <x:c r="D155" s="2" t="n">
        <x:v>10</x:v>
      </x:c>
      <x:c r="E155" s="2" t="n">
        <x:v>5</x:v>
      </x:c>
      <x:c r="F155" s="2" t="n">
        <x:v>0</x:v>
      </x:c>
    </x:row>
    <x:row r="156" ht="20" customHeight="1">
      <x:c r="A156" s="9" t="n">
        <x:v>46299</x:v>
      </x:c>
      <x:c r="B156" s="2" t="str">
        <x:v>Email</x:v>
      </x:c>
      <x:c r="C156" s="2" t="n">
        <x:v>83</x:v>
      </x:c>
      <x:c r="D156" s="2" t="n">
        <x:v>14</x:v>
      </x:c>
      <x:c r="E156" s="2" t="n">
        <x:v>7</x:v>
      </x:c>
      <x:c r="F156" s="2" t="n">
        <x:v>2</x:v>
      </x:c>
    </x:row>
    <x:row r="157" ht="20" customHeight="1">
      <x:c r="A157" s="9" t="n">
        <x:v>46299</x:v>
      </x:c>
      <x:c r="B157" s="2" t="str">
        <x:v>Organic Search</x:v>
      </x:c>
      <x:c r="C157" s="2" t="n">
        <x:v>165</x:v>
      </x:c>
      <x:c r="D157" s="2" t="n">
        <x:v>28</x:v>
      </x:c>
      <x:c r="E157" s="2" t="n">
        <x:v>15</x:v>
      </x:c>
      <x:c r="F157" s="2" t="n">
        <x:v>4</x:v>
      </x:c>
    </x:row>
    <x:row r="158" ht="20" customHeight="1">
      <x:c r="A158" s="9" t="n">
        <x:v>46299</x:v>
      </x:c>
      <x:c r="B158" s="2" t="str">
        <x:v>Paid Social</x:v>
      </x:c>
      <x:c r="C158" s="2" t="n">
        <x:v>189</x:v>
      </x:c>
      <x:c r="D158" s="2" t="n">
        <x:v>32</x:v>
      </x:c>
      <x:c r="E158" s="2" t="n">
        <x:v>17</x:v>
      </x:c>
      <x:c r="F158" s="2" t="n">
        <x:v>3</x:v>
      </x:c>
    </x:row>
    <x:row r="159" ht="20" customHeight="1">
      <x:c r="A159" s="9" t="n">
        <x:v>46300</x:v>
      </x:c>
      <x:c r="B159" s="2" t="str">
        <x:v>Direct</x:v>
      </x:c>
      <x:c r="C159" s="2" t="n">
        <x:v>198</x:v>
      </x:c>
      <x:c r="D159" s="2" t="n">
        <x:v>33</x:v>
      </x:c>
      <x:c r="E159" s="2" t="n">
        <x:v>18</x:v>
      </x:c>
      <x:c r="F159" s="2" t="n">
        <x:v>4</x:v>
      </x:c>
    </x:row>
    <x:row r="160" ht="20" customHeight="1">
      <x:c r="A160" s="9" t="n">
        <x:v>46300</x:v>
      </x:c>
      <x:c r="B160" s="2" t="str">
        <x:v>Email</x:v>
      </x:c>
      <x:c r="C160" s="2" t="n">
        <x:v>125</x:v>
      </x:c>
      <x:c r="D160" s="2" t="n">
        <x:v>21</x:v>
      </x:c>
      <x:c r="E160" s="2" t="n">
        <x:v>11</x:v>
      </x:c>
      <x:c r="F160" s="2" t="n">
        <x:v>4</x:v>
      </x:c>
    </x:row>
    <x:row r="161" ht="20" customHeight="1">
      <x:c r="A161" s="9" t="n">
        <x:v>46300</x:v>
      </x:c>
      <x:c r="B161" s="2" t="str">
        <x:v>Organic Search</x:v>
      </x:c>
      <x:c r="C161" s="2" t="n">
        <x:v>230</x:v>
      </x:c>
      <x:c r="D161" s="2" t="n">
        <x:v>39</x:v>
      </x:c>
      <x:c r="E161" s="2" t="n">
        <x:v>21</x:v>
      </x:c>
      <x:c r="F161" s="2" t="n">
        <x:v>8</x:v>
      </x:c>
    </x:row>
    <x:row r="162" ht="20" customHeight="1">
      <x:c r="A162" s="9" t="n">
        <x:v>46300</x:v>
      </x:c>
      <x:c r="B162" s="2" t="str">
        <x:v>Paid Social</x:v>
      </x:c>
      <x:c r="C162" s="2" t="n">
        <x:v>185</x:v>
      </x:c>
      <x:c r="D162" s="2" t="n">
        <x:v>31</x:v>
      </x:c>
      <x:c r="E162" s="2" t="n">
        <x:v>17</x:v>
      </x:c>
      <x:c r="F162" s="2" t="n">
        <x:v>3</x:v>
      </x:c>
    </x:row>
    <x:row r="163" ht="20" customHeight="1">
      <x:c r="A163" s="9" t="n">
        <x:v>46301</x:v>
      </x:c>
      <x:c r="B163" s="2" t="str">
        <x:v>Direct</x:v>
      </x:c>
      <x:c r="C163" s="2" t="n">
        <x:v>230</x:v>
      </x:c>
      <x:c r="D163" s="2" t="n">
        <x:v>39</x:v>
      </x:c>
      <x:c r="E163" s="2" t="n">
        <x:v>21</x:v>
      </x:c>
      <x:c r="F163" s="2" t="n">
        <x:v>6</x:v>
      </x:c>
    </x:row>
    <x:row r="164" ht="20" customHeight="1">
      <x:c r="A164" s="9" t="n">
        <x:v>46301</x:v>
      </x:c>
      <x:c r="B164" s="2" t="str">
        <x:v>Email</x:v>
      </x:c>
      <x:c r="C164" s="2" t="n">
        <x:v>63</x:v>
      </x:c>
      <x:c r="D164" s="2" t="n">
        <x:v>10</x:v>
      </x:c>
      <x:c r="E164" s="2" t="n">
        <x:v>5</x:v>
      </x:c>
      <x:c r="F164" s="2" t="n">
        <x:v>2</x:v>
      </x:c>
    </x:row>
    <x:row r="165" ht="20" customHeight="1">
      <x:c r="A165" s="9" t="n">
        <x:v>46301</x:v>
      </x:c>
      <x:c r="B165" s="2" t="str">
        <x:v>Organic Search</x:v>
      </x:c>
      <x:c r="C165" s="2" t="n">
        <x:v>204</x:v>
      </x:c>
      <x:c r="D165" s="2" t="n">
        <x:v>34</x:v>
      </x:c>
      <x:c r="E165" s="2" t="n">
        <x:v>19</x:v>
      </x:c>
      <x:c r="F165" s="2" t="n">
        <x:v>5</x:v>
      </x:c>
    </x:row>
    <x:row r="166" ht="20" customHeight="1">
      <x:c r="A166" s="9" t="n">
        <x:v>46301</x:v>
      </x:c>
      <x:c r="B166" s="2" t="str">
        <x:v>Paid Social</x:v>
      </x:c>
      <x:c r="C166" s="2" t="n">
        <x:v>164</x:v>
      </x:c>
      <x:c r="D166" s="2" t="n">
        <x:v>27</x:v>
      </x:c>
      <x:c r="E166" s="2" t="n">
        <x:v>15</x:v>
      </x:c>
      <x:c r="F166" s="2" t="n">
        <x:v>2</x:v>
      </x:c>
    </x:row>
    <x:row r="167" ht="20" customHeight="1">
      <x:c r="A167" s="9" t="n">
        <x:v>46302</x:v>
      </x:c>
      <x:c r="B167" s="2" t="str">
        <x:v>Direct</x:v>
      </x:c>
      <x:c r="C167" s="2" t="n">
        <x:v>157</x:v>
      </x:c>
      <x:c r="D167" s="2" t="n">
        <x:v>26</x:v>
      </x:c>
      <x:c r="E167" s="2" t="n">
        <x:v>14</x:v>
      </x:c>
      <x:c r="F167" s="2" t="n">
        <x:v>3</x:v>
      </x:c>
    </x:row>
    <x:row r="168" ht="20" customHeight="1">
      <x:c r="A168" s="9" t="n">
        <x:v>46302</x:v>
      </x:c>
      <x:c r="B168" s="2" t="str">
        <x:v>Email</x:v>
      </x:c>
      <x:c r="C168" s="2" t="n">
        <x:v>73</x:v>
      </x:c>
      <x:c r="D168" s="2" t="n">
        <x:v>12</x:v>
      </x:c>
      <x:c r="E168" s="2" t="n">
        <x:v>6</x:v>
      </x:c>
      <x:c r="F168" s="2" t="n">
        <x:v>2</x:v>
      </x:c>
    </x:row>
    <x:row r="169" ht="20" customHeight="1">
      <x:c r="A169" s="9" t="n">
        <x:v>46302</x:v>
      </x:c>
      <x:c r="B169" s="2" t="str">
        <x:v>Organic Search</x:v>
      </x:c>
      <x:c r="C169" s="2" t="n">
        <x:v>174</x:v>
      </x:c>
      <x:c r="D169" s="2" t="n">
        <x:v>29</x:v>
      </x:c>
      <x:c r="E169" s="2" t="n">
        <x:v>16</x:v>
      </x:c>
      <x:c r="F169" s="2" t="n">
        <x:v>5</x:v>
      </x:c>
    </x:row>
    <x:row r="170" ht="20" customHeight="1">
      <x:c r="A170" s="9" t="n">
        <x:v>46302</x:v>
      </x:c>
      <x:c r="B170" s="2" t="str">
        <x:v>Paid Social</x:v>
      </x:c>
      <x:c r="C170" s="2" t="n">
        <x:v>222</x:v>
      </x:c>
      <x:c r="D170" s="2" t="n">
        <x:v>37</x:v>
      </x:c>
      <x:c r="E170" s="2" t="n">
        <x:v>21</x:v>
      </x:c>
      <x:c r="F170" s="2" t="n">
        <x:v>3</x:v>
      </x:c>
    </x:row>
    <x:row r="171" ht="20" customHeight="1">
      <x:c r="A171" s="9" t="n">
        <x:v>46303</x:v>
      </x:c>
      <x:c r="B171" s="2" t="str">
        <x:v>Direct</x:v>
      </x:c>
      <x:c r="C171" s="2" t="n">
        <x:v>101</x:v>
      </x:c>
      <x:c r="D171" s="2" t="n">
        <x:v>17</x:v>
      </x:c>
      <x:c r="E171" s="2" t="n">
        <x:v>9</x:v>
      </x:c>
      <x:c r="F171" s="2" t="n">
        <x:v>2</x:v>
      </x:c>
    </x:row>
    <x:row r="172" ht="20" customHeight="1">
      <x:c r="A172" s="9" t="n">
        <x:v>46303</x:v>
      </x:c>
      <x:c r="B172" s="2" t="str">
        <x:v>Email</x:v>
      </x:c>
      <x:c r="C172" s="2" t="n">
        <x:v>54</x:v>
      </x:c>
      <x:c r="D172" s="2" t="n">
        <x:v>9</x:v>
      </x:c>
      <x:c r="E172" s="2" t="n">
        <x:v>5</x:v>
      </x:c>
      <x:c r="F172" s="2" t="n">
        <x:v>1</x:v>
      </x:c>
    </x:row>
    <x:row r="173" ht="20" customHeight="1">
      <x:c r="A173" s="9" t="n">
        <x:v>46303</x:v>
      </x:c>
      <x:c r="B173" s="2" t="str">
        <x:v>Organic Search</x:v>
      </x:c>
      <x:c r="C173" s="2" t="n">
        <x:v>112</x:v>
      </x:c>
      <x:c r="D173" s="2" t="n">
        <x:v>19</x:v>
      </x:c>
      <x:c r="E173" s="2" t="n">
        <x:v>10</x:v>
      </x:c>
      <x:c r="F173" s="2" t="n">
        <x:v>3</x:v>
      </x:c>
    </x:row>
    <x:row r="174" ht="20" customHeight="1">
      <x:c r="A174" s="9" t="n">
        <x:v>46303</x:v>
      </x:c>
      <x:c r="B174" s="2" t="str">
        <x:v>Paid Social</x:v>
      </x:c>
      <x:c r="C174" s="2" t="n">
        <x:v>242</x:v>
      </x:c>
      <x:c r="D174" s="2" t="n">
        <x:v>41</x:v>
      </x:c>
      <x:c r="E174" s="2" t="n">
        <x:v>22</x:v>
      </x:c>
      <x:c r="F174" s="2" t="n">
        <x:v>4</x:v>
      </x:c>
    </x:row>
    <x:row r="175" ht="20" customHeight="1">
      <x:c r="A175" s="9" t="n">
        <x:v>46304</x:v>
      </x:c>
      <x:c r="B175" s="2" t="str">
        <x:v>Direct</x:v>
      </x:c>
      <x:c r="C175" s="2" t="n">
        <x:v>78</x:v>
      </x:c>
      <x:c r="D175" s="2" t="n">
        <x:v>13</x:v>
      </x:c>
      <x:c r="E175" s="2" t="n">
        <x:v>7</x:v>
      </x:c>
      <x:c r="F175" s="2" t="n">
        <x:v>1</x:v>
      </x:c>
    </x:row>
    <x:row r="176" ht="20" customHeight="1">
      <x:c r="A176" s="9" t="n">
        <x:v>46304</x:v>
      </x:c>
      <x:c r="B176" s="2" t="str">
        <x:v>Email</x:v>
      </x:c>
      <x:c r="C176" s="2" t="n">
        <x:v>41</x:v>
      </x:c>
      <x:c r="D176" s="2" t="n">
        <x:v>6</x:v>
      </x:c>
      <x:c r="E176" s="2" t="n">
        <x:v>3</x:v>
      </x:c>
      <x:c r="F176" s="2" t="n">
        <x:v>0</x:v>
      </x:c>
    </x:row>
    <x:row r="177" ht="20" customHeight="1">
      <x:c r="A177" s="9" t="n">
        <x:v>46304</x:v>
      </x:c>
      <x:c r="B177" s="2" t="str">
        <x:v>Organic Search</x:v>
      </x:c>
      <x:c r="C177" s="2" t="n">
        <x:v>264</x:v>
      </x:c>
      <x:c r="D177" s="2" t="n">
        <x:v>44</x:v>
      </x:c>
      <x:c r="E177" s="2" t="n">
        <x:v>25</x:v>
      </x:c>
      <x:c r="F177" s="2" t="n">
        <x:v>7</x:v>
      </x:c>
    </x:row>
    <x:row r="178" ht="20" customHeight="1">
      <x:c r="A178" s="9" t="n">
        <x:v>46304</x:v>
      </x:c>
      <x:c r="B178" s="2" t="str">
        <x:v>Paid Social</x:v>
      </x:c>
      <x:c r="C178" s="2" t="n">
        <x:v>274</x:v>
      </x:c>
      <x:c r="D178" s="2" t="n">
        <x:v>46</x:v>
      </x:c>
      <x:c r="E178" s="2" t="n">
        <x:v>26</x:v>
      </x:c>
      <x:c r="F178" s="2" t="n">
        <x:v>4</x:v>
      </x:c>
    </x:row>
    <x:row r="179" ht="20" customHeight="1">
      <x:c r="A179" s="9" t="n">
        <x:v>46305</x:v>
      </x:c>
      <x:c r="B179" s="2" t="str">
        <x:v>Direct</x:v>
      </x:c>
      <x:c r="C179" s="2" t="n">
        <x:v>134</x:v>
      </x:c>
      <x:c r="D179" s="2" t="n">
        <x:v>22</x:v>
      </x:c>
      <x:c r="E179" s="2" t="n">
        <x:v>12</x:v>
      </x:c>
      <x:c r="F179" s="2" t="n">
        <x:v>2</x:v>
      </x:c>
    </x:row>
    <x:row r="180" ht="20" customHeight="1">
      <x:c r="A180" s="9" t="n">
        <x:v>46305</x:v>
      </x:c>
      <x:c r="B180" s="2" t="str">
        <x:v>Email</x:v>
      </x:c>
      <x:c r="C180" s="2" t="n">
        <x:v>67</x:v>
      </x:c>
      <x:c r="D180" s="2" t="n">
        <x:v>11</x:v>
      </x:c>
      <x:c r="E180" s="2" t="n">
        <x:v>6</x:v>
      </x:c>
      <x:c r="F180" s="2" t="n">
        <x:v>2</x:v>
      </x:c>
    </x:row>
    <x:row r="181" ht="20" customHeight="1">
      <x:c r="A181" s="9" t="n">
        <x:v>46305</x:v>
      </x:c>
      <x:c r="B181" s="2" t="str">
        <x:v>Organic Search</x:v>
      </x:c>
      <x:c r="C181" s="2" t="n">
        <x:v>126</x:v>
      </x:c>
      <x:c r="D181" s="2" t="n">
        <x:v>21</x:v>
      </x:c>
      <x:c r="E181" s="2" t="n">
        <x:v>11</x:v>
      </x:c>
      <x:c r="F181" s="2" t="n">
        <x:v>3</x:v>
      </x:c>
    </x:row>
    <x:row r="182" ht="20" customHeight="1">
      <x:c r="A182" s="9" t="n">
        <x:v>46305</x:v>
      </x:c>
      <x:c r="B182" s="2" t="str">
        <x:v>Paid Social</x:v>
      </x:c>
      <x:c r="C182" s="2" t="n">
        <x:v>206</x:v>
      </x:c>
      <x:c r="D182" s="2" t="n">
        <x:v>35</x:v>
      </x:c>
      <x:c r="E182" s="2" t="n">
        <x:v>19</x:v>
      </x:c>
      <x:c r="F182" s="2" t="n">
        <x:v>3</x:v>
      </x:c>
    </x:row>
    <x:row r="183" ht="20" customHeight="1">
      <x:c r="A183" s="9" t="n">
        <x:v>46306</x:v>
      </x:c>
      <x:c r="B183" s="2" t="str">
        <x:v>Direct</x:v>
      </x:c>
      <x:c r="C183" s="2" t="n">
        <x:v>65</x:v>
      </x:c>
      <x:c r="D183" s="2" t="n">
        <x:v>11</x:v>
      </x:c>
      <x:c r="E183" s="2" t="n">
        <x:v>6</x:v>
      </x:c>
      <x:c r="F183" s="2" t="n">
        <x:v>0</x:v>
      </x:c>
    </x:row>
    <x:row r="184" ht="20" customHeight="1">
      <x:c r="A184" s="9" t="n">
        <x:v>46306</x:v>
      </x:c>
      <x:c r="B184" s="2" t="str">
        <x:v>Email</x:v>
      </x:c>
      <x:c r="C184" s="2" t="n">
        <x:v>57</x:v>
      </x:c>
      <x:c r="D184" s="2" t="n">
        <x:v>9</x:v>
      </x:c>
      <x:c r="E184" s="2" t="n">
        <x:v>5</x:v>
      </x:c>
      <x:c r="F184" s="2" t="n">
        <x:v>1</x:v>
      </x:c>
    </x:row>
    <x:row r="185" ht="20" customHeight="1">
      <x:c r="A185" s="9" t="n">
        <x:v>46306</x:v>
      </x:c>
      <x:c r="B185" s="2" t="str">
        <x:v>Organic Search</x:v>
      </x:c>
      <x:c r="C185" s="2" t="n">
        <x:v>319</x:v>
      </x:c>
      <x:c r="D185" s="2" t="n">
        <x:v>54</x:v>
      </x:c>
      <x:c r="E185" s="2" t="n">
        <x:v>30</x:v>
      </x:c>
      <x:c r="F185" s="2" t="n">
        <x:v>10</x:v>
      </x:c>
    </x:row>
    <x:row r="186" ht="20" customHeight="1">
      <x:c r="A186" s="9" t="n">
        <x:v>46306</x:v>
      </x:c>
      <x:c r="B186" s="2" t="str">
        <x:v>Paid Social</x:v>
      </x:c>
      <x:c r="C186" s="2" t="n">
        <x:v>362</x:v>
      </x:c>
      <x:c r="D186" s="2" t="n">
        <x:v>61</x:v>
      </x:c>
      <x:c r="E186" s="2" t="n">
        <x:v>34</x:v>
      </x:c>
      <x:c r="F186" s="2" t="n">
        <x:v>7</x:v>
      </x:c>
    </x:row>
    <x:row r="187" ht="20" customHeight="1">
      <x:c r="A187" s="9" t="n">
        <x:v>46307</x:v>
      </x:c>
      <x:c r="B187" s="2" t="str">
        <x:v>Direct</x:v>
      </x:c>
      <x:c r="C187" s="2" t="n">
        <x:v>160</x:v>
      </x:c>
      <x:c r="D187" s="2" t="n">
        <x:v>27</x:v>
      </x:c>
      <x:c r="E187" s="2" t="n">
        <x:v>15</x:v>
      </x:c>
      <x:c r="F187" s="2" t="n">
        <x:v>4</x:v>
      </x:c>
    </x:row>
    <x:row r="188" ht="20" customHeight="1">
      <x:c r="A188" s="9" t="n">
        <x:v>46307</x:v>
      </x:c>
      <x:c r="B188" s="2" t="str">
        <x:v>Email</x:v>
      </x:c>
      <x:c r="C188" s="2" t="n">
        <x:v>109</x:v>
      </x:c>
      <x:c r="D188" s="2" t="n">
        <x:v>18</x:v>
      </x:c>
      <x:c r="E188" s="2" t="n">
        <x:v>10</x:v>
      </x:c>
      <x:c r="F188" s="2" t="n">
        <x:v>4</x:v>
      </x:c>
    </x:row>
    <x:row r="189" ht="20" customHeight="1">
      <x:c r="A189" s="9" t="n">
        <x:v>46307</x:v>
      </x:c>
      <x:c r="B189" s="2" t="str">
        <x:v>Organic Search</x:v>
      </x:c>
      <x:c r="C189" s="2" t="n">
        <x:v>190</x:v>
      </x:c>
      <x:c r="D189" s="2" t="n">
        <x:v>32</x:v>
      </x:c>
      <x:c r="E189" s="2" t="n">
        <x:v>18</x:v>
      </x:c>
      <x:c r="F189" s="2" t="n">
        <x:v>6</x:v>
      </x:c>
    </x:row>
    <x:row r="190" ht="20" customHeight="1">
      <x:c r="A190" s="9" t="n">
        <x:v>46307</x:v>
      </x:c>
      <x:c r="B190" s="2" t="str">
        <x:v>Paid Social</x:v>
      </x:c>
      <x:c r="C190" s="2" t="n">
        <x:v>301</x:v>
      </x:c>
      <x:c r="D190" s="2" t="n">
        <x:v>51</x:v>
      </x:c>
      <x:c r="E190" s="2" t="n">
        <x:v>28</x:v>
      </x:c>
      <x:c r="F190" s="2" t="n">
        <x:v>5</x:v>
      </x:c>
    </x:row>
    <x:row r="191" ht="20" customHeight="1">
      <x:c r="A191" s="9" t="n">
        <x:v>46308</x:v>
      </x:c>
      <x:c r="B191" s="2" t="str">
        <x:v>Direct</x:v>
      </x:c>
      <x:c r="C191" s="2" t="n">
        <x:v>139</x:v>
      </x:c>
      <x:c r="D191" s="2" t="n">
        <x:v>23</x:v>
      </x:c>
      <x:c r="E191" s="2" t="n">
        <x:v>13</x:v>
      </x:c>
      <x:c r="F191" s="2" t="n">
        <x:v>3</x:v>
      </x:c>
    </x:row>
    <x:row r="192" ht="20" customHeight="1">
      <x:c r="A192" s="9" t="n">
        <x:v>46308</x:v>
      </x:c>
      <x:c r="B192" s="2" t="str">
        <x:v>Email</x:v>
      </x:c>
      <x:c r="C192" s="2" t="n">
        <x:v>110</x:v>
      </x:c>
      <x:c r="D192" s="2" t="n">
        <x:v>18</x:v>
      </x:c>
      <x:c r="E192" s="2" t="n">
        <x:v>10</x:v>
      </x:c>
      <x:c r="F192" s="2" t="n">
        <x:v>4</x:v>
      </x:c>
    </x:row>
    <x:row r="193" ht="20" customHeight="1">
      <x:c r="A193" s="9" t="n">
        <x:v>46308</x:v>
      </x:c>
      <x:c r="B193" s="2" t="str">
        <x:v>Organic Search</x:v>
      </x:c>
      <x:c r="C193" s="2" t="n">
        <x:v>281</x:v>
      </x:c>
      <x:c r="D193" s="2" t="n">
        <x:v>47</x:v>
      </x:c>
      <x:c r="E193" s="2" t="n">
        <x:v>26</x:v>
      </x:c>
      <x:c r="F193" s="2" t="n">
        <x:v>8</x:v>
      </x:c>
    </x:row>
    <x:row r="194" ht="20" customHeight="1">
      <x:c r="A194" s="9" t="n">
        <x:v>46308</x:v>
      </x:c>
      <x:c r="B194" s="2" t="str">
        <x:v>Paid Social</x:v>
      </x:c>
      <x:c r="C194" s="2" t="n">
        <x:v>431</x:v>
      </x:c>
      <x:c r="D194" s="2" t="n">
        <x:v>73</x:v>
      </x:c>
      <x:c r="E194" s="2" t="n">
        <x:v>40</x:v>
      </x:c>
      <x:c r="F194" s="2" t="n">
        <x:v>8</x:v>
      </x:c>
    </x:row>
    <x:row r="195" ht="20" customHeight="1">
      <x:c r="A195" s="9" t="n">
        <x:v>46309</x:v>
      </x:c>
      <x:c r="B195" s="2" t="str">
        <x:v>Direct</x:v>
      </x:c>
      <x:c r="C195" s="2" t="n">
        <x:v>114</x:v>
      </x:c>
      <x:c r="D195" s="2" t="n">
        <x:v>19</x:v>
      </x:c>
      <x:c r="E195" s="2" t="n">
        <x:v>10</x:v>
      </x:c>
      <x:c r="F195" s="2" t="n">
        <x:v>2</x:v>
      </x:c>
    </x:row>
    <x:row r="196" ht="20" customHeight="1">
      <x:c r="A196" s="9" t="n">
        <x:v>46309</x:v>
      </x:c>
      <x:c r="B196" s="2" t="str">
        <x:v>Email</x:v>
      </x:c>
      <x:c r="C196" s="2" t="n">
        <x:v>142</x:v>
      </x:c>
      <x:c r="D196" s="2" t="n">
        <x:v>24</x:v>
      </x:c>
      <x:c r="E196" s="2" t="n">
        <x:v>13</x:v>
      </x:c>
      <x:c r="F196" s="2" t="n">
        <x:v>6</x:v>
      </x:c>
    </x:row>
    <x:row r="197" ht="20" customHeight="1">
      <x:c r="A197" s="9" t="n">
        <x:v>46309</x:v>
      </x:c>
      <x:c r="B197" s="2" t="str">
        <x:v>Organic Search</x:v>
      </x:c>
      <x:c r="C197" s="2" t="n">
        <x:v>197</x:v>
      </x:c>
      <x:c r="D197" s="2" t="n">
        <x:v>33</x:v>
      </x:c>
      <x:c r="E197" s="2" t="n">
        <x:v>18</x:v>
      </x:c>
      <x:c r="F197" s="2" t="n">
        <x:v>5</x:v>
      </x:c>
    </x:row>
    <x:row r="198" ht="20" customHeight="1">
      <x:c r="A198" s="9" t="n">
        <x:v>46309</x:v>
      </x:c>
      <x:c r="B198" s="2" t="str">
        <x:v>Paid Social</x:v>
      </x:c>
      <x:c r="C198" s="2" t="n">
        <x:v>291</x:v>
      </x:c>
      <x:c r="D198" s="2" t="n">
        <x:v>49</x:v>
      </x:c>
      <x:c r="E198" s="2" t="n">
        <x:v>27</x:v>
      </x:c>
      <x:c r="F198" s="2" t="n">
        <x:v>5</x:v>
      </x:c>
    </x:row>
    <x:row r="199" ht="20" customHeight="1">
      <x:c r="A199" s="9" t="n">
        <x:v>46310</x:v>
      </x:c>
      <x:c r="B199" s="2" t="str">
        <x:v>Direct</x:v>
      </x:c>
      <x:c r="C199" s="2" t="n">
        <x:v>154</x:v>
      </x:c>
      <x:c r="D199" s="2" t="n">
        <x:v>26</x:v>
      </x:c>
      <x:c r="E199" s="2" t="n">
        <x:v>14</x:v>
      </x:c>
      <x:c r="F199" s="2" t="n">
        <x:v>3</x:v>
      </x:c>
    </x:row>
    <x:row r="200" ht="20" customHeight="1">
      <x:c r="A200" s="9" t="n">
        <x:v>46310</x:v>
      </x:c>
      <x:c r="B200" s="2" t="str">
        <x:v>Email</x:v>
      </x:c>
      <x:c r="C200" s="2" t="n">
        <x:v>93</x:v>
      </x:c>
      <x:c r="D200" s="2" t="n">
        <x:v>15</x:v>
      </x:c>
      <x:c r="E200" s="2" t="n">
        <x:v>8</x:v>
      </x:c>
      <x:c r="F200" s="2" t="n">
        <x:v>4</x:v>
      </x:c>
    </x:row>
    <x:row r="201" ht="20" customHeight="1">
      <x:c r="A201" s="9" t="n">
        <x:v>46310</x:v>
      </x:c>
      <x:c r="B201" s="2" t="str">
        <x:v>Organic Search</x:v>
      </x:c>
      <x:c r="C201" s="2" t="n">
        <x:v>258</x:v>
      </x:c>
      <x:c r="D201" s="2" t="n">
        <x:v>43</x:v>
      </x:c>
      <x:c r="E201" s="2" t="n">
        <x:v>24</x:v>
      </x:c>
      <x:c r="F201" s="2" t="n">
        <x:v>7</x:v>
      </x:c>
    </x:row>
    <x:row r="202" ht="20" customHeight="1">
      <x:c r="A202" s="9" t="n">
        <x:v>46310</x:v>
      </x:c>
      <x:c r="B202" s="2" t="str">
        <x:v>Paid Social</x:v>
      </x:c>
      <x:c r="C202" s="2" t="n">
        <x:v>248</x:v>
      </x:c>
      <x:c r="D202" s="2" t="n">
        <x:v>42</x:v>
      </x:c>
      <x:c r="E202" s="2" t="n">
        <x:v>23</x:v>
      </x:c>
      <x:c r="F202" s="2" t="n">
        <x:v>4</x:v>
      </x:c>
    </x:row>
    <x:row r="203" ht="20" customHeight="1">
      <x:c r="A203" s="9" t="n">
        <x:v>46311</x:v>
      </x:c>
      <x:c r="B203" s="2" t="str">
        <x:v>Direct</x:v>
      </x:c>
      <x:c r="C203" s="2" t="n">
        <x:v>111</x:v>
      </x:c>
      <x:c r="D203" s="2" t="n">
        <x:v>18</x:v>
      </x:c>
      <x:c r="E203" s="2" t="n">
        <x:v>10</x:v>
      </x:c>
      <x:c r="F203" s="2" t="n">
        <x:v>2</x:v>
      </x:c>
    </x:row>
    <x:row r="204" ht="20" customHeight="1">
      <x:c r="A204" s="9" t="n">
        <x:v>46311</x:v>
      </x:c>
      <x:c r="B204" s="2" t="str">
        <x:v>Email</x:v>
      </x:c>
      <x:c r="C204" s="2" t="n">
        <x:v>119</x:v>
      </x:c>
      <x:c r="D204" s="2" t="n">
        <x:v>20</x:v>
      </x:c>
      <x:c r="E204" s="2" t="n">
        <x:v>11</x:v>
      </x:c>
      <x:c r="F204" s="2" t="n">
        <x:v>4</x:v>
      </x:c>
    </x:row>
    <x:row r="205" ht="20" customHeight="1">
      <x:c r="A205" s="9" t="n">
        <x:v>46311</x:v>
      </x:c>
      <x:c r="B205" s="2" t="str">
        <x:v>Organic Search</x:v>
      </x:c>
      <x:c r="C205" s="2" t="n">
        <x:v>266</x:v>
      </x:c>
      <x:c r="D205" s="2" t="n">
        <x:v>45</x:v>
      </x:c>
      <x:c r="E205" s="2" t="n">
        <x:v>25</x:v>
      </x:c>
      <x:c r="F205" s="2" t="n">
        <x:v>9</x:v>
      </x:c>
    </x:row>
    <x:row r="206" ht="20" customHeight="1">
      <x:c r="A206" s="9" t="n">
        <x:v>46311</x:v>
      </x:c>
      <x:c r="B206" s="2" t="str">
        <x:v>Paid Social</x:v>
      </x:c>
      <x:c r="C206" s="2" t="n">
        <x:v>322</x:v>
      </x:c>
      <x:c r="D206" s="2" t="n">
        <x:v>54</x:v>
      </x:c>
      <x:c r="E206" s="2" t="n">
        <x:v>30</x:v>
      </x:c>
      <x:c r="F206" s="2" t="n">
        <x:v>6</x:v>
      </x:c>
    </x:row>
    <x:row r="207" ht="20" customHeight="1">
      <x:c r="A207" s="9" t="n">
        <x:v>46312</x:v>
      </x:c>
      <x:c r="B207" s="2" t="str">
        <x:v>Direct</x:v>
      </x:c>
      <x:c r="C207" s="2" t="n">
        <x:v>134</x:v>
      </x:c>
      <x:c r="D207" s="2" t="n">
        <x:v>22</x:v>
      </x:c>
      <x:c r="E207" s="2" t="n">
        <x:v>12</x:v>
      </x:c>
      <x:c r="F207" s="2" t="n">
        <x:v>3</x:v>
      </x:c>
    </x:row>
    <x:row r="208" ht="20" customHeight="1">
      <x:c r="A208" s="9" t="n">
        <x:v>46312</x:v>
      </x:c>
      <x:c r="B208" s="2" t="str">
        <x:v>Email</x:v>
      </x:c>
      <x:c r="C208" s="2" t="n">
        <x:v>113</x:v>
      </x:c>
      <x:c r="D208" s="2" t="n">
        <x:v>19</x:v>
      </x:c>
      <x:c r="E208" s="2" t="n">
        <x:v>10</x:v>
      </x:c>
      <x:c r="F208" s="2" t="n">
        <x:v>5</x:v>
      </x:c>
    </x:row>
    <x:row r="209" ht="20" customHeight="1">
      <x:c r="A209" s="9" t="n">
        <x:v>46312</x:v>
      </x:c>
      <x:c r="B209" s="2" t="str">
        <x:v>Organic Search</x:v>
      </x:c>
      <x:c r="C209" s="2" t="n">
        <x:v>149</x:v>
      </x:c>
      <x:c r="D209" s="2" t="n">
        <x:v>25</x:v>
      </x:c>
      <x:c r="E209" s="2" t="n">
        <x:v>14</x:v>
      </x:c>
      <x:c r="F209" s="2" t="n">
        <x:v>4</x:v>
      </x:c>
    </x:row>
    <x:row r="210" ht="20" customHeight="1">
      <x:c r="A210" s="9" t="n">
        <x:v>46312</x:v>
      </x:c>
      <x:c r="B210" s="2" t="str">
        <x:v>Paid Social</x:v>
      </x:c>
      <x:c r="C210" s="2" t="n">
        <x:v>527</x:v>
      </x:c>
      <x:c r="D210" s="2" t="n">
        <x:v>89</x:v>
      </x:c>
      <x:c r="E210" s="2" t="n">
        <x:v>50</x:v>
      </x:c>
      <x:c r="F210" s="2" t="n">
        <x:v>10</x:v>
      </x:c>
    </x:row>
    <x:row r="211" ht="20" customHeight="1">
      <x:c r="A211" s="9" t="n">
        <x:v>46313</x:v>
      </x:c>
      <x:c r="B211" s="2" t="str">
        <x:v>Direct</x:v>
      </x:c>
      <x:c r="C211" s="2" t="n">
        <x:v>130</x:v>
      </x:c>
      <x:c r="D211" s="2" t="n">
        <x:v>22</x:v>
      </x:c>
      <x:c r="E211" s="2" t="n">
        <x:v>12</x:v>
      </x:c>
      <x:c r="F211" s="2" t="n">
        <x:v>2</x:v>
      </x:c>
    </x:row>
    <x:row r="212" ht="20" customHeight="1">
      <x:c r="A212" s="9" t="n">
        <x:v>46313</x:v>
      </x:c>
      <x:c r="B212" s="2" t="str">
        <x:v>Email</x:v>
      </x:c>
      <x:c r="C212" s="2" t="n">
        <x:v>163</x:v>
      </x:c>
      <x:c r="D212" s="2" t="n">
        <x:v>27</x:v>
      </x:c>
      <x:c r="E212" s="2" t="n">
        <x:v>15</x:v>
      </x:c>
      <x:c r="F212" s="2" t="n">
        <x:v>6</x:v>
      </x:c>
    </x:row>
    <x:row r="213" ht="20" customHeight="1">
      <x:c r="A213" s="9" t="n">
        <x:v>46313</x:v>
      </x:c>
      <x:c r="B213" s="2" t="str">
        <x:v>Organic Search</x:v>
      </x:c>
      <x:c r="C213" s="2" t="n">
        <x:v>238</x:v>
      </x:c>
      <x:c r="D213" s="2" t="n">
        <x:v>40</x:v>
      </x:c>
      <x:c r="E213" s="2" t="n">
        <x:v>22</x:v>
      </x:c>
      <x:c r="F213" s="2" t="n">
        <x:v>8</x:v>
      </x:c>
    </x:row>
    <x:row r="214" ht="20" customHeight="1">
      <x:c r="A214" s="9" t="n">
        <x:v>46313</x:v>
      </x:c>
      <x:c r="B214" s="2" t="str">
        <x:v>Paid Social</x:v>
      </x:c>
      <x:c r="C214" s="2" t="n">
        <x:v>327</x:v>
      </x:c>
      <x:c r="D214" s="2" t="n">
        <x:v>55</x:v>
      </x:c>
      <x:c r="E214" s="2" t="n">
        <x:v>31</x:v>
      </x:c>
      <x:c r="F214" s="2" t="n">
        <x:v>5</x:v>
      </x:c>
    </x:row>
    <x:row r="215" ht="20" customHeight="1">
      <x:c r="A215" s="9" t="n">
        <x:v>46314</x:v>
      </x:c>
      <x:c r="B215" s="2" t="str">
        <x:v>Direct</x:v>
      </x:c>
      <x:c r="C215" s="2" t="n">
        <x:v>113</x:v>
      </x:c>
      <x:c r="D215" s="2" t="n">
        <x:v>19</x:v>
      </x:c>
      <x:c r="E215" s="2" t="n">
        <x:v>10</x:v>
      </x:c>
      <x:c r="F215" s="2" t="n">
        <x:v>2</x:v>
      </x:c>
    </x:row>
    <x:row r="216" ht="20" customHeight="1">
      <x:c r="A216" s="9" t="n">
        <x:v>46314</x:v>
      </x:c>
      <x:c r="B216" s="2" t="str">
        <x:v>Email</x:v>
      </x:c>
      <x:c r="C216" s="2" t="n">
        <x:v>110</x:v>
      </x:c>
      <x:c r="D216" s="2" t="n">
        <x:v>18</x:v>
      </x:c>
      <x:c r="E216" s="2" t="n">
        <x:v>10</x:v>
      </x:c>
      <x:c r="F216" s="2" t="n">
        <x:v>5</x:v>
      </x:c>
    </x:row>
    <x:row r="217" ht="20" customHeight="1">
      <x:c r="A217" s="9" t="n">
        <x:v>46314</x:v>
      </x:c>
      <x:c r="B217" s="2" t="str">
        <x:v>Organic Search</x:v>
      </x:c>
      <x:c r="C217" s="2" t="n">
        <x:v>383</x:v>
      </x:c>
      <x:c r="D217" s="2" t="n">
        <x:v>65</x:v>
      </x:c>
      <x:c r="E217" s="2" t="n">
        <x:v>36</x:v>
      </x:c>
      <x:c r="F217" s="2" t="n">
        <x:v>13</x:v>
      </x:c>
    </x:row>
    <x:row r="218" ht="20" customHeight="1">
      <x:c r="A218" s="9" t="n">
        <x:v>46314</x:v>
      </x:c>
      <x:c r="B218" s="2" t="str">
        <x:v>Paid Social</x:v>
      </x:c>
      <x:c r="C218" s="2" t="n">
        <x:v>240</x:v>
      </x:c>
      <x:c r="D218" s="2" t="n">
        <x:v>40</x:v>
      </x:c>
      <x:c r="E218" s="2" t="n">
        <x:v>22</x:v>
      </x:c>
      <x:c r="F218" s="2" t="n">
        <x:v>3</x:v>
      </x:c>
    </x:row>
    <x:row r="219" ht="20" customHeight="1">
      <x:c r="A219" s="9" t="n">
        <x:v>46315</x:v>
      </x:c>
      <x:c r="B219" s="2" t="str">
        <x:v>Direct</x:v>
      </x:c>
      <x:c r="C219" s="2" t="n">
        <x:v>165</x:v>
      </x:c>
      <x:c r="D219" s="2" t="n">
        <x:v>28</x:v>
      </x:c>
      <x:c r="E219" s="2" t="n">
        <x:v>15</x:v>
      </x:c>
      <x:c r="F219" s="2" t="n">
        <x:v>3</x:v>
      </x:c>
    </x:row>
    <x:row r="220" ht="20" customHeight="1">
      <x:c r="A220" s="9" t="n">
        <x:v>46315</x:v>
      </x:c>
      <x:c r="B220" s="2" t="str">
        <x:v>Email</x:v>
      </x:c>
      <x:c r="C220" s="2" t="n">
        <x:v>152</x:v>
      </x:c>
      <x:c r="D220" s="2" t="n">
        <x:v>25</x:v>
      </x:c>
      <x:c r="E220" s="2" t="n">
        <x:v>14</x:v>
      </x:c>
      <x:c r="F220" s="2" t="n">
        <x:v>7</x:v>
      </x:c>
    </x:row>
    <x:row r="221" ht="20" customHeight="1">
      <x:c r="A221" s="9" t="n">
        <x:v>46315</x:v>
      </x:c>
      <x:c r="B221" s="2" t="str">
        <x:v>Organic Search</x:v>
      </x:c>
      <x:c r="C221" s="2" t="n">
        <x:v>279</x:v>
      </x:c>
      <x:c r="D221" s="2" t="n">
        <x:v>47</x:v>
      </x:c>
      <x:c r="E221" s="2" t="n">
        <x:v>26</x:v>
      </x:c>
      <x:c r="F221" s="2" t="n">
        <x:v>8</x:v>
      </x:c>
    </x:row>
    <x:row r="222" ht="20" customHeight="1">
      <x:c r="A222" s="9" t="n">
        <x:v>46315</x:v>
      </x:c>
      <x:c r="B222" s="2" t="str">
        <x:v>Paid Social</x:v>
      </x:c>
      <x:c r="C222" s="2" t="n">
        <x:v>270</x:v>
      </x:c>
      <x:c r="D222" s="2" t="n">
        <x:v>45</x:v>
      </x:c>
      <x:c r="E222" s="2" t="n">
        <x:v>25</x:v>
      </x:c>
      <x:c r="F222" s="2" t="n">
        <x:v>5</x:v>
      </x:c>
    </x:row>
    <x:row r="223" ht="20" customHeight="1">
      <x:c r="A223" s="9" t="n">
        <x:v>46316</x:v>
      </x:c>
      <x:c r="B223" s="2" t="str">
        <x:v>Direct</x:v>
      </x:c>
      <x:c r="C223" s="2" t="n">
        <x:v>100</x:v>
      </x:c>
      <x:c r="D223" s="2" t="n">
        <x:v>17</x:v>
      </x:c>
      <x:c r="E223" s="2" t="n">
        <x:v>9</x:v>
      </x:c>
      <x:c r="F223" s="2" t="n">
        <x:v>1</x:v>
      </x:c>
    </x:row>
    <x:row r="224" ht="20" customHeight="1">
      <x:c r="A224" s="9" t="n">
        <x:v>46316</x:v>
      </x:c>
      <x:c r="B224" s="2" t="str">
        <x:v>Email</x:v>
      </x:c>
      <x:c r="C224" s="2" t="n">
        <x:v>196</x:v>
      </x:c>
      <x:c r="D224" s="2" t="n">
        <x:v>33</x:v>
      </x:c>
      <x:c r="E224" s="2" t="n">
        <x:v>18</x:v>
      </x:c>
      <x:c r="F224" s="2" t="n">
        <x:v>10</x:v>
      </x:c>
    </x:row>
    <x:row r="225" ht="20" customHeight="1">
      <x:c r="A225" s="9" t="n">
        <x:v>46316</x:v>
      </x:c>
      <x:c r="B225" s="2" t="str">
        <x:v>Organic Search</x:v>
      </x:c>
      <x:c r="C225" s="2" t="n">
        <x:v>252</x:v>
      </x:c>
      <x:c r="D225" s="2" t="n">
        <x:v>42</x:v>
      </x:c>
      <x:c r="E225" s="2" t="n">
        <x:v>23</x:v>
      </x:c>
      <x:c r="F225" s="2" t="n">
        <x:v>8</x:v>
      </x:c>
    </x:row>
    <x:row r="226" ht="20" customHeight="1">
      <x:c r="A226" s="9" t="n">
        <x:v>46316</x:v>
      </x:c>
      <x:c r="B226" s="2" t="str">
        <x:v>Paid Social</x:v>
      </x:c>
      <x:c r="C226" s="2" t="n">
        <x:v>468</x:v>
      </x:c>
      <x:c r="D226" s="2" t="n">
        <x:v>79</x:v>
      </x:c>
      <x:c r="E226" s="2" t="n">
        <x:v>44</x:v>
      </x:c>
      <x:c r="F226" s="2" t="n">
        <x:v>8</x:v>
      </x:c>
    </x:row>
    <x:row r="227" ht="20" customHeight="1">
      <x:c r="A227" s="9" t="n">
        <x:v>46317</x:v>
      </x:c>
      <x:c r="B227" s="2" t="str">
        <x:v>Direct</x:v>
      </x:c>
      <x:c r="C227" s="2" t="n">
        <x:v>200</x:v>
      </x:c>
      <x:c r="D227" s="2" t="n">
        <x:v>34</x:v>
      </x:c>
      <x:c r="E227" s="2" t="n">
        <x:v>19</x:v>
      </x:c>
      <x:c r="F227" s="2" t="n">
        <x:v>4</x:v>
      </x:c>
    </x:row>
    <x:row r="228" ht="20" customHeight="1">
      <x:c r="A228" s="9" t="n">
        <x:v>46317</x:v>
      </x:c>
      <x:c r="B228" s="2" t="str">
        <x:v>Email</x:v>
      </x:c>
      <x:c r="C228" s="2" t="n">
        <x:v>123</x:v>
      </x:c>
      <x:c r="D228" s="2" t="n">
        <x:v>20</x:v>
      </x:c>
      <x:c r="E228" s="2" t="n">
        <x:v>11</x:v>
      </x:c>
      <x:c r="F228" s="2" t="n">
        <x:v>4</x:v>
      </x:c>
    </x:row>
    <x:row r="229" ht="20" customHeight="1">
      <x:c r="A229" s="9" t="n">
        <x:v>46317</x:v>
      </x:c>
      <x:c r="B229" s="2" t="str">
        <x:v>Organic Search</x:v>
      </x:c>
      <x:c r="C229" s="2" t="n">
        <x:v>367</x:v>
      </x:c>
      <x:c r="D229" s="2" t="n">
        <x:v>62</x:v>
      </x:c>
      <x:c r="E229" s="2" t="n">
        <x:v>34</x:v>
      </x:c>
      <x:c r="F229" s="2" t="n">
        <x:v>11</x:v>
      </x:c>
    </x:row>
    <x:row r="230" ht="20" customHeight="1">
      <x:c r="A230" s="9" t="n">
        <x:v>46317</x:v>
      </x:c>
      <x:c r="B230" s="2" t="str">
        <x:v>Paid Social</x:v>
      </x:c>
      <x:c r="C230" s="2" t="n">
        <x:v>295</x:v>
      </x:c>
      <x:c r="D230" s="2" t="n">
        <x:v>50</x:v>
      </x:c>
      <x:c r="E230" s="2" t="n">
        <x:v>28</x:v>
      </x:c>
      <x:c r="F230" s="2" t="n">
        <x:v>4</x:v>
      </x:c>
    </x:row>
    <x:row r="231" ht="20" customHeight="1">
      <x:c r="A231" s="9" t="n">
        <x:v>46318</x:v>
      </x:c>
      <x:c r="B231" s="2" t="str">
        <x:v>Direct</x:v>
      </x:c>
      <x:c r="C231" s="2" t="n">
        <x:v>105</x:v>
      </x:c>
      <x:c r="D231" s="2" t="n">
        <x:v>17</x:v>
      </x:c>
      <x:c r="E231" s="2" t="n">
        <x:v>9</x:v>
      </x:c>
      <x:c r="F231" s="2" t="n">
        <x:v>2</x:v>
      </x:c>
    </x:row>
    <x:row r="232" ht="20" customHeight="1">
      <x:c r="A232" s="9" t="n">
        <x:v>46318</x:v>
      </x:c>
      <x:c r="B232" s="2" t="str">
        <x:v>Email</x:v>
      </x:c>
      <x:c r="C232" s="2" t="n">
        <x:v>134</x:v>
      </x:c>
      <x:c r="D232" s="2" t="n">
        <x:v>22</x:v>
      </x:c>
      <x:c r="E232" s="2" t="n">
        <x:v>12</x:v>
      </x:c>
      <x:c r="F232" s="2" t="n">
        <x:v>5</x:v>
      </x:c>
    </x:row>
    <x:row r="233" ht="20" customHeight="1">
      <x:c r="A233" s="9" t="n">
        <x:v>46318</x:v>
      </x:c>
      <x:c r="B233" s="2" t="str">
        <x:v>Organic Search</x:v>
      </x:c>
      <x:c r="C233" s="2" t="n">
        <x:v>203</x:v>
      </x:c>
      <x:c r="D233" s="2" t="n">
        <x:v>34</x:v>
      </x:c>
      <x:c r="E233" s="2" t="n">
        <x:v>19</x:v>
      </x:c>
      <x:c r="F233" s="2" t="n">
        <x:v>5</x:v>
      </x:c>
    </x:row>
    <x:row r="234" ht="20" customHeight="1">
      <x:c r="A234" s="9" t="n">
        <x:v>46318</x:v>
      </x:c>
      <x:c r="B234" s="2" t="str">
        <x:v>Paid Social</x:v>
      </x:c>
      <x:c r="C234" s="2" t="n">
        <x:v>237</x:v>
      </x:c>
      <x:c r="D234" s="2" t="n">
        <x:v>40</x:v>
      </x:c>
      <x:c r="E234" s="2" t="n">
        <x:v>22</x:v>
      </x:c>
      <x:c r="F234" s="2" t="n">
        <x:v>3</x:v>
      </x:c>
    </x:row>
    <x:row r="235" ht="20" customHeight="1">
      <x:c r="A235" s="9" t="n">
        <x:v>46319</x:v>
      </x:c>
      <x:c r="B235" s="2" t="str">
        <x:v>Direct</x:v>
      </x:c>
      <x:c r="C235" s="2" t="n">
        <x:v>123</x:v>
      </x:c>
      <x:c r="D235" s="2" t="n">
        <x:v>20</x:v>
      </x:c>
      <x:c r="E235" s="2" t="n">
        <x:v>11</x:v>
      </x:c>
      <x:c r="F235" s="2" t="n">
        <x:v>2</x:v>
      </x:c>
    </x:row>
    <x:row r="236" ht="20" customHeight="1">
      <x:c r="A236" s="9" t="n">
        <x:v>46319</x:v>
      </x:c>
      <x:c r="B236" s="2" t="str">
        <x:v>Email</x:v>
      </x:c>
      <x:c r="C236" s="2" t="n">
        <x:v>119</x:v>
      </x:c>
      <x:c r="D236" s="2" t="n">
        <x:v>20</x:v>
      </x:c>
      <x:c r="E236" s="2" t="n">
        <x:v>11</x:v>
      </x:c>
      <x:c r="F236" s="2" t="n">
        <x:v>5</x:v>
      </x:c>
    </x:row>
    <x:row r="237" ht="20" customHeight="1">
      <x:c r="A237" s="9" t="n">
        <x:v>46319</x:v>
      </x:c>
      <x:c r="B237" s="2" t="str">
        <x:v>Organic Search</x:v>
      </x:c>
      <x:c r="C237" s="2" t="n">
        <x:v>305</x:v>
      </x:c>
      <x:c r="D237" s="2" t="n">
        <x:v>51</x:v>
      </x:c>
      <x:c r="E237" s="2" t="n">
        <x:v>28</x:v>
      </x:c>
      <x:c r="F237" s="2" t="n">
        <x:v>9</x:v>
      </x:c>
    </x:row>
    <x:row r="238" ht="20" customHeight="1">
      <x:c r="A238" s="9" t="n">
        <x:v>46319</x:v>
      </x:c>
      <x:c r="B238" s="2" t="str">
        <x:v>Paid Social</x:v>
      </x:c>
      <x:c r="C238" s="2" t="n">
        <x:v>134</x:v>
      </x:c>
      <x:c r="D238" s="2" t="n">
        <x:v>22</x:v>
      </x:c>
      <x:c r="E238" s="2" t="n">
        <x:v>12</x:v>
      </x:c>
      <x:c r="F238" s="2" t="n">
        <x:v>1</x:v>
      </x:c>
    </x:row>
    <x:row r="239" ht="20" customHeight="1">
      <x:c r="A239" s="9" t="n">
        <x:v>46320</x:v>
      </x:c>
      <x:c r="B239" s="2" t="str">
        <x:v>Direct</x:v>
      </x:c>
      <x:c r="C239" s="2" t="n">
        <x:v>111</x:v>
      </x:c>
      <x:c r="D239" s="2" t="n">
        <x:v>18</x:v>
      </x:c>
      <x:c r="E239" s="2" t="n">
        <x:v>10</x:v>
      </x:c>
      <x:c r="F239" s="2" t="n">
        <x:v>2</x:v>
      </x:c>
    </x:row>
    <x:row r="240" ht="20" customHeight="1">
      <x:c r="A240" s="9" t="n">
        <x:v>46320</x:v>
      </x:c>
      <x:c r="B240" s="2" t="str">
        <x:v>Email</x:v>
      </x:c>
      <x:c r="C240" s="2" t="n">
        <x:v>112</x:v>
      </x:c>
      <x:c r="D240" s="2" t="n">
        <x:v>19</x:v>
      </x:c>
      <x:c r="E240" s="2" t="n">
        <x:v>10</x:v>
      </x:c>
      <x:c r="F240" s="2" t="n">
        <x:v>4</x:v>
      </x:c>
    </x:row>
    <x:row r="241" ht="20" customHeight="1">
      <x:c r="A241" s="9" t="n">
        <x:v>46320</x:v>
      </x:c>
      <x:c r="B241" s="2" t="str">
        <x:v>Organic Search</x:v>
      </x:c>
      <x:c r="C241" s="2" t="n">
        <x:v>264</x:v>
      </x:c>
      <x:c r="D241" s="2" t="n">
        <x:v>44</x:v>
      </x:c>
      <x:c r="E241" s="2" t="n">
        <x:v>25</x:v>
      </x:c>
      <x:c r="F241" s="2" t="n">
        <x:v>7</x:v>
      </x:c>
    </x:row>
    <x:row r="242" ht="20" customHeight="1">
      <x:c r="A242" s="9" t="n">
        <x:v>46320</x:v>
      </x:c>
      <x:c r="B242" s="2" t="str">
        <x:v>Paid Social</x:v>
      </x:c>
      <x:c r="C242" s="2" t="n">
        <x:v>258</x:v>
      </x:c>
      <x:c r="D242" s="2" t="n">
        <x:v>43</x:v>
      </x:c>
      <x:c r="E242" s="2" t="n">
        <x:v>24</x:v>
      </x:c>
      <x:c r="F242" s="2" t="n">
        <x:v>5</x:v>
      </x:c>
    </x:row>
    <x:row r="243" ht="20" customHeight="1">
      <x:c r="A243" s="9" t="n">
        <x:v>46321</x:v>
      </x:c>
      <x:c r="B243" s="2" t="str">
        <x:v>Direct</x:v>
      </x:c>
      <x:c r="C243" s="2" t="n">
        <x:v>197</x:v>
      </x:c>
      <x:c r="D243" s="2" t="n">
        <x:v>33</x:v>
      </x:c>
      <x:c r="E243" s="2" t="n">
        <x:v>18</x:v>
      </x:c>
      <x:c r="F243" s="2" t="n">
        <x:v>4</x:v>
      </x:c>
    </x:row>
    <x:row r="244" ht="20" customHeight="1">
      <x:c r="A244" s="9" t="n">
        <x:v>46321</x:v>
      </x:c>
      <x:c r="B244" s="2" t="str">
        <x:v>Email</x:v>
      </x:c>
      <x:c r="C244" s="2" t="n">
        <x:v>140</x:v>
      </x:c>
      <x:c r="D244" s="2" t="n">
        <x:v>23</x:v>
      </x:c>
      <x:c r="E244" s="2" t="n">
        <x:v>13</x:v>
      </x:c>
      <x:c r="F244" s="2" t="n">
        <x:v>5</x:v>
      </x:c>
    </x:row>
    <x:row r="245" ht="20" customHeight="1">
      <x:c r="A245" s="9" t="n">
        <x:v>46321</x:v>
      </x:c>
      <x:c r="B245" s="2" t="str">
        <x:v>Organic Search</x:v>
      </x:c>
      <x:c r="C245" s="2" t="n">
        <x:v>200</x:v>
      </x:c>
      <x:c r="D245" s="2" t="n">
        <x:v>34</x:v>
      </x:c>
      <x:c r="E245" s="2" t="n">
        <x:v>19</x:v>
      </x:c>
      <x:c r="F245" s="2" t="n">
        <x:v>6</x:v>
      </x:c>
    </x:row>
    <x:row r="246" ht="20" customHeight="1">
      <x:c r="A246" s="9" t="n">
        <x:v>46321</x:v>
      </x:c>
      <x:c r="B246" s="2" t="str">
        <x:v>Paid Social</x:v>
      </x:c>
      <x:c r="C246" s="2" t="n">
        <x:v>287</x:v>
      </x:c>
      <x:c r="D246" s="2" t="n">
        <x:v>48</x:v>
      </x:c>
      <x:c r="E246" s="2" t="n">
        <x:v>27</x:v>
      </x:c>
      <x:c r="F246" s="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aa46921c3c043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0" customHeight="1">
      <x:c r="A2" s="3" t="str">
        <x:v>Product master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4" t="str">
        <x:v>Synthetic catalog and stock snapshot as of 2026-10-26. Blue text identifies editable source values.</x:v>
      </x:c>
      <x:c r="B3" s="4"/>
      <x:c r="C3" s="4"/>
      <x:c r="D3" s="4"/>
      <x:c r="E3" s="4"/>
      <x:c r="F3" s="4"/>
      <x:c r="G3" s="4"/>
      <x:c r="H3" s="4"/>
      <x:c r="I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8" t="str">
        <x:v>SKU</x:v>
      </x:c>
      <x:c r="B6" s="8" t="str">
        <x:v>Product</x:v>
      </x:c>
      <x:c r="C6" s="8" t="str">
        <x:v>Category</x:v>
      </x:c>
      <x:c r="D6" s="8" t="str">
        <x:v>Approved price</x:v>
      </x:c>
      <x:c r="E6" s="8" t="str">
        <x:v>Lead days</x:v>
      </x:c>
      <x:c r="F6" s="8" t="str">
        <x:v>Available</x:v>
      </x:c>
      <x:c r="G6" s="8" t="str">
        <x:v>Status</x:v>
      </x:c>
      <x:c r="H6" s="8" t="str">
        <x:v>Selling price</x:v>
      </x:c>
      <x:c r="I6" s="8" t="str">
        <x:v>Compare-at price</x:v>
      </x:c>
    </x:row>
    <x:row r="7" ht="20" customHeight="1">
      <x:c r="A7" s="11" t="str">
        <x:v>APP-001</x:v>
      </x:c>
      <x:c r="B7" s="11" t="str">
        <x:v>Everyday crewneck</x:v>
      </x:c>
      <x:c r="C7" s="11" t="str">
        <x:v>Apparel</x:v>
      </x:c>
      <x:c r="D7" s="12" t="n">
        <x:v>54.95</x:v>
      </x:c>
      <x:c r="E7" s="11" t="n">
        <x:v>14</x:v>
      </x:c>
      <x:c r="F7" s="11" t="n">
        <x:v>92</x:v>
      </x:c>
      <x:c r="G7" s="11" t="str">
        <x:v>active</x:v>
      </x:c>
      <x:c r="H7" s="12" t="n">
        <x:v>54.95</x:v>
      </x:c>
      <x:c r="I7" s="12" t="n">
        <x:v>0</x:v>
      </x:c>
    </x:row>
    <x:row r="8" ht="20" customHeight="1">
      <x:c r="A8" s="11" t="str">
        <x:v>APP-002</x:v>
      </x:c>
      <x:c r="B8" s="11" t="str">
        <x:v>Weekend hoodie</x:v>
      </x:c>
      <x:c r="C8" s="11" t="str">
        <x:v>Apparel</x:v>
      </x:c>
      <x:c r="D8" s="12" t="n">
        <x:v>69.95</x:v>
      </x:c>
      <x:c r="E8" s="11" t="n">
        <x:v>14</x:v>
      </x:c>
      <x:c r="F8" s="11" t="n">
        <x:v>32</x:v>
      </x:c>
      <x:c r="G8" s="11" t="str">
        <x:v>active</x:v>
      </x:c>
      <x:c r="H8" s="12" t="n">
        <x:v>69.95</x:v>
      </x:c>
      <x:c r="I8" s="12" t="n">
        <x:v>0</x:v>
      </x:c>
    </x:row>
    <x:row r="9" ht="20" customHeight="1">
      <x:c r="A9" s="11" t="str">
        <x:v>APP-003</x:v>
      </x:c>
      <x:c r="B9" s="11" t="str">
        <x:v>Coffee club tee</x:v>
      </x:c>
      <x:c r="C9" s="11" t="str">
        <x:v>Apparel</x:v>
      </x:c>
      <x:c r="D9" s="12" t="n">
        <x:v>29.95</x:v>
      </x:c>
      <x:c r="E9" s="11" t="n">
        <x:v>14</x:v>
      </x:c>
      <x:c r="F9" s="11" t="n">
        <x:v>4</x:v>
      </x:c>
      <x:c r="G9" s="11" t="str">
        <x:v>active</x:v>
      </x:c>
      <x:c r="H9" s="12" t="n">
        <x:v>29.95</x:v>
      </x:c>
      <x:c r="I9" s="12" t="n">
        <x:v>0</x:v>
      </x:c>
    </x:row>
    <x:row r="10" ht="20" customHeight="1">
      <x:c r="A10" s="11" t="str">
        <x:v>BOT-001</x:v>
      </x:c>
      <x:c r="B10" s="11" t="str">
        <x:v>Trail water bottle</x:v>
      </x:c>
      <x:c r="C10" s="11" t="str">
        <x:v>Drinkware</x:v>
      </x:c>
      <x:c r="D10" s="12" t="n">
        <x:v>34.95</x:v>
      </x:c>
      <x:c r="E10" s="11" t="n">
        <x:v>10</x:v>
      </x:c>
      <x:c r="F10" s="11" t="n">
        <x:v>48</x:v>
      </x:c>
      <x:c r="G10" s="11" t="str">
        <x:v>active</x:v>
      </x:c>
      <x:c r="H10" s="12" t="n">
        <x:v>34.95</x:v>
      </x:c>
      <x:c r="I10" s="12" t="n">
        <x:v>0</x:v>
      </x:c>
    </x:row>
    <x:row r="11" ht="20" customHeight="1">
      <x:c r="A11" s="11" t="str">
        <x:v>GFT-001</x:v>
      </x:c>
      <x:c r="B11" s="11" t="str">
        <x:v>Morning ritual gift set</x:v>
      </x:c>
      <x:c r="C11" s="11" t="str">
        <x:v>Gifts</x:v>
      </x:c>
      <x:c r="D11" s="12" t="n">
        <x:v>59.95</x:v>
      </x:c>
      <x:c r="E11" s="11" t="n">
        <x:v>10</x:v>
      </x:c>
      <x:c r="F11" s="11" t="n">
        <x:v>21</x:v>
      </x:c>
      <x:c r="G11" s="11" t="str">
        <x:v>active</x:v>
      </x:c>
      <x:c r="H11" s="12" t="n">
        <x:v>59.95</x:v>
      </x:c>
      <x:c r="I11" s="12" t="n">
        <x:v>0</x:v>
      </x:c>
    </x:row>
    <x:row r="12" ht="20" customHeight="1">
      <x:c r="A12" s="11" t="str">
        <x:v>GFT-002</x:v>
      </x:c>
      <x:c r="B12" s="11" t="str">
        <x:v>Cozy weekend gift box</x:v>
      </x:c>
      <x:c r="C12" s="11" t="str">
        <x:v>Gifts</x:v>
      </x:c>
      <x:c r="D12" s="12" t="n">
        <x:v>79.95</x:v>
      </x:c>
      <x:c r="E12" s="11" t="n">
        <x:v>10</x:v>
      </x:c>
      <x:c r="F12" s="11" t="n">
        <x:v>10</x:v>
      </x:c>
      <x:c r="G12" s="11" t="str">
        <x:v>active</x:v>
      </x:c>
      <x:c r="H12" s="12" t="n">
        <x:v>79.95</x:v>
      </x:c>
      <x:c r="I12" s="12" t="n">
        <x:v>78.95</x:v>
      </x:c>
    </x:row>
    <x:row r="13" ht="20" customHeight="1">
      <x:c r="A13" s="11" t="str">
        <x:v>HAT-001</x:v>
      </x:c>
      <x:c r="B13" s="11" t="str">
        <x:v>Classic canvas cap</x:v>
      </x:c>
      <x:c r="C13" s="11" t="str">
        <x:v>Accessories</x:v>
      </x:c>
      <x:c r="D13" s="12" t="n">
        <x:v>24.95</x:v>
      </x:c>
      <x:c r="E13" s="11" t="n">
        <x:v>10</x:v>
      </x:c>
      <x:c r="F13" s="11" t="n">
        <x:v>62</x:v>
      </x:c>
      <x:c r="G13" s="11" t="str">
        <x:v>active</x:v>
      </x:c>
      <x:c r="H13" s="12" t="n">
        <x:v>24.95</x:v>
      </x:c>
      <x:c r="I13" s="12" t="n">
        <x:v>0</x:v>
      </x:c>
    </x:row>
    <x:row r="14" ht="20" customHeight="1">
      <x:c r="A14" s="11" t="str">
        <x:v>HOL-001</x:v>
      </x:c>
      <x:c r="B14" s="11" t="str">
        <x:v>Winter ceramic mug</x:v>
      </x:c>
      <x:c r="C14" s="11" t="str">
        <x:v>Drinkware</x:v>
      </x:c>
      <x:c r="D14" s="12" t="n">
        <x:v>24.95</x:v>
      </x:c>
      <x:c r="E14" s="11" t="n">
        <x:v>10</x:v>
      </x:c>
      <x:c r="F14" s="11" t="n">
        <x:v>90</x:v>
      </x:c>
      <x:c r="G14" s="11" t="str">
        <x:v>draft</x:v>
      </x:c>
      <x:c r="H14" s="12" t="n">
        <x:v>24.95</x:v>
      </x:c>
      <x:c r="I14" s="12" t="n">
        <x:v>0</x:v>
      </x:c>
    </x:row>
    <x:row r="15" ht="20" customHeight="1">
      <x:c r="A15" s="11" t="str">
        <x:v>HOL-002</x:v>
      </x:c>
      <x:c r="B15" s="11" t="str">
        <x:v>Winter knit beanie</x:v>
      </x:c>
      <x:c r="C15" s="11" t="str">
        <x:v>Apparel</x:v>
      </x:c>
      <x:c r="D15" s="12" t="n">
        <x:v>27.95</x:v>
      </x:c>
      <x:c r="E15" s="11" t="n">
        <x:v>14</x:v>
      </x:c>
      <x:c r="F15" s="11" t="n">
        <x:v>65</x:v>
      </x:c>
      <x:c r="G15" s="11" t="str">
        <x:v>draft</x:v>
      </x:c>
      <x:c r="H15" s="12" t="n">
        <x:v>27.95</x:v>
      </x:c>
      <x:c r="I15" s="12" t="n">
        <x:v>0</x:v>
      </x:c>
    </x:row>
    <x:row r="16" ht="20" customHeight="1">
      <x:c r="A16" s="11" t="str">
        <x:v>KEY-001</x:v>
      </x:c>
      <x:c r="B16" s="11" t="str">
        <x:v>Maple keyring</x:v>
      </x:c>
      <x:c r="C16" s="11" t="str">
        <x:v>Accessories</x:v>
      </x:c>
      <x:c r="D16" s="12" t="n">
        <x:v>12.95</x:v>
      </x:c>
      <x:c r="E16" s="11" t="n">
        <x:v>10</x:v>
      </x:c>
      <x:c r="F16" s="11" t="n">
        <x:v>88</x:v>
      </x:c>
      <x:c r="G16" s="11" t="str">
        <x:v>active</x:v>
      </x:c>
      <x:c r="H16" s="12" t="n">
        <x:v>12.95</x:v>
      </x:c>
      <x:c r="I16" s="12" t="n">
        <x:v>0</x:v>
      </x:c>
    </x:row>
    <x:row r="17" ht="20" customHeight="1">
      <x:c r="A17" s="11" t="str">
        <x:v>MUG-001</x:v>
      </x:c>
      <x:c r="B17" s="11" t="str">
        <x:v>Everyday ceramic mug</x:v>
      </x:c>
      <x:c r="C17" s="11" t="str">
        <x:v>Drinkware</x:v>
      </x:c>
      <x:c r="D17" s="12" t="n">
        <x:v>18.95</x:v>
      </x:c>
      <x:c r="E17" s="11" t="n">
        <x:v>10</x:v>
      </x:c>
      <x:c r="F17" s="11" t="n">
        <x:v>82</x:v>
      </x:c>
      <x:c r="G17" s="11" t="str">
        <x:v>active</x:v>
      </x:c>
      <x:c r="H17" s="12" t="n">
        <x:v>18.95</x:v>
      </x:c>
      <x:c r="I17" s="12" t="n">
        <x:v>0</x:v>
      </x:c>
    </x:row>
    <x:row r="18" ht="20" customHeight="1">
      <x:c r="A18" s="11" t="str">
        <x:v>MUG-002</x:v>
      </x:c>
      <x:c r="B18" s="11" t="str">
        <x:v>Campfire enamel mug</x:v>
      </x:c>
      <x:c r="C18" s="11" t="str">
        <x:v>Drinkware</x:v>
      </x:c>
      <x:c r="D18" s="12" t="n">
        <x:v>22.95</x:v>
      </x:c>
      <x:c r="E18" s="11" t="n">
        <x:v>10</x:v>
      </x:c>
      <x:c r="F18" s="11" t="n">
        <x:v>0</x:v>
      </x:c>
      <x:c r="G18" s="11" t="str">
        <x:v>active</x:v>
      </x:c>
      <x:c r="H18" s="12" t="n">
        <x:v>22.95</x:v>
      </x:c>
      <x:c r="I18" s="12" t="n">
        <x:v>0</x:v>
      </x:c>
    </x:row>
    <x:row r="19" ht="20" customHeight="1">
      <x:c r="A19" s="11" t="str">
        <x:v>PIN-001</x:v>
      </x:c>
      <x:c r="B19" s="11" t="str">
        <x:v>Coffee enamel pin</x:v>
      </x:c>
      <x:c r="C19" s="11" t="str">
        <x:v>Accessories</x:v>
      </x:c>
      <x:c r="D19" s="12" t="n">
        <x:v>9.95</x:v>
      </x:c>
      <x:c r="E19" s="11" t="n">
        <x:v>10</x:v>
      </x:c>
      <x:c r="F19" s="11" t="n">
        <x:v>130</x:v>
      </x:c>
      <x:c r="G19" s="11" t="str">
        <x:v>active</x:v>
      </x:c>
      <x:c r="H19" s="12" t="n">
        <x:v>9.95</x:v>
      </x:c>
      <x:c r="I19" s="12" t="n">
        <x:v>0</x:v>
      </x:c>
    </x:row>
    <x:row r="20" ht="20" customHeight="1">
      <x:c r="A20" s="11" t="str">
        <x:v>TOTE-001</x:v>
      </x:c>
      <x:c r="B20" s="11" t="str">
        <x:v>Market canvas tote</x:v>
      </x:c>
      <x:c r="C20" s="11" t="str">
        <x:v>Accessories</x:v>
      </x:c>
      <x:c r="D20" s="12" t="n">
        <x:v>19.95</x:v>
      </x:c>
      <x:c r="E20" s="11" t="n">
        <x:v>10</x:v>
      </x:c>
      <x:c r="F20" s="11" t="n">
        <x:v>120</x:v>
      </x:c>
      <x:c r="G20" s="11" t="str">
        <x:v>active</x:v>
      </x:c>
      <x:c r="H20" s="12" t="n">
        <x:v>19.95</x:v>
      </x:c>
      <x:c r="I20" s="12" t="n">
        <x:v>0</x:v>
      </x:c>
    </x:row>
    <x:row r="21" ht="20" customHeight="1">
      <x:c r="A21" s="11" t="str">
        <x:v>TUM-001</x:v>
      </x:c>
      <x:c r="B21" s="11" t="str">
        <x:v>Maple travel tumbler</x:v>
      </x:c>
      <x:c r="C21" s="11" t="str">
        <x:v>Drinkware</x:v>
      </x:c>
      <x:c r="D21" s="12" t="n">
        <x:v>32.95</x:v>
      </x:c>
      <x:c r="E21" s="11" t="n">
        <x:v>10</x:v>
      </x:c>
      <x:c r="F21" s="11" t="n">
        <x:v>6</x:v>
      </x:c>
      <x:c r="G21" s="11" t="str">
        <x:v>active</x:v>
      </x:c>
      <x:c r="H21" s="12" t="n">
        <x:v>35.95</x:v>
      </x:c>
      <x:c r="I21" s="12" t="n">
        <x:v>0</x:v>
      </x:c>
    </x:row>
    <x:row r="22" ht="20" customHeight="1">
      <x:c r="A22" s="11" t="str">
        <x:v>TUM-002</x:v>
      </x:c>
      <x:c r="B22" s="11" t="str">
        <x:v>Cold brew glass cup</x:v>
      </x:c>
      <x:c r="C22" s="11" t="str">
        <x:v>Drinkware</x:v>
      </x:c>
      <x:c r="D22" s="12" t="n">
        <x:v>24.95</x:v>
      </x:c>
      <x:c r="E22" s="11" t="n">
        <x:v>10</x:v>
      </x:c>
      <x:c r="F22" s="11" t="n">
        <x:v>71</x:v>
      </x:c>
      <x:c r="G22" s="11" t="str">
        <x:v>active</x:v>
      </x:c>
      <x:c r="H22" s="12" t="n">
        <x:v>24.95</x:v>
      </x:c>
      <x:c r="I22" s="12" t="n">
        <x:v>0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</x:row>
  </x:sheetData>
  <x:dataValidations count="1">
    <x:dataValidation type="list" sqref="G7:G22">
      <x:formula1>"active,draft"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528ddc001c4255"/>
  </x:tableParts>
</x:worksheet>
</file>